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rnt\Downloads\"/>
    </mc:Choice>
  </mc:AlternateContent>
  <xr:revisionPtr revIDLastSave="0" documentId="13_ncr:1_{BA49E404-DE02-4329-953A-03BD2D4280D6}" xr6:coauthVersionLast="47" xr6:coauthVersionMax="47" xr10:uidLastSave="{00000000-0000-0000-0000-000000000000}"/>
  <bookViews>
    <workbookView xWindow="-110" yWindow="-110" windowWidth="19420" windowHeight="12220" tabRatio="500" activeTab="2" xr2:uid="{00000000-000D-0000-FFFF-FFFF00000000}"/>
  </bookViews>
  <sheets>
    <sheet name="README" sheetId="1" r:id="rId1"/>
    <sheet name="Assumptions" sheetId="2" r:id="rId2"/>
    <sheet name="Phase 1 - Monthly" sheetId="3" r:id="rId3"/>
    <sheet name="Phase 2 - Quarterly" sheetId="4" r:id="rId4"/>
    <sheet name="Phase 3 - Annual" sheetId="5" r:id="rId5"/>
    <sheet name="Summary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6" l="1"/>
  <c r="G34" i="6"/>
  <c r="G35" i="6"/>
  <c r="G36" i="6"/>
  <c r="G37" i="6"/>
  <c r="G38" i="6"/>
  <c r="C28" i="6"/>
  <c r="C19" i="6"/>
  <c r="C15" i="6"/>
  <c r="C6" i="6"/>
  <c r="D18" i="5"/>
  <c r="C18" i="5"/>
  <c r="E18" i="5" s="1"/>
  <c r="C14" i="5"/>
  <c r="D11" i="6" s="1"/>
  <c r="D46" i="4"/>
  <c r="D45" i="4"/>
  <c r="C45" i="4"/>
  <c r="E45" i="4" s="1"/>
  <c r="D44" i="4"/>
  <c r="D43" i="4"/>
  <c r="C43" i="4"/>
  <c r="E43" i="4" s="1"/>
  <c r="F35" i="4"/>
  <c r="D10" i="6" s="1"/>
  <c r="G32" i="4"/>
  <c r="G31" i="4"/>
  <c r="G30" i="4"/>
  <c r="G29" i="4"/>
  <c r="D23" i="4"/>
  <c r="D22" i="4"/>
  <c r="C22" i="4"/>
  <c r="E22" i="4" s="1"/>
  <c r="D21" i="4"/>
  <c r="D20" i="4"/>
  <c r="C20" i="4"/>
  <c r="E20" i="4" s="1"/>
  <c r="F12" i="4"/>
  <c r="C21" i="4" s="1"/>
  <c r="E21" i="4" s="1"/>
  <c r="E9" i="4"/>
  <c r="H9" i="4" s="1"/>
  <c r="H8" i="4"/>
  <c r="E8" i="4"/>
  <c r="H7" i="4"/>
  <c r="E7" i="4"/>
  <c r="E6" i="4"/>
  <c r="H6" i="4" s="1"/>
  <c r="D41" i="3"/>
  <c r="D40" i="3"/>
  <c r="C40" i="3"/>
  <c r="E40" i="3" s="1"/>
  <c r="D39" i="3"/>
  <c r="C39" i="3"/>
  <c r="E39" i="3" s="1"/>
  <c r="F31" i="3"/>
  <c r="D8" i="6" s="1"/>
  <c r="G28" i="3"/>
  <c r="G27" i="3"/>
  <c r="G26" i="3"/>
  <c r="G25" i="3"/>
  <c r="G24" i="3"/>
  <c r="G23" i="3"/>
  <c r="C18" i="3"/>
  <c r="D18" i="3" s="1"/>
  <c r="C35" i="3" s="1"/>
  <c r="D35" i="3" s="1"/>
  <c r="C17" i="3"/>
  <c r="D17" i="3" s="1"/>
  <c r="C16" i="3"/>
  <c r="D16" i="3" s="1"/>
  <c r="C33" i="3" s="1"/>
  <c r="D33" i="3" s="1"/>
  <c r="F14" i="3"/>
  <c r="D7" i="6" s="1"/>
  <c r="H11" i="3"/>
  <c r="E11" i="3"/>
  <c r="E10" i="3"/>
  <c r="H10" i="3" s="1"/>
  <c r="E9" i="3"/>
  <c r="H9" i="3" s="1"/>
  <c r="H8" i="3"/>
  <c r="E8" i="3"/>
  <c r="E7" i="3"/>
  <c r="H7" i="3" s="1"/>
  <c r="E6" i="3"/>
  <c r="H6" i="3" s="1"/>
  <c r="C14" i="4" l="1"/>
  <c r="D14" i="4" s="1"/>
  <c r="E33" i="3"/>
  <c r="C34" i="3"/>
  <c r="D34" i="3" s="1"/>
  <c r="C7" i="6"/>
  <c r="C16" i="4"/>
  <c r="D16" i="4" s="1"/>
  <c r="E35" i="3"/>
  <c r="D9" i="6"/>
  <c r="C44" i="4"/>
  <c r="E44" i="4" s="1"/>
  <c r="C39" i="4" l="1"/>
  <c r="D39" i="4" s="1"/>
  <c r="E16" i="4"/>
  <c r="E14" i="4"/>
  <c r="C37" i="4"/>
  <c r="D37" i="4" s="1"/>
  <c r="C15" i="4"/>
  <c r="D15" i="4" s="1"/>
  <c r="E34" i="3"/>
  <c r="C41" i="3" s="1"/>
  <c r="E41" i="3" s="1"/>
  <c r="E42" i="3" s="1"/>
  <c r="C8" i="6"/>
  <c r="C38" i="4" l="1"/>
  <c r="D38" i="4" s="1"/>
  <c r="E15" i="4"/>
  <c r="C23" i="4" s="1"/>
  <c r="E23" i="4" s="1"/>
  <c r="E24" i="4" s="1"/>
  <c r="C9" i="6"/>
  <c r="E37" i="4"/>
  <c r="C6" i="5"/>
  <c r="C8" i="5"/>
  <c r="E39" i="4"/>
  <c r="C10" i="6" l="1"/>
  <c r="C7" i="5"/>
  <c r="E38" i="4"/>
  <c r="C46" i="4" s="1"/>
  <c r="E46" i="4" s="1"/>
  <c r="E47" i="4" s="1"/>
  <c r="C11" i="6" l="1"/>
  <c r="C16" i="6"/>
  <c r="C17" i="6" s="1"/>
  <c r="C20" i="6" l="1"/>
  <c r="C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200-000003000000}">
      <text>
        <r>
          <rPr>
            <sz val="10"/>
            <rFont val="Arial"/>
            <family val="2"/>
          </rPr>
          <t>Dumpswitch (payload sensor) malfunction inflated apparent deviation - downweighted per protocol.</t>
        </r>
      </text>
    </comment>
    <comment ref="F10" authorId="0" shapeId="0" xr:uid="{00000000-0006-0000-0200-000004000000}">
      <text>
        <r>
          <rPr>
            <sz val="10"/>
            <rFont val="Arial"/>
            <family val="2"/>
          </rPr>
          <t>3-day GPS blackout reduced trip logging reliability - partial downweight.</t>
        </r>
      </text>
    </comment>
    <comment ref="C23" authorId="0" shapeId="0" xr:uid="{00000000-0006-0000-0200-000001000000}">
      <text>
        <r>
          <rPr>
            <sz val="10"/>
            <rFont val="Arial"/>
            <family val="2"/>
          </rPr>
          <t>Illustrative residual values: post-calibration epsilon is assumed to converge close to zero, consistent with structural error having been corrected in Update 1.</t>
        </r>
      </text>
    </comment>
    <comment ref="C41" authorId="0" shapeId="0" xr:uid="{00000000-0006-0000-0200-000002000000}">
      <text>
        <r>
          <rPr>
            <sz val="10"/>
            <rFont val="Arial"/>
            <family val="2"/>
          </rPr>
          <t>TF change is rounded to 1 decimal place (0.1 cum) before comparison to the threshold, matching the mine's TF reporting precision.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6" authorId="0" shapeId="0" xr:uid="{00000000-0006-0000-0300-000001000000}">
      <text>
        <r>
          <rPr>
            <sz val="10"/>
            <rFont val="Arial"/>
            <family val="2"/>
          </rPr>
          <t>TF change is rounded to 1 decimal place (0.1 cum) before comparison to the threshold, matching the mine's TF reporting precision.</t>
        </r>
      </text>
    </comment>
  </commentList>
</comments>
</file>

<file path=xl/sharedStrings.xml><?xml version="1.0" encoding="utf-8"?>
<sst xmlns="http://schemas.openxmlformats.org/spreadsheetml/2006/main" count="290" uniqueCount="211">
  <si>
    <t>Dynamic Truck Factor (TF) Calibration Framework</t>
  </si>
  <si>
    <t>Talabira OCP  |  FMS Production Reconciliation Model  |  Built from TOMPL Survey vs FMS GPS-Trip Data</t>
  </si>
  <si>
    <t>PURPOSE</t>
  </si>
  <si>
    <t>This workbook operationalises the weighted Dynamic Truck Factor (TF) framework used to correct systematic under-reporting of Overburden (OB) production in the Fleet Management System (FMS). The FMS estimates volume as Trips x TF, using a fixed OEM truck factor that was never revalidated against ground-truth survey data. TOMPL's independent survey showed the April 2026 FMS under-reported OB volume by 16.1% against a CIL-mandated tolerance of +/-2%.</t>
  </si>
  <si>
    <t>HOW TO USE THIS WORKBOOK</t>
  </si>
  <si>
    <t>Tab</t>
  </si>
  <si>
    <t>Contents</t>
  </si>
  <si>
    <t>Assumptions</t>
  </si>
  <si>
    <t>Global inputs: OEM truck factors, CIL tolerance, weighting rules. Edit yellow cells only.</t>
  </si>
  <si>
    <t>Phase 1 - Monthly</t>
  </si>
  <si>
    <t>Months 1-12. Weighted epsilon calc, first &amp; second TF recalibration, Gate 1 check.</t>
  </si>
  <si>
    <t>Phase 2 - Quarterly</t>
  </si>
  <si>
    <t>Months 13-36 (incl. one-year extension). Quarterly epsilon, annual TF update, Gate 2 check.</t>
  </si>
  <si>
    <t>Phase 3 - Annual</t>
  </si>
  <si>
    <t>Month 37 onwards. Single annual audit survey, pass/fail against CIL tolerance.</t>
  </si>
  <si>
    <t>Summary Dashboard</t>
  </si>
  <si>
    <t>Full 48-month journey: TF evolution, error reduction, and the production-volume recovered by the fix.</t>
  </si>
  <si>
    <t>COLOUR LEGEND</t>
  </si>
  <si>
    <t>Blue text</t>
  </si>
  <si>
    <t>Hardcoded input / source data</t>
  </si>
  <si>
    <t>Black text</t>
  </si>
  <si>
    <t>Live formula (recalculates automatically)</t>
  </si>
  <si>
    <t>Green text</t>
  </si>
  <si>
    <t>Link to another sheet</t>
  </si>
  <si>
    <t>Yellow fill</t>
  </si>
  <si>
    <t>Key assumption - editable</t>
  </si>
  <si>
    <t>Green fill</t>
  </si>
  <si>
    <t>Gate criterion PASSED</t>
  </si>
  <si>
    <t>Red fill</t>
  </si>
  <si>
    <t>Gate criterion FAILED</t>
  </si>
  <si>
    <t>CORE FORMULA</t>
  </si>
  <si>
    <t>Deviation:  epsilon = (V_survey - V_FMS) / V_FMS</t>
  </si>
  <si>
    <t>Weighted average deviation:  epsilon_avg = SUM(w * epsilon) / SUM(w)</t>
  </si>
  <si>
    <t>Recalibrated Truck Factor:  TF_new = TF_old * (1 + epsilon_avg)</t>
  </si>
  <si>
    <t>Global Assumptions</t>
  </si>
  <si>
    <t>Edit yellow cells to re-run the entire model</t>
  </si>
  <si>
    <t>OEM TRUCK FACTORS (cum per trip) - AS-IS, NEVER PREVIOUSLY REVALIDATED</t>
  </si>
  <si>
    <t>Truck Class</t>
  </si>
  <si>
    <t>OEM TF (cum)</t>
  </si>
  <si>
    <t>Source / Note</t>
  </si>
  <si>
    <t>Small</t>
  </si>
  <si>
    <t>OEM nameplate factor, in use since FMS commissioning</t>
  </si>
  <si>
    <t>Medium</t>
  </si>
  <si>
    <t>Big</t>
  </si>
  <si>
    <t>REGULATORY &amp; CONTROL LIMITS</t>
  </si>
  <si>
    <t>Parameter</t>
  </si>
  <si>
    <t>Value</t>
  </si>
  <si>
    <t>Note</t>
  </si>
  <si>
    <t>CIL tolerance (FMS vs Survey)</t>
  </si>
  <si>
    <t>Max allowable FMS-vs-survey divergence for this mine class</t>
  </si>
  <si>
    <t>Gate 1 pass threshold (per-month epsilon)</t>
  </si>
  <si>
    <t>Each of last 3 months of Phase 1 must be below this</t>
  </si>
  <si>
    <t>Gate 1 anomaly ceiling (any single month)</t>
  </si>
  <si>
    <t>No month in the calibration window may exceed this</t>
  </si>
  <si>
    <t>Gate 1 TF-stability threshold (cum)</t>
  </si>
  <si>
    <t>TF change between Month 6 and Month 12 update must be below this</t>
  </si>
  <si>
    <t>Gate 2 pass threshold (per-quarter epsilon)</t>
  </si>
  <si>
    <t>Each quarter must be below this</t>
  </si>
  <si>
    <t>Gate 2 weighted-average ceiling</t>
  </si>
  <si>
    <t>Annual weighted epsilon_avg must be below this</t>
  </si>
  <si>
    <t>Gate 2 anomaly ceiling (any single quarter)</t>
  </si>
  <si>
    <t>No quarter may exceed this</t>
  </si>
  <si>
    <t>Gate 2 TF-stability threshold (cum)</t>
  </si>
  <si>
    <t>TF change between successive annual updates must be below this</t>
  </si>
  <si>
    <t>Phase 3 audit threshold (annual epsilon)</t>
  </si>
  <si>
    <t>Annual audit epsilon must stay below this or TF is re-opened for correction</t>
  </si>
  <si>
    <t>Reference trips per month (medium class)</t>
  </si>
  <si>
    <t>Used only for the illustrative overcorrection-avoided example</t>
  </si>
  <si>
    <t>WEIGHT ASSIGNMENT PROTOCOL</t>
  </si>
  <si>
    <t>Month condition</t>
  </si>
  <si>
    <t>Weight</t>
  </si>
  <si>
    <t>Rationale</t>
  </si>
  <si>
    <t>Clean month (no known data-quality issue)</t>
  </si>
  <si>
    <t>Full confidence in epsilon reading</t>
  </si>
  <si>
    <t>Minor issue (e.g. short GPS outage)</t>
  </si>
  <si>
    <t>Partially reliable</t>
  </si>
  <si>
    <t>Major hardware/process fault (e.g. dumpswitch failure)</t>
  </si>
  <si>
    <t>Low confidence; epsilon likely inflated by noise, not structural TF error</t>
  </si>
  <si>
    <t>Phase 1 - Monthly Survey Calibration (Months 1-12)</t>
  </si>
  <si>
    <t>Weighted deviation is calculated twice: Month 6 (first TF update) and Month 12 (second TF update + Gate 1 check)</t>
  </si>
  <si>
    <t>MONTHS 1-6 : APR 2026 - SEP 2026  (pre-calibration, OEM TF still in force)</t>
  </si>
  <si>
    <t>Month</t>
  </si>
  <si>
    <t>V_survey (cum)</t>
  </si>
  <si>
    <t>V_FMS (cum)</t>
  </si>
  <si>
    <t>Epsilon %</t>
  </si>
  <si>
    <t>Data-quality issue</t>
  </si>
  <si>
    <t>w x Epsilon</t>
  </si>
  <si>
    <t>Apr-26</t>
  </si>
  <si>
    <t>Dumpswitch broken</t>
  </si>
  <si>
    <t>May-26</t>
  </si>
  <si>
    <t>Clean</t>
  </si>
  <si>
    <t>Jun-26</t>
  </si>
  <si>
    <t>Jul-26</t>
  </si>
  <si>
    <t>Aug-26</t>
  </si>
  <si>
    <t>GPS outage 3 days</t>
  </si>
  <si>
    <t>Sep-26</t>
  </si>
  <si>
    <t>TF UPDATE 1 - MONTH 6 (October 2026): weighted average of Apr-Sep window</t>
  </si>
  <si>
    <t>Truck class</t>
  </si>
  <si>
    <t>Old TF (cum)</t>
  </si>
  <si>
    <t>New TF = Old x (1+eps_avg)</t>
  </si>
  <si>
    <t>MONTHS 7-12 : OCT 2026 - MAR 2027  (post Update-1, residual epsilon under new TF)</t>
  </si>
  <si>
    <t>New TF applied from October 2026. FMS volumes now run on the recalibrated factor; the residual deviation below is what the framework is designed to leave behind - small and centred near zero.</t>
  </si>
  <si>
    <t>Residual Epsilon % (post-update)</t>
  </si>
  <si>
    <t>Oct-26</t>
  </si>
  <si>
    <t>Nov-26</t>
  </si>
  <si>
    <t>Dec-26</t>
  </si>
  <si>
    <t>Jan-27</t>
  </si>
  <si>
    <t>Feb-27</t>
  </si>
  <si>
    <t>Mar-27</t>
  </si>
  <si>
    <t>TF UPDATE 2 - MONTH 12 (March 2027): weighted average of Oct-Mar residuals</t>
  </si>
  <si>
    <t>Weighted epsilon_avg (Oct-Mar)</t>
  </si>
  <si>
    <t>TF after Update 1</t>
  </si>
  <si>
    <t>TF after Update 2</t>
  </si>
  <si>
    <t>Change (cum)</t>
  </si>
  <si>
    <t>GATE 1 CHECK - proceed to Phase 2 only if ALL criteria pass</t>
  </si>
  <si>
    <t>Criterion</t>
  </si>
  <si>
    <t>Actual</t>
  </si>
  <si>
    <t>Threshold</t>
  </si>
  <si>
    <t>Result</t>
  </si>
  <si>
    <t>Last 3 months (Jan-Mar) each below threshold</t>
  </si>
  <si>
    <t>No month in the current (Oct-Mar) window exceeds anomaly ceiling</t>
  </si>
  <si>
    <t>TF change, Month 6 to Month 12 (Medium class)</t>
  </si>
  <si>
    <t>GATE 1 OVERALL RESULT</t>
  </si>
  <si>
    <t>Phase 2 - Quarterly Survey Calibration (Months 13-36)</t>
  </si>
  <si>
    <t>Survey frequency drops from monthly to quarterly once Gate 1 is passed. TF is now updated once a year.</t>
  </si>
  <si>
    <t>YEAR 2 : Q1-Q4 (Apr 2027 - Mar 2028), TF held at Month-12 value throughout</t>
  </si>
  <si>
    <t>Quarter</t>
  </si>
  <si>
    <t>Q1 Apr-Jun 27</t>
  </si>
  <si>
    <t>Q2 Jul-Sep 27</t>
  </si>
  <si>
    <t>Q3 Oct-Dec 27</t>
  </si>
  <si>
    <t>One month GPS outage</t>
  </si>
  <si>
    <t>Q4 Jan-Mar 28</t>
  </si>
  <si>
    <t>ANNUAL TF UPDATE - MONTH 24 (March 2028)</t>
  </si>
  <si>
    <t>Weighted epsilon_avg (Q1-Q4)</t>
  </si>
  <si>
    <t>TF after Month 12</t>
  </si>
  <si>
    <t>TF after Month 24</t>
  </si>
  <si>
    <t>GATE 2 CHECK - MONTH 24</t>
  </si>
  <si>
    <t>All 4 quarters below per-quarter threshold</t>
  </si>
  <si>
    <t>Weighted epsilon_avg below ceiling</t>
  </si>
  <si>
    <t>No quarter exceeds anomaly ceiling</t>
  </si>
  <si>
    <t>TF change, Month 12 to Month 24 (Medium class)</t>
  </si>
  <si>
    <t>GATE 2 RESULT (Month 24)</t>
  </si>
  <si>
    <t>EXTENDED PHASE 2 : Q5-Q8 (Apr 2028 - Mar 2029), TF held at Month-24 value</t>
  </si>
  <si>
    <t>Because Gate 2 failed at Month 24, the quarterly survey continues for one further year instead of stepping down to an annual audit.</t>
  </si>
  <si>
    <t>Q5 Apr-Jun 28</t>
  </si>
  <si>
    <t>Q6 Jul-Sep 28</t>
  </si>
  <si>
    <t>Q7 Oct-Dec 28</t>
  </si>
  <si>
    <t>Q8 Jan-Mar 29</t>
  </si>
  <si>
    <t>ANNUAL TF UPDATE - MONTH 36 (March 2029)</t>
  </si>
  <si>
    <t>Weighted epsilon_avg (Q5-Q8)</t>
  </si>
  <si>
    <t>TF after Month 36</t>
  </si>
  <si>
    <t>GATE 2 RECHECK - MONTH 36</t>
  </si>
  <si>
    <t>TF change, Month 24 to Month 36 (Medium class)</t>
  </si>
  <si>
    <t>GATE 2 RESULT (Month 36)</t>
  </si>
  <si>
    <t>Phase 3 - Annual Audit (Month 37 onwards)</t>
  </si>
  <si>
    <t>FMS becomes the primary production-of-record system; a single survey per year checks it has not drifted.</t>
  </si>
  <si>
    <t>TF IN FORCE FROM MONTH 37</t>
  </si>
  <si>
    <t>TF (cum)</t>
  </si>
  <si>
    <t>ANNUAL AUDIT - MONTH 48 (March 2030)</t>
  </si>
  <si>
    <t>Metric</t>
  </si>
  <si>
    <t>Annual survey volume (cum)</t>
  </si>
  <si>
    <t>Annual FMS volume (cum)</t>
  </si>
  <si>
    <t>Annual epsilon</t>
  </si>
  <si>
    <t>AUDIT RESULT</t>
  </si>
  <si>
    <t>Annual epsilon within Phase 3 audit threshold</t>
  </si>
  <si>
    <t>FMS is now running within CIL tolerance on an annual-audit cadence, without additional hardware or monthly survey cost.</t>
  </si>
  <si>
    <t>48-Month Journey Summary</t>
  </si>
  <si>
    <t>From 16.1% April-2026 divergence to sub-2% annual-audit compliance, at zero incremental hardware cost</t>
  </si>
  <si>
    <t>COMPLETE JOURNEY (Medium truck class)</t>
  </si>
  <si>
    <t>Time</t>
  </si>
  <si>
    <t>TF Medium (cum)</t>
  </si>
  <si>
    <t>Epsilon</t>
  </si>
  <si>
    <t>Survey cadence</t>
  </si>
  <si>
    <t>Status</t>
  </si>
  <si>
    <t>Start (Apr-26)</t>
  </si>
  <si>
    <t>Monthly</t>
  </si>
  <si>
    <t>CIL FAIL</t>
  </si>
  <si>
    <t>Month 6</t>
  </si>
  <si>
    <t>Improving</t>
  </si>
  <si>
    <t>Month 12</t>
  </si>
  <si>
    <t>CIL PASS</t>
  </si>
  <si>
    <t>Month 24</t>
  </si>
  <si>
    <t>Quarterly</t>
  </si>
  <si>
    <t>Fine-tuning</t>
  </si>
  <si>
    <t>Month 36</t>
  </si>
  <si>
    <t>Stable</t>
  </si>
  <si>
    <t>Month 48</t>
  </si>
  <si>
    <t>Annual</t>
  </si>
  <si>
    <t>FMS PRIMARY</t>
  </si>
  <si>
    <t>VALUE OF THE FIX</t>
  </si>
  <si>
    <t>OEM TF, start (cum)</t>
  </si>
  <si>
    <t>Calibrated TF, Month 48 (cum)</t>
  </si>
  <si>
    <t>Total correction per trip (cum)</t>
  </si>
  <si>
    <t>Total correction (% of OEM TF)</t>
  </si>
  <si>
    <t>Reference trips per month</t>
  </si>
  <si>
    <t>Previously-unrecorded volume (cum/month)</t>
  </si>
  <si>
    <t>OB volume that was always being excavated but never recorded in FMS before calibration</t>
  </si>
  <si>
    <t>SURVEY COST TRAJECTORY</t>
  </si>
  <si>
    <t>Phase</t>
  </si>
  <si>
    <t>Relative annual survey cost</t>
  </si>
  <si>
    <t>Phase 1 (Months 1-12)</t>
  </si>
  <si>
    <t>Monthly (12 surveys/yr)</t>
  </si>
  <si>
    <t>Phase 2 (Months 13-36)</t>
  </si>
  <si>
    <t>Quarterly (4 surveys/yr)</t>
  </si>
  <si>
    <t>Phase 3 (Month 37+)</t>
  </si>
  <si>
    <t>Annual (1 survey/yr)</t>
  </si>
  <si>
    <t>Survey cost reduction, Phase 1 to Phase 3</t>
  </si>
  <si>
    <t>ERROR-REDUCTION CHART</t>
  </si>
  <si>
    <t>(Chart plots Epsilon % at each milestone above; CIL 2% limit shown as reference)</t>
  </si>
  <si>
    <t>CIL Limit</t>
  </si>
  <si>
    <t xml:space="preserve">Weighted epsilon_avg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</si>
</sst>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4A7EBB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EB9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65">
    <xf numFmtId="0" fontId="0" fillId="0" borderId="0" xfId="0"/>
    <xf numFmtId="165" fontId="7" fillId="8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0" borderId="1" xfId="0" applyFont="1" applyBorder="1"/>
    <xf numFmtId="164" fontId="7" fillId="5" borderId="1" xfId="0" applyNumberFormat="1" applyFont="1" applyFill="1" applyBorder="1"/>
    <xf numFmtId="165" fontId="7" fillId="5" borderId="1" xfId="0" applyNumberFormat="1" applyFont="1" applyFill="1" applyBorder="1"/>
    <xf numFmtId="3" fontId="7" fillId="5" borderId="1" xfId="0" applyNumberFormat="1" applyFont="1" applyFill="1" applyBorder="1"/>
    <xf numFmtId="166" fontId="7" fillId="5" borderId="1" xfId="0" applyNumberFormat="1" applyFont="1" applyFill="1" applyBorder="1"/>
    <xf numFmtId="0" fontId="4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6" fontId="7" fillId="8" borderId="1" xfId="0" applyNumberFormat="1" applyFont="1" applyFill="1" applyBorder="1" applyAlignment="1">
      <alignment horizontal="center" vertical="center" wrapText="1"/>
    </xf>
    <xf numFmtId="10" fontId="8" fillId="8" borderId="1" xfId="0" applyNumberFormat="1" applyFont="1" applyFill="1" applyBorder="1" applyAlignment="1">
      <alignment horizontal="center" vertical="center" wrapText="1"/>
    </xf>
    <xf numFmtId="10" fontId="10" fillId="9" borderId="1" xfId="0" applyNumberFormat="1" applyFont="1" applyFill="1" applyBorder="1"/>
    <xf numFmtId="164" fontId="9" fillId="0" borderId="1" xfId="0" applyNumberFormat="1" applyFont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3" fontId="7" fillId="0" borderId="1" xfId="0" applyNumberFormat="1" applyFont="1" applyBorder="1"/>
    <xf numFmtId="0" fontId="6" fillId="0" borderId="1" xfId="0" applyFont="1" applyBorder="1"/>
    <xf numFmtId="0" fontId="6" fillId="7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/>
    <xf numFmtId="164" fontId="10" fillId="9" borderId="1" xfId="0" applyNumberFormat="1" applyFont="1" applyFill="1" applyBorder="1"/>
    <xf numFmtId="165" fontId="10" fillId="0" borderId="1" xfId="0" applyNumberFormat="1" applyFont="1" applyBorder="1"/>
    <xf numFmtId="3" fontId="9" fillId="0" borderId="1" xfId="0" applyNumberFormat="1" applyFont="1" applyBorder="1"/>
    <xf numFmtId="3" fontId="10" fillId="9" borderId="1" xfId="0" applyNumberFormat="1" applyFont="1" applyFill="1" applyBorder="1"/>
    <xf numFmtId="165" fontId="10" fillId="9" borderId="0" xfId="0" applyNumberFormat="1" applyFont="1" applyFill="1"/>
    <xf numFmtId="0" fontId="5" fillId="0" borderId="0" xfId="0" applyFont="1"/>
    <xf numFmtId="165" fontId="9" fillId="0" borderId="0" xfId="0" applyNumberFormat="1" applyFont="1"/>
    <xf numFmtId="0" fontId="6" fillId="0" borderId="0" xfId="0" applyFont="1"/>
    <xf numFmtId="0" fontId="4" fillId="0" borderId="0" xfId="0" applyFont="1"/>
    <xf numFmtId="0" fontId="3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2" xfId="0" applyFont="1" applyBorder="1"/>
    <xf numFmtId="165" fontId="7" fillId="8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2F2F2"/>
      <rgbColor rgb="FFD9E1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FMS Deviation (Epsilon) vs CIL Tolerance, Month 0-48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Dashboard'!$D$5</c:f>
              <c:strCache>
                <c:ptCount val="1"/>
                <c:pt idx="0">
                  <c:v>Epsilon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Dashboard'!$B$6:$B$11</c:f>
              <c:strCache>
                <c:ptCount val="6"/>
                <c:pt idx="0">
                  <c:v>Start (Apr-26)</c:v>
                </c:pt>
                <c:pt idx="1">
                  <c:v>Month 6</c:v>
                </c:pt>
                <c:pt idx="2">
                  <c:v>Month 12</c:v>
                </c:pt>
                <c:pt idx="3">
                  <c:v>Month 24</c:v>
                </c:pt>
                <c:pt idx="4">
                  <c:v>Month 36</c:v>
                </c:pt>
                <c:pt idx="5">
                  <c:v>Month 48</c:v>
                </c:pt>
              </c:strCache>
            </c:strRef>
          </c:cat>
          <c:val>
            <c:numRef>
              <c:f>'Summary Dashboard'!$D$6:$D$11</c:f>
              <c:numCache>
                <c:formatCode>0.0%</c:formatCode>
                <c:ptCount val="6"/>
                <c:pt idx="0">
                  <c:v>0.20100000000000001</c:v>
                </c:pt>
                <c:pt idx="1">
                  <c:v>6.7822369434495183E-2</c:v>
                </c:pt>
                <c:pt idx="2">
                  <c:v>1.0833333333333332E-2</c:v>
                </c:pt>
                <c:pt idx="3">
                  <c:v>4.4252493704137849E-2</c:v>
                </c:pt>
                <c:pt idx="4">
                  <c:v>1.8249999999999999E-2</c:v>
                </c:pt>
                <c:pt idx="5">
                  <c:v>1.7373610893723586E-2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FB-41DA-8C71-D3525E7FDC71}"/>
            </c:ext>
          </c:extLst>
        </c:ser>
        <c:ser>
          <c:idx val="1"/>
          <c:order val="1"/>
          <c:tx>
            <c:strRef>
              <c:f>'Summary Dashboard'!$G$32</c:f>
              <c:strCache>
                <c:ptCount val="1"/>
                <c:pt idx="0">
                  <c:v>CIL Limit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Dashboard'!$B$6:$B$11</c:f>
              <c:strCache>
                <c:ptCount val="6"/>
                <c:pt idx="0">
                  <c:v>Start (Apr-26)</c:v>
                </c:pt>
                <c:pt idx="1">
                  <c:v>Month 6</c:v>
                </c:pt>
                <c:pt idx="2">
                  <c:v>Month 12</c:v>
                </c:pt>
                <c:pt idx="3">
                  <c:v>Month 24</c:v>
                </c:pt>
                <c:pt idx="4">
                  <c:v>Month 36</c:v>
                </c:pt>
                <c:pt idx="5">
                  <c:v>Month 48</c:v>
                </c:pt>
              </c:strCache>
            </c:strRef>
          </c:cat>
          <c:val>
            <c:numRef>
              <c:f>'Summary Dashboard'!$G$33:$G$38</c:f>
              <c:numCache>
                <c:formatCode>0.0%</c:formatCode>
                <c:ptCount val="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FB-41DA-8C71-D3525E7FD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74504"/>
        <c:axId val="61595936"/>
      </c:lineChart>
      <c:catAx>
        <c:axId val="1274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Milestone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95936"/>
        <c:crosses val="autoZero"/>
        <c:auto val="1"/>
        <c:lblAlgn val="ctr"/>
        <c:lblOffset val="100"/>
        <c:noMultiLvlLbl val="0"/>
      </c:catAx>
      <c:valAx>
        <c:axId val="6159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Epsilon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4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43920</xdr:rowOff>
    </xdr:from>
    <xdr:to>
      <xdr:col>11</xdr:col>
      <xdr:colOff>107870</xdr:colOff>
      <xdr:row>54</xdr:row>
      <xdr:rowOff>45000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26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4" customWidth="1"/>
    <col min="2" max="2" width="34" customWidth="1"/>
    <col min="3" max="7" width="20" customWidth="1"/>
  </cols>
  <sheetData>
    <row r="1" spans="1:7" ht="33.75" customHeight="1" x14ac:dyDescent="0.35">
      <c r="A1" s="57" t="s">
        <v>0</v>
      </c>
      <c r="B1" s="57"/>
      <c r="C1" s="57"/>
      <c r="D1" s="57"/>
      <c r="E1" s="57"/>
      <c r="F1" s="57"/>
      <c r="G1" s="57"/>
    </row>
    <row r="2" spans="1:7" ht="15.75" customHeight="1" x14ac:dyDescent="0.35">
      <c r="A2" s="58" t="s">
        <v>1</v>
      </c>
      <c r="B2" s="58"/>
      <c r="C2" s="58"/>
      <c r="D2" s="58"/>
      <c r="E2" s="58"/>
      <c r="F2" s="58"/>
      <c r="G2" s="58"/>
    </row>
    <row r="4" spans="1:7" ht="19.5" customHeight="1" x14ac:dyDescent="0.35">
      <c r="B4" s="55" t="s">
        <v>2</v>
      </c>
      <c r="C4" s="55"/>
      <c r="D4" s="55"/>
      <c r="E4" s="55"/>
      <c r="F4" s="55"/>
      <c r="G4" s="55"/>
    </row>
    <row r="5" spans="1:7" ht="60" customHeight="1" x14ac:dyDescent="0.35">
      <c r="B5" s="59" t="s">
        <v>3</v>
      </c>
      <c r="C5" s="59"/>
      <c r="D5" s="59"/>
      <c r="E5" s="59"/>
      <c r="F5" s="59"/>
      <c r="G5" s="59"/>
    </row>
    <row r="7" spans="1:7" ht="19.5" customHeight="1" x14ac:dyDescent="0.35">
      <c r="B7" s="55" t="s">
        <v>4</v>
      </c>
      <c r="C7" s="55"/>
      <c r="D7" s="55"/>
      <c r="E7" s="55"/>
      <c r="F7" s="55"/>
      <c r="G7" s="55"/>
    </row>
    <row r="8" spans="1:7" ht="30" customHeight="1" x14ac:dyDescent="0.35">
      <c r="B8" s="5" t="s">
        <v>5</v>
      </c>
      <c r="C8" s="5" t="s">
        <v>6</v>
      </c>
    </row>
    <row r="9" spans="1:7" ht="25.5" customHeight="1" x14ac:dyDescent="0.35">
      <c r="B9" s="6" t="s">
        <v>7</v>
      </c>
      <c r="C9" s="56" t="s">
        <v>8</v>
      </c>
      <c r="D9" s="56"/>
      <c r="E9" s="56"/>
      <c r="F9" s="56"/>
      <c r="G9" s="56"/>
    </row>
    <row r="10" spans="1:7" ht="25.5" customHeight="1" x14ac:dyDescent="0.35">
      <c r="B10" s="6" t="s">
        <v>9</v>
      </c>
      <c r="C10" s="56" t="s">
        <v>10</v>
      </c>
      <c r="D10" s="56"/>
      <c r="E10" s="56"/>
      <c r="F10" s="56"/>
      <c r="G10" s="56"/>
    </row>
    <row r="11" spans="1:7" ht="25.5" customHeight="1" x14ac:dyDescent="0.35">
      <c r="B11" s="6" t="s">
        <v>11</v>
      </c>
      <c r="C11" s="56" t="s">
        <v>12</v>
      </c>
      <c r="D11" s="56"/>
      <c r="E11" s="56"/>
      <c r="F11" s="56"/>
      <c r="G11" s="56"/>
    </row>
    <row r="12" spans="1:7" ht="25.5" customHeight="1" x14ac:dyDescent="0.35">
      <c r="B12" s="6" t="s">
        <v>13</v>
      </c>
      <c r="C12" s="56" t="s">
        <v>14</v>
      </c>
      <c r="D12" s="56"/>
      <c r="E12" s="56"/>
      <c r="F12" s="56"/>
      <c r="G12" s="56"/>
    </row>
    <row r="13" spans="1:7" ht="25.5" customHeight="1" x14ac:dyDescent="0.35">
      <c r="B13" s="6" t="s">
        <v>15</v>
      </c>
      <c r="C13" s="56" t="s">
        <v>16</v>
      </c>
      <c r="D13" s="56"/>
      <c r="E13" s="56"/>
      <c r="F13" s="56"/>
      <c r="G13" s="56"/>
    </row>
    <row r="15" spans="1:7" ht="19.5" customHeight="1" x14ac:dyDescent="0.35">
      <c r="B15" s="55" t="s">
        <v>17</v>
      </c>
      <c r="C15" s="55"/>
      <c r="D15" s="55"/>
      <c r="E15" s="55"/>
      <c r="F15" s="55"/>
      <c r="G15" s="55"/>
    </row>
    <row r="16" spans="1:7" x14ac:dyDescent="0.35">
      <c r="B16" s="7" t="s">
        <v>18</v>
      </c>
      <c r="C16" s="54" t="s">
        <v>19</v>
      </c>
      <c r="D16" s="54"/>
      <c r="E16" s="54"/>
      <c r="F16" s="54"/>
      <c r="G16" s="54"/>
    </row>
    <row r="17" spans="2:7" x14ac:dyDescent="0.35">
      <c r="B17" s="8" t="s">
        <v>20</v>
      </c>
      <c r="C17" s="54" t="s">
        <v>21</v>
      </c>
      <c r="D17" s="54"/>
      <c r="E17" s="54"/>
      <c r="F17" s="54"/>
      <c r="G17" s="54"/>
    </row>
    <row r="18" spans="2:7" x14ac:dyDescent="0.35">
      <c r="B18" s="9" t="s">
        <v>22</v>
      </c>
      <c r="C18" s="54" t="s">
        <v>23</v>
      </c>
      <c r="D18" s="54"/>
      <c r="E18" s="54"/>
      <c r="F18" s="54"/>
      <c r="G18" s="54"/>
    </row>
    <row r="19" spans="2:7" x14ac:dyDescent="0.35">
      <c r="B19" s="10" t="s">
        <v>24</v>
      </c>
      <c r="C19" s="54" t="s">
        <v>25</v>
      </c>
      <c r="D19" s="54"/>
      <c r="E19" s="54"/>
      <c r="F19" s="54"/>
      <c r="G19" s="54"/>
    </row>
    <row r="20" spans="2:7" x14ac:dyDescent="0.35">
      <c r="B20" s="11" t="s">
        <v>26</v>
      </c>
      <c r="C20" s="54" t="s">
        <v>27</v>
      </c>
      <c r="D20" s="54"/>
      <c r="E20" s="54"/>
      <c r="F20" s="54"/>
      <c r="G20" s="54"/>
    </row>
    <row r="21" spans="2:7" x14ac:dyDescent="0.35">
      <c r="B21" s="12" t="s">
        <v>28</v>
      </c>
      <c r="C21" s="54" t="s">
        <v>29</v>
      </c>
      <c r="D21" s="54"/>
      <c r="E21" s="54"/>
      <c r="F21" s="54"/>
      <c r="G21" s="54"/>
    </row>
    <row r="23" spans="2:7" ht="19.5" customHeight="1" x14ac:dyDescent="0.35">
      <c r="B23" s="55" t="s">
        <v>30</v>
      </c>
      <c r="C23" s="55"/>
      <c r="D23" s="55"/>
      <c r="E23" s="55"/>
      <c r="F23" s="55"/>
      <c r="G23" s="55"/>
    </row>
    <row r="24" spans="2:7" x14ac:dyDescent="0.35">
      <c r="B24" s="53" t="s">
        <v>31</v>
      </c>
      <c r="C24" s="53"/>
      <c r="D24" s="53"/>
      <c r="E24" s="53"/>
      <c r="F24" s="53"/>
      <c r="G24" s="53"/>
    </row>
    <row r="25" spans="2:7" x14ac:dyDescent="0.35">
      <c r="B25" s="53" t="s">
        <v>32</v>
      </c>
      <c r="C25" s="53"/>
      <c r="D25" s="53"/>
      <c r="E25" s="53"/>
      <c r="F25" s="53"/>
      <c r="G25" s="53"/>
    </row>
    <row r="26" spans="2:7" x14ac:dyDescent="0.35">
      <c r="B26" s="53" t="s">
        <v>33</v>
      </c>
      <c r="C26" s="53"/>
      <c r="D26" s="53"/>
      <c r="E26" s="53"/>
      <c r="F26" s="53"/>
      <c r="G26" s="53"/>
    </row>
  </sheetData>
  <mergeCells count="21">
    <mergeCell ref="A1:G1"/>
    <mergeCell ref="A2:G2"/>
    <mergeCell ref="B4:G4"/>
    <mergeCell ref="B5:G5"/>
    <mergeCell ref="B7:G7"/>
    <mergeCell ref="C9:G9"/>
    <mergeCell ref="C10:G10"/>
    <mergeCell ref="C11:G11"/>
    <mergeCell ref="C12:G12"/>
    <mergeCell ref="C13:G13"/>
    <mergeCell ref="B15:G15"/>
    <mergeCell ref="C16:G16"/>
    <mergeCell ref="C17:G17"/>
    <mergeCell ref="C18:G18"/>
    <mergeCell ref="C19:G19"/>
    <mergeCell ref="B26:G26"/>
    <mergeCell ref="C20:G20"/>
    <mergeCell ref="C21:G21"/>
    <mergeCell ref="B23:G23"/>
    <mergeCell ref="B24:G24"/>
    <mergeCell ref="B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E27"/>
  <sheetViews>
    <sheetView showGridLines="0" zoomScale="86" zoomScaleNormal="100" workbookViewId="0">
      <selection sqref="A1:E1"/>
    </sheetView>
  </sheetViews>
  <sheetFormatPr defaultColWidth="8.6328125" defaultRowHeight="14.5" x14ac:dyDescent="0.35"/>
  <cols>
    <col min="1" max="1" width="4" customWidth="1"/>
    <col min="2" max="2" width="34" customWidth="1"/>
    <col min="3" max="3" width="16" customWidth="1"/>
    <col min="4" max="4" width="40" customWidth="1"/>
    <col min="5" max="5" width="4" customWidth="1"/>
  </cols>
  <sheetData>
    <row r="1" spans="1:5" ht="33.75" customHeight="1" x14ac:dyDescent="0.35">
      <c r="A1" s="57" t="s">
        <v>34</v>
      </c>
      <c r="B1" s="57"/>
      <c r="C1" s="57"/>
      <c r="D1" s="57"/>
      <c r="E1" s="57"/>
    </row>
    <row r="2" spans="1:5" ht="15.75" customHeight="1" x14ac:dyDescent="0.35">
      <c r="A2" s="58" t="s">
        <v>35</v>
      </c>
      <c r="B2" s="58"/>
      <c r="C2" s="58"/>
      <c r="D2" s="58"/>
      <c r="E2" s="58"/>
    </row>
    <row r="4" spans="1:5" ht="19.5" customHeight="1" x14ac:dyDescent="0.35">
      <c r="B4" s="55" t="s">
        <v>36</v>
      </c>
      <c r="C4" s="55"/>
      <c r="D4" s="55"/>
    </row>
    <row r="5" spans="1:5" ht="30" customHeight="1" x14ac:dyDescent="0.35">
      <c r="B5" s="5" t="s">
        <v>37</v>
      </c>
      <c r="C5" s="5" t="s">
        <v>38</v>
      </c>
      <c r="D5" s="5" t="s">
        <v>39</v>
      </c>
    </row>
    <row r="6" spans="1:5" x14ac:dyDescent="0.35">
      <c r="B6" s="13" t="s">
        <v>40</v>
      </c>
      <c r="C6" s="14">
        <v>13</v>
      </c>
      <c r="D6" s="13" t="s">
        <v>41</v>
      </c>
    </row>
    <row r="7" spans="1:5" x14ac:dyDescent="0.35">
      <c r="B7" s="13" t="s">
        <v>42</v>
      </c>
      <c r="C7" s="14">
        <v>25</v>
      </c>
      <c r="D7" s="13" t="s">
        <v>41</v>
      </c>
    </row>
    <row r="8" spans="1:5" x14ac:dyDescent="0.35">
      <c r="B8" s="13" t="s">
        <v>43</v>
      </c>
      <c r="C8" s="14">
        <v>42</v>
      </c>
      <c r="D8" s="13" t="s">
        <v>41</v>
      </c>
    </row>
    <row r="10" spans="1:5" ht="19.5" customHeight="1" x14ac:dyDescent="0.35">
      <c r="B10" s="55" t="s">
        <v>44</v>
      </c>
      <c r="C10" s="55"/>
      <c r="D10" s="55"/>
    </row>
    <row r="11" spans="1:5" ht="30" customHeight="1" x14ac:dyDescent="0.35">
      <c r="B11" s="5" t="s">
        <v>45</v>
      </c>
      <c r="C11" s="5" t="s">
        <v>46</v>
      </c>
      <c r="D11" s="5" t="s">
        <v>47</v>
      </c>
    </row>
    <row r="12" spans="1:5" x14ac:dyDescent="0.35">
      <c r="B12" s="13" t="s">
        <v>48</v>
      </c>
      <c r="C12" s="15">
        <v>0.02</v>
      </c>
      <c r="D12" s="13" t="s">
        <v>49</v>
      </c>
    </row>
    <row r="13" spans="1:5" x14ac:dyDescent="0.35">
      <c r="B13" s="13" t="s">
        <v>50</v>
      </c>
      <c r="C13" s="15">
        <v>0.05</v>
      </c>
      <c r="D13" s="13" t="s">
        <v>51</v>
      </c>
    </row>
    <row r="14" spans="1:5" x14ac:dyDescent="0.35">
      <c r="B14" s="13" t="s">
        <v>52</v>
      </c>
      <c r="C14" s="15">
        <v>0.08</v>
      </c>
      <c r="D14" s="13" t="s">
        <v>53</v>
      </c>
    </row>
    <row r="15" spans="1:5" x14ac:dyDescent="0.35">
      <c r="B15" s="13" t="s">
        <v>54</v>
      </c>
      <c r="C15" s="14">
        <v>1</v>
      </c>
      <c r="D15" s="13" t="s">
        <v>55</v>
      </c>
    </row>
    <row r="16" spans="1:5" x14ac:dyDescent="0.35">
      <c r="B16" s="13" t="s">
        <v>56</v>
      </c>
      <c r="C16" s="15">
        <v>0.05</v>
      </c>
      <c r="D16" s="13" t="s">
        <v>57</v>
      </c>
    </row>
    <row r="17" spans="2:4" x14ac:dyDescent="0.35">
      <c r="B17" s="13" t="s">
        <v>58</v>
      </c>
      <c r="C17" s="15">
        <v>0.03</v>
      </c>
      <c r="D17" s="13" t="s">
        <v>59</v>
      </c>
    </row>
    <row r="18" spans="2:4" x14ac:dyDescent="0.35">
      <c r="B18" s="13" t="s">
        <v>60</v>
      </c>
      <c r="C18" s="15">
        <v>0.08</v>
      </c>
      <c r="D18" s="13" t="s">
        <v>61</v>
      </c>
    </row>
    <row r="19" spans="2:4" x14ac:dyDescent="0.35">
      <c r="B19" s="13" t="s">
        <v>62</v>
      </c>
      <c r="C19" s="14">
        <v>0.5</v>
      </c>
      <c r="D19" s="13" t="s">
        <v>63</v>
      </c>
    </row>
    <row r="20" spans="2:4" x14ac:dyDescent="0.35">
      <c r="B20" s="13" t="s">
        <v>64</v>
      </c>
      <c r="C20" s="15">
        <v>0.02</v>
      </c>
      <c r="D20" s="13" t="s">
        <v>65</v>
      </c>
    </row>
    <row r="21" spans="2:4" x14ac:dyDescent="0.35">
      <c r="B21" s="13" t="s">
        <v>66</v>
      </c>
      <c r="C21" s="16">
        <v>48000</v>
      </c>
      <c r="D21" s="13" t="s">
        <v>67</v>
      </c>
    </row>
    <row r="23" spans="2:4" ht="19.5" customHeight="1" x14ac:dyDescent="0.35">
      <c r="B23" s="55" t="s">
        <v>68</v>
      </c>
      <c r="C23" s="55"/>
      <c r="D23" s="55"/>
    </row>
    <row r="24" spans="2:4" ht="30" customHeight="1" x14ac:dyDescent="0.35">
      <c r="B24" s="5" t="s">
        <v>69</v>
      </c>
      <c r="C24" s="5" t="s">
        <v>70</v>
      </c>
      <c r="D24" s="5" t="s">
        <v>71</v>
      </c>
    </row>
    <row r="25" spans="2:4" ht="27.75" customHeight="1" x14ac:dyDescent="0.35">
      <c r="B25" s="13" t="s">
        <v>72</v>
      </c>
      <c r="C25" s="17">
        <v>1</v>
      </c>
      <c r="D25" s="13" t="s">
        <v>73</v>
      </c>
    </row>
    <row r="26" spans="2:4" ht="27.75" customHeight="1" x14ac:dyDescent="0.35">
      <c r="B26" s="13" t="s">
        <v>74</v>
      </c>
      <c r="C26" s="17">
        <v>0.7</v>
      </c>
      <c r="D26" s="13" t="s">
        <v>75</v>
      </c>
    </row>
    <row r="27" spans="2:4" ht="27.75" customHeight="1" x14ac:dyDescent="0.35">
      <c r="B27" s="13" t="s">
        <v>76</v>
      </c>
      <c r="C27" s="17">
        <v>0.3</v>
      </c>
      <c r="D27" s="13" t="s">
        <v>77</v>
      </c>
    </row>
  </sheetData>
  <mergeCells count="5">
    <mergeCell ref="A1:E1"/>
    <mergeCell ref="A2:E2"/>
    <mergeCell ref="B4:D4"/>
    <mergeCell ref="B10:D10"/>
    <mergeCell ref="B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42"/>
  <sheetViews>
    <sheetView showGridLines="0" tabSelected="1" zoomScaleNormal="100" workbookViewId="0">
      <pane xSplit="1" ySplit="3" topLeftCell="B39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8.6328125" defaultRowHeight="14.5" x14ac:dyDescent="0.35"/>
  <cols>
    <col min="1" max="1" width="4" customWidth="1"/>
    <col min="2" max="2" width="12" customWidth="1"/>
    <col min="3" max="4" width="15.90625" bestFit="1" customWidth="1"/>
    <col min="5" max="5" width="13" customWidth="1"/>
    <col min="6" max="6" width="26" customWidth="1"/>
    <col min="7" max="7" width="9" customWidth="1"/>
    <col min="8" max="8" width="12" customWidth="1"/>
    <col min="9" max="9" width="4" customWidth="1"/>
  </cols>
  <sheetData>
    <row r="1" spans="1:9" ht="33.75" customHeight="1" x14ac:dyDescent="0.35">
      <c r="A1" s="57" t="s">
        <v>78</v>
      </c>
      <c r="B1" s="57"/>
      <c r="C1" s="57"/>
      <c r="D1" s="57"/>
      <c r="E1" s="57"/>
      <c r="F1" s="57"/>
      <c r="G1" s="57"/>
      <c r="H1" s="57"/>
      <c r="I1" s="57"/>
    </row>
    <row r="2" spans="1:9" ht="15.75" customHeight="1" x14ac:dyDescent="0.35">
      <c r="A2" s="58" t="s">
        <v>79</v>
      </c>
      <c r="B2" s="58"/>
      <c r="C2" s="58"/>
      <c r="D2" s="58"/>
      <c r="E2" s="58"/>
      <c r="F2" s="58"/>
      <c r="G2" s="58"/>
      <c r="H2" s="58"/>
      <c r="I2" s="58"/>
    </row>
    <row r="4" spans="1:9" ht="19.5" customHeight="1" x14ac:dyDescent="0.35">
      <c r="B4" s="55" t="s">
        <v>80</v>
      </c>
      <c r="C4" s="55"/>
      <c r="D4" s="55"/>
      <c r="E4" s="55"/>
      <c r="F4" s="55"/>
      <c r="G4" s="55"/>
      <c r="H4" s="55"/>
      <c r="I4" s="55"/>
    </row>
    <row r="5" spans="1:9" ht="30" customHeight="1" x14ac:dyDescent="0.35">
      <c r="B5" s="5" t="s">
        <v>81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70</v>
      </c>
      <c r="H5" s="5" t="s">
        <v>86</v>
      </c>
    </row>
    <row r="6" spans="1:9" x14ac:dyDescent="0.35">
      <c r="B6" s="18" t="s">
        <v>87</v>
      </c>
      <c r="C6" s="19">
        <v>1605346</v>
      </c>
      <c r="D6" s="19">
        <v>1336625</v>
      </c>
      <c r="E6" s="20">
        <f t="shared" ref="E6:E11" si="0">(C6-D6)/D6</f>
        <v>0.20104442158421398</v>
      </c>
      <c r="F6" s="4" t="s">
        <v>88</v>
      </c>
      <c r="G6" s="21">
        <v>0.3</v>
      </c>
      <c r="H6" s="22">
        <f t="shared" ref="H6:H11" si="1">G6*E6</f>
        <v>6.031332647526419E-2</v>
      </c>
    </row>
    <row r="7" spans="1:9" x14ac:dyDescent="0.35">
      <c r="B7" s="23" t="s">
        <v>89</v>
      </c>
      <c r="C7" s="24">
        <v>1616656</v>
      </c>
      <c r="D7" s="24">
        <v>1528807</v>
      </c>
      <c r="E7" s="25">
        <f t="shared" si="0"/>
        <v>5.7462452749104366E-2</v>
      </c>
      <c r="F7" s="26" t="s">
        <v>90</v>
      </c>
      <c r="G7" s="27">
        <v>1</v>
      </c>
      <c r="H7" s="28">
        <f t="shared" si="1"/>
        <v>5.7462452749104366E-2</v>
      </c>
    </row>
    <row r="8" spans="1:9" x14ac:dyDescent="0.35">
      <c r="B8" s="18" t="s">
        <v>91</v>
      </c>
      <c r="C8" s="19">
        <v>1590000</v>
      </c>
      <c r="D8" s="19">
        <v>1502000</v>
      </c>
      <c r="E8" s="20">
        <f t="shared" si="0"/>
        <v>5.8588548601864181E-2</v>
      </c>
      <c r="F8" s="4" t="s">
        <v>90</v>
      </c>
      <c r="G8" s="21">
        <v>1</v>
      </c>
      <c r="H8" s="22">
        <f t="shared" si="1"/>
        <v>5.8588548601864181E-2</v>
      </c>
    </row>
    <row r="9" spans="1:9" x14ac:dyDescent="0.35">
      <c r="B9" s="23" t="s">
        <v>92</v>
      </c>
      <c r="C9" s="24">
        <v>1640000</v>
      </c>
      <c r="D9" s="24">
        <v>1548000</v>
      </c>
      <c r="E9" s="25">
        <f t="shared" si="0"/>
        <v>5.9431524547803614E-2</v>
      </c>
      <c r="F9" s="26" t="s">
        <v>90</v>
      </c>
      <c r="G9" s="27">
        <v>1</v>
      </c>
      <c r="H9" s="28">
        <f t="shared" si="1"/>
        <v>5.9431524547803614E-2</v>
      </c>
    </row>
    <row r="10" spans="1:9" x14ac:dyDescent="0.35">
      <c r="B10" s="18" t="s">
        <v>93</v>
      </c>
      <c r="C10" s="19">
        <v>1575000</v>
      </c>
      <c r="D10" s="19">
        <v>1470000</v>
      </c>
      <c r="E10" s="20">
        <f t="shared" si="0"/>
        <v>7.1428571428571425E-2</v>
      </c>
      <c r="F10" s="4" t="s">
        <v>94</v>
      </c>
      <c r="G10" s="21">
        <v>0.7</v>
      </c>
      <c r="H10" s="22">
        <f t="shared" si="1"/>
        <v>4.9999999999999996E-2</v>
      </c>
    </row>
    <row r="11" spans="1:9" x14ac:dyDescent="0.35">
      <c r="B11" s="23" t="s">
        <v>95</v>
      </c>
      <c r="C11" s="24">
        <v>1620000</v>
      </c>
      <c r="D11" s="24">
        <v>1538000</v>
      </c>
      <c r="E11" s="25">
        <f t="shared" si="0"/>
        <v>5.3315994798439535E-2</v>
      </c>
      <c r="F11" s="26" t="s">
        <v>90</v>
      </c>
      <c r="G11" s="27">
        <v>1</v>
      </c>
      <c r="H11" s="28">
        <f t="shared" si="1"/>
        <v>5.3315994798439535E-2</v>
      </c>
    </row>
    <row r="13" spans="1:9" ht="19.5" customHeight="1" x14ac:dyDescent="0.35">
      <c r="B13" s="55" t="s">
        <v>96</v>
      </c>
      <c r="C13" s="55"/>
      <c r="D13" s="55"/>
      <c r="E13" s="55"/>
      <c r="F13" s="55"/>
      <c r="G13" s="55"/>
      <c r="H13" s="55"/>
      <c r="I13" s="55"/>
    </row>
    <row r="14" spans="1:9" x14ac:dyDescent="0.35">
      <c r="B14" s="53" t="s">
        <v>210</v>
      </c>
      <c r="C14" s="53"/>
      <c r="D14" s="53"/>
      <c r="E14" s="53"/>
      <c r="F14" s="29">
        <f>SUMPRODUCT(G6:G11,E6:E11)/SUM(G6:G11)</f>
        <v>6.7822369434495183E-2</v>
      </c>
    </row>
    <row r="15" spans="1:9" ht="30" customHeight="1" x14ac:dyDescent="0.35">
      <c r="B15" s="5" t="s">
        <v>97</v>
      </c>
      <c r="C15" s="5" t="s">
        <v>98</v>
      </c>
      <c r="D15" s="5" t="s">
        <v>99</v>
      </c>
      <c r="E15" s="5"/>
      <c r="F15" s="5"/>
      <c r="G15" s="5"/>
      <c r="H15" s="5"/>
      <c r="I15" s="5"/>
    </row>
    <row r="16" spans="1:9" x14ac:dyDescent="0.35">
      <c r="B16" s="18" t="s">
        <v>40</v>
      </c>
      <c r="C16" s="30">
        <f>Assumptions!$C$6</f>
        <v>13</v>
      </c>
      <c r="D16" s="31">
        <f>C16*(1+$F$14)</f>
        <v>13.881690802648439</v>
      </c>
    </row>
    <row r="17" spans="2:9" x14ac:dyDescent="0.35">
      <c r="B17" s="18" t="s">
        <v>42</v>
      </c>
      <c r="C17" s="30">
        <f>Assumptions!$C$7</f>
        <v>25</v>
      </c>
      <c r="D17" s="31">
        <f>C17*(1+$F$14)</f>
        <v>26.695559235862383</v>
      </c>
    </row>
    <row r="18" spans="2:9" x14ac:dyDescent="0.35">
      <c r="B18" s="18" t="s">
        <v>43</v>
      </c>
      <c r="C18" s="30">
        <f>Assumptions!$C$8</f>
        <v>42</v>
      </c>
      <c r="D18" s="31">
        <f>C18*(1+$F$14)</f>
        <v>44.848539516248799</v>
      </c>
    </row>
    <row r="20" spans="2:9" ht="19.5" customHeight="1" x14ac:dyDescent="0.35">
      <c r="B20" s="55" t="s">
        <v>100</v>
      </c>
      <c r="C20" s="55"/>
      <c r="D20" s="55"/>
      <c r="E20" s="55"/>
      <c r="F20" s="55"/>
      <c r="G20" s="55"/>
      <c r="H20" s="55"/>
      <c r="I20" s="55"/>
    </row>
    <row r="21" spans="2:9" ht="25.5" customHeight="1" x14ac:dyDescent="0.35">
      <c r="B21" s="63" t="s">
        <v>101</v>
      </c>
      <c r="C21" s="63"/>
      <c r="D21" s="63"/>
      <c r="E21" s="63"/>
      <c r="F21" s="63"/>
      <c r="G21" s="63"/>
      <c r="H21" s="63"/>
    </row>
    <row r="22" spans="2:9" ht="30" customHeight="1" x14ac:dyDescent="0.35">
      <c r="B22" s="5" t="s">
        <v>81</v>
      </c>
      <c r="C22" s="5" t="s">
        <v>102</v>
      </c>
      <c r="D22" s="5"/>
      <c r="E22" s="5" t="s">
        <v>85</v>
      </c>
      <c r="F22" s="5" t="s">
        <v>70</v>
      </c>
      <c r="G22" s="5" t="s">
        <v>86</v>
      </c>
      <c r="H22" s="5"/>
      <c r="I22" s="5"/>
    </row>
    <row r="23" spans="2:9" x14ac:dyDescent="0.35">
      <c r="B23" s="18" t="s">
        <v>103</v>
      </c>
      <c r="C23" s="62">
        <v>1.2E-2</v>
      </c>
      <c r="D23" s="62"/>
      <c r="E23" s="4" t="s">
        <v>90</v>
      </c>
      <c r="F23" s="21">
        <v>1</v>
      </c>
      <c r="G23" s="22">
        <f t="shared" ref="G23:G28" si="2">F23*C23</f>
        <v>1.2E-2</v>
      </c>
    </row>
    <row r="24" spans="2:9" x14ac:dyDescent="0.35">
      <c r="B24" s="23" t="s">
        <v>104</v>
      </c>
      <c r="C24" s="61">
        <v>8.9999999999999993E-3</v>
      </c>
      <c r="D24" s="61"/>
      <c r="E24" s="26" t="s">
        <v>90</v>
      </c>
      <c r="F24" s="27">
        <v>1</v>
      </c>
      <c r="G24" s="28">
        <f t="shared" si="2"/>
        <v>8.9999999999999993E-3</v>
      </c>
    </row>
    <row r="25" spans="2:9" x14ac:dyDescent="0.35">
      <c r="B25" s="18" t="s">
        <v>105</v>
      </c>
      <c r="C25" s="62">
        <v>1.4999999999999999E-2</v>
      </c>
      <c r="D25" s="62"/>
      <c r="E25" s="4" t="s">
        <v>90</v>
      </c>
      <c r="F25" s="21">
        <v>1</v>
      </c>
      <c r="G25" s="22">
        <f t="shared" si="2"/>
        <v>1.4999999999999999E-2</v>
      </c>
    </row>
    <row r="26" spans="2:9" x14ac:dyDescent="0.35">
      <c r="B26" s="23" t="s">
        <v>106</v>
      </c>
      <c r="C26" s="61">
        <v>8.0000000000000002E-3</v>
      </c>
      <c r="D26" s="61"/>
      <c r="E26" s="26" t="s">
        <v>90</v>
      </c>
      <c r="F26" s="27">
        <v>1</v>
      </c>
      <c r="G26" s="28">
        <f t="shared" si="2"/>
        <v>8.0000000000000002E-3</v>
      </c>
    </row>
    <row r="27" spans="2:9" x14ac:dyDescent="0.35">
      <c r="B27" s="18" t="s">
        <v>107</v>
      </c>
      <c r="C27" s="62">
        <v>1.0999999999999999E-2</v>
      </c>
      <c r="D27" s="62"/>
      <c r="E27" s="4" t="s">
        <v>90</v>
      </c>
      <c r="F27" s="21">
        <v>1</v>
      </c>
      <c r="G27" s="22">
        <f t="shared" si="2"/>
        <v>1.0999999999999999E-2</v>
      </c>
    </row>
    <row r="28" spans="2:9" x14ac:dyDescent="0.35">
      <c r="B28" s="23" t="s">
        <v>108</v>
      </c>
      <c r="C28" s="61">
        <v>0.01</v>
      </c>
      <c r="D28" s="61"/>
      <c r="E28" s="26" t="s">
        <v>90</v>
      </c>
      <c r="F28" s="27">
        <v>1</v>
      </c>
      <c r="G28" s="28">
        <f t="shared" si="2"/>
        <v>0.01</v>
      </c>
    </row>
    <row r="30" spans="2:9" ht="19.5" customHeight="1" x14ac:dyDescent="0.35">
      <c r="B30" s="55" t="s">
        <v>109</v>
      </c>
      <c r="C30" s="55"/>
      <c r="D30" s="55"/>
      <c r="E30" s="55"/>
      <c r="F30" s="55"/>
      <c r="G30" s="55"/>
      <c r="H30" s="55"/>
      <c r="I30" s="55"/>
    </row>
    <row r="31" spans="2:9" x14ac:dyDescent="0.35">
      <c r="B31" s="53" t="s">
        <v>110</v>
      </c>
      <c r="C31" s="53"/>
      <c r="D31" s="53"/>
      <c r="E31" s="53"/>
      <c r="F31" s="29">
        <f>SUMPRODUCT(F23:F28,C23:C28)/SUM(F23:F28)</f>
        <v>1.0833333333333332E-2</v>
      </c>
    </row>
    <row r="32" spans="2:9" ht="30" customHeight="1" x14ac:dyDescent="0.35">
      <c r="B32" s="5" t="s">
        <v>97</v>
      </c>
      <c r="C32" s="64" t="s">
        <v>111</v>
      </c>
      <c r="D32" s="64" t="s">
        <v>112</v>
      </c>
      <c r="E32" s="5" t="s">
        <v>113</v>
      </c>
      <c r="F32" s="5"/>
      <c r="G32" s="5"/>
      <c r="H32" s="5"/>
      <c r="I32" s="5"/>
    </row>
    <row r="33" spans="2:9" x14ac:dyDescent="0.35">
      <c r="B33" s="18" t="s">
        <v>40</v>
      </c>
      <c r="C33" s="32">
        <f>D16</f>
        <v>13.881690802648439</v>
      </c>
      <c r="D33" s="31">
        <f>C33*(1+F31)</f>
        <v>14.032075786343796</v>
      </c>
      <c r="E33" s="32">
        <f>D33-C33</f>
        <v>0.15038498369535702</v>
      </c>
    </row>
    <row r="34" spans="2:9" x14ac:dyDescent="0.35">
      <c r="B34" s="18" t="s">
        <v>42</v>
      </c>
      <c r="C34" s="32">
        <f>D17</f>
        <v>26.695559235862383</v>
      </c>
      <c r="D34" s="31">
        <f>C34*(1+F31)</f>
        <v>26.984761127584225</v>
      </c>
      <c r="E34" s="32">
        <f>D34-C34</f>
        <v>0.28920189172184152</v>
      </c>
    </row>
    <row r="35" spans="2:9" x14ac:dyDescent="0.35">
      <c r="B35" s="18" t="s">
        <v>43</v>
      </c>
      <c r="C35" s="32">
        <f>D18</f>
        <v>44.848539516248799</v>
      </c>
      <c r="D35" s="31">
        <f>C35*(1+F31)</f>
        <v>45.334398694341488</v>
      </c>
      <c r="E35" s="32">
        <f>D35-C35</f>
        <v>0.48585917809268864</v>
      </c>
    </row>
    <row r="37" spans="2:9" ht="19.5" customHeight="1" x14ac:dyDescent="0.35">
      <c r="B37" s="55" t="s">
        <v>114</v>
      </c>
      <c r="C37" s="55"/>
      <c r="D37" s="55"/>
      <c r="E37" s="55"/>
      <c r="F37" s="55"/>
      <c r="G37" s="55"/>
      <c r="H37" s="55"/>
      <c r="I37" s="55"/>
    </row>
    <row r="38" spans="2:9" ht="30" customHeight="1" x14ac:dyDescent="0.35">
      <c r="B38" s="5" t="s">
        <v>115</v>
      </c>
      <c r="C38" s="5" t="s">
        <v>116</v>
      </c>
      <c r="D38" s="5" t="s">
        <v>117</v>
      </c>
      <c r="E38" s="5" t="s">
        <v>118</v>
      </c>
      <c r="F38" s="5"/>
      <c r="G38" s="5"/>
      <c r="H38" s="5"/>
      <c r="I38" s="5"/>
    </row>
    <row r="39" spans="2:9" ht="62.5" x14ac:dyDescent="0.35">
      <c r="B39" s="4" t="s">
        <v>119</v>
      </c>
      <c r="C39" s="22">
        <f>MAX(C26:C28)</f>
        <v>1.0999999999999999E-2</v>
      </c>
      <c r="D39" s="33">
        <f>Assumptions!$C$13</f>
        <v>0.05</v>
      </c>
      <c r="E39" s="34" t="str">
        <f>IF(C39&lt;=D39,"PASS","FAIL")</f>
        <v>PASS</v>
      </c>
    </row>
    <row r="40" spans="2:9" ht="87.5" x14ac:dyDescent="0.35">
      <c r="B40" s="4" t="s">
        <v>120</v>
      </c>
      <c r="C40" s="22">
        <f>MAX(C23:C28)</f>
        <v>1.4999999999999999E-2</v>
      </c>
      <c r="D40" s="33">
        <f>Assumptions!$C$14</f>
        <v>0.08</v>
      </c>
      <c r="E40" s="34" t="str">
        <f>IF(C40&lt;=D40,"PASS","FAIL")</f>
        <v>PASS</v>
      </c>
    </row>
    <row r="41" spans="2:9" ht="62.5" x14ac:dyDescent="0.35">
      <c r="B41" s="4" t="s">
        <v>121</v>
      </c>
      <c r="C41" s="32">
        <f>E34</f>
        <v>0.28920189172184152</v>
      </c>
      <c r="D41" s="30">
        <f>Assumptions!$C$15</f>
        <v>1</v>
      </c>
      <c r="E41" s="34" t="str">
        <f>IF(ROUND(C41,1)&lt;=D41,"PASS","FAIL")</f>
        <v>PASS</v>
      </c>
    </row>
    <row r="42" spans="2:9" ht="42" x14ac:dyDescent="0.35">
      <c r="B42" s="60" t="s">
        <v>122</v>
      </c>
      <c r="C42" s="60"/>
      <c r="D42" s="60"/>
      <c r="E42" s="35" t="str">
        <f>IF(COUNTIF(E39:E41,"FAIL")=0,"PASS - PROCEED TO PHASE 2","FAIL - REMAIN IN PHASE 1")</f>
        <v>PASS - PROCEED TO PHASE 2</v>
      </c>
    </row>
  </sheetData>
  <mergeCells count="17">
    <mergeCell ref="A1:I1"/>
    <mergeCell ref="A2:I2"/>
    <mergeCell ref="B4:I4"/>
    <mergeCell ref="B13:I13"/>
    <mergeCell ref="B14:E14"/>
    <mergeCell ref="B20:I20"/>
    <mergeCell ref="B21:H21"/>
    <mergeCell ref="C23:D23"/>
    <mergeCell ref="C24:D24"/>
    <mergeCell ref="C25:D25"/>
    <mergeCell ref="B37:I37"/>
    <mergeCell ref="B42:D42"/>
    <mergeCell ref="C26:D26"/>
    <mergeCell ref="C27:D27"/>
    <mergeCell ref="C28:D28"/>
    <mergeCell ref="B30:I30"/>
    <mergeCell ref="B31:E3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I47"/>
  <sheetViews>
    <sheetView showGridLines="0" zoomScaleNormal="100" workbookViewId="0">
      <pane xSplit="1" ySplit="3" topLeftCell="B45" activePane="bottomRight" state="frozen"/>
      <selection pane="topRight" activeCell="B1" sqref="B1"/>
      <selection pane="bottomLeft" activeCell="A4" sqref="A4"/>
      <selection pane="bottomRight" activeCell="K8" sqref="K8"/>
    </sheetView>
  </sheetViews>
  <sheetFormatPr defaultColWidth="8.6328125" defaultRowHeight="14.5" x14ac:dyDescent="0.35"/>
  <cols>
    <col min="1" max="1" width="4" customWidth="1"/>
    <col min="2" max="2" width="16" customWidth="1"/>
    <col min="3" max="4" width="15" customWidth="1"/>
    <col min="5" max="5" width="13" customWidth="1"/>
    <col min="6" max="6" width="22" customWidth="1"/>
    <col min="7" max="7" width="9" customWidth="1"/>
    <col min="8" max="8" width="12" customWidth="1"/>
    <col min="9" max="9" width="4" customWidth="1"/>
  </cols>
  <sheetData>
    <row r="1" spans="1:9" ht="33.75" customHeight="1" x14ac:dyDescent="0.35">
      <c r="A1" s="57" t="s">
        <v>123</v>
      </c>
      <c r="B1" s="57"/>
      <c r="C1" s="57"/>
      <c r="D1" s="57"/>
      <c r="E1" s="57"/>
      <c r="F1" s="57"/>
      <c r="G1" s="57"/>
      <c r="H1" s="57"/>
      <c r="I1" s="57"/>
    </row>
    <row r="2" spans="1:9" ht="15.75" customHeight="1" x14ac:dyDescent="0.35">
      <c r="A2" s="58" t="s">
        <v>124</v>
      </c>
      <c r="B2" s="58"/>
      <c r="C2" s="58"/>
      <c r="D2" s="58"/>
      <c r="E2" s="58"/>
      <c r="F2" s="58"/>
      <c r="G2" s="58"/>
      <c r="H2" s="58"/>
      <c r="I2" s="58"/>
    </row>
    <row r="4" spans="1:9" ht="19.5" customHeight="1" x14ac:dyDescent="0.35">
      <c r="B4" s="55" t="s">
        <v>125</v>
      </c>
      <c r="C4" s="55"/>
      <c r="D4" s="55"/>
      <c r="E4" s="55"/>
      <c r="F4" s="55"/>
      <c r="G4" s="55"/>
      <c r="H4" s="55"/>
      <c r="I4" s="55"/>
    </row>
    <row r="5" spans="1:9" ht="30" customHeight="1" x14ac:dyDescent="0.35">
      <c r="B5" s="5" t="s">
        <v>126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70</v>
      </c>
      <c r="H5" s="5" t="s">
        <v>86</v>
      </c>
    </row>
    <row r="6" spans="1:9" x14ac:dyDescent="0.35">
      <c r="B6" s="18" t="s">
        <v>127</v>
      </c>
      <c r="C6" s="19">
        <v>4820000</v>
      </c>
      <c r="D6" s="19">
        <v>4604000</v>
      </c>
      <c r="E6" s="20">
        <f>(C6-D6)/D6</f>
        <v>4.6915725456125108E-2</v>
      </c>
      <c r="F6" s="4" t="s">
        <v>90</v>
      </c>
      <c r="G6" s="21">
        <v>1</v>
      </c>
      <c r="H6" s="22">
        <f>G6*E6</f>
        <v>4.6915725456125108E-2</v>
      </c>
    </row>
    <row r="7" spans="1:9" x14ac:dyDescent="0.35">
      <c r="B7" s="23" t="s">
        <v>128</v>
      </c>
      <c r="C7" s="24">
        <v>4910000</v>
      </c>
      <c r="D7" s="24">
        <v>4725000</v>
      </c>
      <c r="E7" s="25">
        <f>(C7-D7)/D7</f>
        <v>3.9153439153439155E-2</v>
      </c>
      <c r="F7" s="26" t="s">
        <v>90</v>
      </c>
      <c r="G7" s="27">
        <v>1</v>
      </c>
      <c r="H7" s="28">
        <f>G7*E7</f>
        <v>3.9153439153439155E-2</v>
      </c>
    </row>
    <row r="8" spans="1:9" x14ac:dyDescent="0.35">
      <c r="B8" s="18" t="s">
        <v>129</v>
      </c>
      <c r="C8" s="19">
        <v>4750000</v>
      </c>
      <c r="D8" s="19">
        <v>4510000</v>
      </c>
      <c r="E8" s="20">
        <f>(C8-D8)/D8</f>
        <v>5.3215077605321508E-2</v>
      </c>
      <c r="F8" s="4" t="s">
        <v>130</v>
      </c>
      <c r="G8" s="21">
        <v>0.7</v>
      </c>
      <c r="H8" s="22">
        <f>G8*E8</f>
        <v>3.7250554323725052E-2</v>
      </c>
    </row>
    <row r="9" spans="1:9" x14ac:dyDescent="0.35">
      <c r="B9" s="23" t="s">
        <v>131</v>
      </c>
      <c r="C9" s="24">
        <v>5020000</v>
      </c>
      <c r="D9" s="24">
        <v>4825000</v>
      </c>
      <c r="E9" s="25">
        <f>(C9-D9)/D9</f>
        <v>4.0414507772020727E-2</v>
      </c>
      <c r="F9" s="26" t="s">
        <v>90</v>
      </c>
      <c r="G9" s="27">
        <v>1</v>
      </c>
      <c r="H9" s="28">
        <f>G9*E9</f>
        <v>4.0414507772020727E-2</v>
      </c>
    </row>
    <row r="11" spans="1:9" ht="19.5" customHeight="1" x14ac:dyDescent="0.35">
      <c r="B11" s="55" t="s">
        <v>132</v>
      </c>
      <c r="C11" s="55"/>
      <c r="D11" s="55"/>
      <c r="E11" s="55"/>
      <c r="F11" s="55"/>
      <c r="G11" s="55"/>
      <c r="H11" s="55"/>
      <c r="I11" s="55"/>
    </row>
    <row r="12" spans="1:9" x14ac:dyDescent="0.35">
      <c r="B12" s="53" t="s">
        <v>133</v>
      </c>
      <c r="C12" s="53"/>
      <c r="D12" s="53"/>
      <c r="E12" s="53"/>
      <c r="F12" s="29">
        <f>SUMPRODUCT(G6:G9,E6:E9)/SUM(G6:G9)</f>
        <v>4.4252493704137849E-2</v>
      </c>
    </row>
    <row r="13" spans="1:9" ht="30" customHeight="1" x14ac:dyDescent="0.35">
      <c r="B13" s="5" t="s">
        <v>97</v>
      </c>
      <c r="C13" s="5" t="s">
        <v>134</v>
      </c>
      <c r="D13" s="5" t="s">
        <v>135</v>
      </c>
      <c r="E13" s="5" t="s">
        <v>113</v>
      </c>
      <c r="F13" s="5"/>
      <c r="G13" s="5"/>
      <c r="H13" s="5"/>
      <c r="I13" s="5"/>
    </row>
    <row r="14" spans="1:9" x14ac:dyDescent="0.35">
      <c r="B14" s="18" t="s">
        <v>40</v>
      </c>
      <c r="C14" s="30">
        <f>'Phase 1 - Monthly'!D33</f>
        <v>14.032075786343796</v>
      </c>
      <c r="D14" s="31">
        <f>C14*(1+F12)</f>
        <v>14.653030131734958</v>
      </c>
      <c r="E14" s="32">
        <f>D14-C14</f>
        <v>0.62095434539116212</v>
      </c>
    </row>
    <row r="15" spans="1:9" x14ac:dyDescent="0.35">
      <c r="B15" s="18" t="s">
        <v>42</v>
      </c>
      <c r="C15" s="30">
        <f>'Phase 1 - Monthly'!D34</f>
        <v>26.984761127584225</v>
      </c>
      <c r="D15" s="31">
        <f>C15*(1+F12)</f>
        <v>28.178904099490307</v>
      </c>
      <c r="E15" s="32">
        <f>D15-C15</f>
        <v>1.1941429719060821</v>
      </c>
    </row>
    <row r="16" spans="1:9" x14ac:dyDescent="0.35">
      <c r="B16" s="18" t="s">
        <v>43</v>
      </c>
      <c r="C16" s="30">
        <f>'Phase 1 - Monthly'!D35</f>
        <v>45.334398694341488</v>
      </c>
      <c r="D16" s="31">
        <f>C16*(1+F12)</f>
        <v>47.340558887143708</v>
      </c>
      <c r="E16" s="32">
        <f>D16-C16</f>
        <v>2.0061601928022199</v>
      </c>
    </row>
    <row r="18" spans="2:9" ht="19.5" customHeight="1" x14ac:dyDescent="0.35">
      <c r="B18" s="55" t="s">
        <v>136</v>
      </c>
      <c r="C18" s="55"/>
      <c r="D18" s="55"/>
      <c r="E18" s="55"/>
      <c r="F18" s="55"/>
      <c r="G18" s="55"/>
      <c r="H18" s="55"/>
      <c r="I18" s="55"/>
    </row>
    <row r="19" spans="2:9" ht="30" customHeight="1" x14ac:dyDescent="0.35">
      <c r="B19" s="5" t="s">
        <v>115</v>
      </c>
      <c r="C19" s="5" t="s">
        <v>116</v>
      </c>
      <c r="D19" s="5" t="s">
        <v>117</v>
      </c>
      <c r="E19" s="5" t="s">
        <v>118</v>
      </c>
      <c r="F19" s="5"/>
      <c r="G19" s="5"/>
      <c r="H19" s="5"/>
      <c r="I19" s="5"/>
    </row>
    <row r="20" spans="2:9" ht="37.5" x14ac:dyDescent="0.35">
      <c r="B20" s="4" t="s">
        <v>137</v>
      </c>
      <c r="C20" s="22">
        <f>MAX(E6:E9)</f>
        <v>5.3215077605321508E-2</v>
      </c>
      <c r="D20" s="33">
        <f>Assumptions!$C$16</f>
        <v>0.05</v>
      </c>
      <c r="E20" s="34" t="str">
        <f>IF(C20&lt;=D20,"PASS","FAIL")</f>
        <v>FAIL</v>
      </c>
    </row>
    <row r="21" spans="2:9" ht="37.5" x14ac:dyDescent="0.35">
      <c r="B21" s="4" t="s">
        <v>138</v>
      </c>
      <c r="C21" s="22">
        <f>F12</f>
        <v>4.4252493704137849E-2</v>
      </c>
      <c r="D21" s="33">
        <f>Assumptions!$C$17</f>
        <v>0.03</v>
      </c>
      <c r="E21" s="34" t="str">
        <f>IF(C21&lt;=D21,"PASS","FAIL")</f>
        <v>FAIL</v>
      </c>
    </row>
    <row r="22" spans="2:9" ht="37.5" x14ac:dyDescent="0.35">
      <c r="B22" s="4" t="s">
        <v>139</v>
      </c>
      <c r="C22" s="22">
        <f>MAX(E6:E9)</f>
        <v>5.3215077605321508E-2</v>
      </c>
      <c r="D22" s="33">
        <f>Assumptions!$C$18</f>
        <v>0.08</v>
      </c>
      <c r="E22" s="34" t="str">
        <f>IF(C22&lt;=D22,"PASS","FAIL")</f>
        <v>PASS</v>
      </c>
    </row>
    <row r="23" spans="2:9" ht="37.5" x14ac:dyDescent="0.35">
      <c r="B23" s="4" t="s">
        <v>140</v>
      </c>
      <c r="C23" s="32">
        <f>E15</f>
        <v>1.1941429719060821</v>
      </c>
      <c r="D23" s="30">
        <f>Assumptions!$C$19</f>
        <v>0.5</v>
      </c>
      <c r="E23" s="34" t="str">
        <f>IF(ROUND(C23,1)&lt;=D23,"PASS","FAIL")</f>
        <v>FAIL</v>
      </c>
    </row>
    <row r="24" spans="2:9" ht="21.75" customHeight="1" x14ac:dyDescent="0.35">
      <c r="B24" s="60" t="s">
        <v>141</v>
      </c>
      <c r="C24" s="60"/>
      <c r="D24" s="60"/>
      <c r="E24" s="36" t="str">
        <f>IF(COUNTIF(E20:E23,"FAIL")=0,"PASS - PROCEED TO PHASE 3","FAIL - EXTEND PHASE 2 BY 1 YEAR")</f>
        <v>FAIL - EXTEND PHASE 2 BY 1 YEAR</v>
      </c>
    </row>
    <row r="26" spans="2:9" ht="19.5" customHeight="1" x14ac:dyDescent="0.35">
      <c r="B26" s="55" t="s">
        <v>142</v>
      </c>
      <c r="C26" s="55"/>
      <c r="D26" s="55"/>
      <c r="E26" s="55"/>
      <c r="F26" s="55"/>
      <c r="G26" s="55"/>
      <c r="H26" s="55"/>
      <c r="I26" s="55"/>
    </row>
    <row r="27" spans="2:9" ht="21.75" customHeight="1" x14ac:dyDescent="0.35">
      <c r="B27" s="63" t="s">
        <v>143</v>
      </c>
      <c r="C27" s="63"/>
      <c r="D27" s="63"/>
      <c r="E27" s="63"/>
      <c r="F27" s="63"/>
      <c r="G27" s="63"/>
      <c r="H27" s="63"/>
    </row>
    <row r="28" spans="2:9" ht="30" customHeight="1" x14ac:dyDescent="0.35">
      <c r="B28" s="5" t="s">
        <v>126</v>
      </c>
      <c r="C28" s="5" t="s">
        <v>84</v>
      </c>
      <c r="D28" s="5"/>
      <c r="E28" s="5" t="s">
        <v>85</v>
      </c>
      <c r="F28" s="5" t="s">
        <v>70</v>
      </c>
      <c r="G28" s="5" t="s">
        <v>86</v>
      </c>
      <c r="H28" s="5"/>
      <c r="I28" s="5"/>
    </row>
    <row r="29" spans="2:9" x14ac:dyDescent="0.35">
      <c r="B29" s="18" t="s">
        <v>144</v>
      </c>
      <c r="C29" s="62">
        <v>1.7999999999999999E-2</v>
      </c>
      <c r="D29" s="62"/>
      <c r="E29" s="4" t="s">
        <v>90</v>
      </c>
      <c r="F29" s="21">
        <v>1</v>
      </c>
      <c r="G29" s="22">
        <f>F29*C29</f>
        <v>1.7999999999999999E-2</v>
      </c>
    </row>
    <row r="30" spans="2:9" x14ac:dyDescent="0.35">
      <c r="B30" s="23" t="s">
        <v>145</v>
      </c>
      <c r="C30" s="61">
        <v>2.1000000000000001E-2</v>
      </c>
      <c r="D30" s="61"/>
      <c r="E30" s="26" t="s">
        <v>90</v>
      </c>
      <c r="F30" s="27">
        <v>1</v>
      </c>
      <c r="G30" s="28">
        <f>F30*C30</f>
        <v>2.1000000000000001E-2</v>
      </c>
    </row>
    <row r="31" spans="2:9" x14ac:dyDescent="0.35">
      <c r="B31" s="18" t="s">
        <v>146</v>
      </c>
      <c r="C31" s="62">
        <v>1.4999999999999999E-2</v>
      </c>
      <c r="D31" s="62"/>
      <c r="E31" s="4" t="s">
        <v>90</v>
      </c>
      <c r="F31" s="21">
        <v>1</v>
      </c>
      <c r="G31" s="22">
        <f>F31*C31</f>
        <v>1.4999999999999999E-2</v>
      </c>
    </row>
    <row r="32" spans="2:9" x14ac:dyDescent="0.35">
      <c r="B32" s="23" t="s">
        <v>147</v>
      </c>
      <c r="C32" s="61">
        <v>1.9E-2</v>
      </c>
      <c r="D32" s="61"/>
      <c r="E32" s="26" t="s">
        <v>90</v>
      </c>
      <c r="F32" s="27">
        <v>1</v>
      </c>
      <c r="G32" s="28">
        <f>F32*C32</f>
        <v>1.9E-2</v>
      </c>
    </row>
    <row r="34" spans="2:9" ht="19.5" customHeight="1" x14ac:dyDescent="0.35">
      <c r="B34" s="55" t="s">
        <v>148</v>
      </c>
      <c r="C34" s="55"/>
      <c r="D34" s="55"/>
      <c r="E34" s="55"/>
      <c r="F34" s="55"/>
      <c r="G34" s="55"/>
      <c r="H34" s="55"/>
      <c r="I34" s="55"/>
    </row>
    <row r="35" spans="2:9" x14ac:dyDescent="0.35">
      <c r="B35" s="53" t="s">
        <v>149</v>
      </c>
      <c r="C35" s="53"/>
      <c r="D35" s="53"/>
      <c r="E35" s="53"/>
      <c r="F35" s="29">
        <f>SUMPRODUCT(F29:F32,C29:C32)/SUM(F29:F32)</f>
        <v>1.8249999999999999E-2</v>
      </c>
    </row>
    <row r="36" spans="2:9" ht="30" customHeight="1" x14ac:dyDescent="0.35">
      <c r="B36" s="5" t="s">
        <v>97</v>
      </c>
      <c r="C36" s="5" t="s">
        <v>135</v>
      </c>
      <c r="D36" s="5" t="s">
        <v>150</v>
      </c>
      <c r="E36" s="5" t="s">
        <v>113</v>
      </c>
      <c r="F36" s="5"/>
      <c r="G36" s="5"/>
      <c r="H36" s="5"/>
      <c r="I36" s="5"/>
    </row>
    <row r="37" spans="2:9" x14ac:dyDescent="0.35">
      <c r="B37" s="18" t="s">
        <v>40</v>
      </c>
      <c r="C37" s="32">
        <f>D14</f>
        <v>14.653030131734958</v>
      </c>
      <c r="D37" s="31">
        <f>C37*(1+F35)</f>
        <v>14.920447931639123</v>
      </c>
      <c r="E37" s="32">
        <f>D37-C37</f>
        <v>0.26741779990416426</v>
      </c>
    </row>
    <row r="38" spans="2:9" x14ac:dyDescent="0.35">
      <c r="B38" s="18" t="s">
        <v>42</v>
      </c>
      <c r="C38" s="32">
        <f>D15</f>
        <v>28.178904099490307</v>
      </c>
      <c r="D38" s="31">
        <f>C38*(1+F35)</f>
        <v>28.693169099306008</v>
      </c>
      <c r="E38" s="32">
        <f>D38-C38</f>
        <v>0.51426499981570117</v>
      </c>
    </row>
    <row r="39" spans="2:9" x14ac:dyDescent="0.35">
      <c r="B39" s="18" t="s">
        <v>43</v>
      </c>
      <c r="C39" s="32">
        <f>D16</f>
        <v>47.340558887143708</v>
      </c>
      <c r="D39" s="31">
        <f>C39*(1+F35)</f>
        <v>48.204524086834084</v>
      </c>
      <c r="E39" s="32">
        <f>D39-C39</f>
        <v>0.86396519969037655</v>
      </c>
    </row>
    <row r="41" spans="2:9" ht="19.5" customHeight="1" x14ac:dyDescent="0.35">
      <c r="B41" s="55" t="s">
        <v>151</v>
      </c>
      <c r="C41" s="55"/>
      <c r="D41" s="55"/>
      <c r="E41" s="55"/>
      <c r="F41" s="55"/>
      <c r="G41" s="55"/>
      <c r="H41" s="55"/>
      <c r="I41" s="55"/>
    </row>
    <row r="42" spans="2:9" ht="30" customHeight="1" x14ac:dyDescent="0.35">
      <c r="B42" s="5" t="s">
        <v>115</v>
      </c>
      <c r="C42" s="5" t="s">
        <v>116</v>
      </c>
      <c r="D42" s="5" t="s">
        <v>117</v>
      </c>
      <c r="E42" s="5" t="s">
        <v>118</v>
      </c>
      <c r="F42" s="5"/>
      <c r="G42" s="5"/>
      <c r="H42" s="5"/>
      <c r="I42" s="5"/>
    </row>
    <row r="43" spans="2:9" ht="37.5" x14ac:dyDescent="0.35">
      <c r="B43" s="4" t="s">
        <v>137</v>
      </c>
      <c r="C43" s="22">
        <f>MAX(C29:C32)</f>
        <v>2.1000000000000001E-2</v>
      </c>
      <c r="D43" s="33">
        <f>Assumptions!$C$16</f>
        <v>0.05</v>
      </c>
      <c r="E43" s="34" t="str">
        <f>IF(C43&lt;=D43,"PASS","FAIL")</f>
        <v>PASS</v>
      </c>
    </row>
    <row r="44" spans="2:9" ht="37.5" x14ac:dyDescent="0.35">
      <c r="B44" s="4" t="s">
        <v>138</v>
      </c>
      <c r="C44" s="22">
        <f>F35</f>
        <v>1.8249999999999999E-2</v>
      </c>
      <c r="D44" s="33">
        <f>Assumptions!$C$17</f>
        <v>0.03</v>
      </c>
      <c r="E44" s="34" t="str">
        <f>IF(C44&lt;=D44,"PASS","FAIL")</f>
        <v>PASS</v>
      </c>
    </row>
    <row r="45" spans="2:9" ht="37.5" x14ac:dyDescent="0.35">
      <c r="B45" s="4" t="s">
        <v>139</v>
      </c>
      <c r="C45" s="22">
        <f>MAX(C29:C32)</f>
        <v>2.1000000000000001E-2</v>
      </c>
      <c r="D45" s="33">
        <f>Assumptions!$C$18</f>
        <v>0.08</v>
      </c>
      <c r="E45" s="34" t="str">
        <f>IF(C45&lt;=D45,"PASS","FAIL")</f>
        <v>PASS</v>
      </c>
    </row>
    <row r="46" spans="2:9" ht="37.5" x14ac:dyDescent="0.35">
      <c r="B46" s="4" t="s">
        <v>152</v>
      </c>
      <c r="C46" s="32">
        <f>E38</f>
        <v>0.51426499981570117</v>
      </c>
      <c r="D46" s="30">
        <f>Assumptions!$C$19</f>
        <v>0.5</v>
      </c>
      <c r="E46" s="34" t="str">
        <f>IF(ROUND(C46,1)&lt;=D46,"PASS","FAIL")</f>
        <v>PASS</v>
      </c>
    </row>
    <row r="47" spans="2:9" ht="21.75" customHeight="1" x14ac:dyDescent="0.35">
      <c r="B47" s="60" t="s">
        <v>153</v>
      </c>
      <c r="C47" s="60"/>
      <c r="D47" s="60"/>
      <c r="E47" s="35" t="str">
        <f>IF(COUNTIF(E43:E46,"FAIL")=0,"PASS - PROCEED TO PHASE 3","FAIL - EXTEND PHASE 2 FURTHER")</f>
        <v>PASS - PROCEED TO PHASE 3</v>
      </c>
    </row>
  </sheetData>
  <mergeCells count="17">
    <mergeCell ref="A1:I1"/>
    <mergeCell ref="A2:I2"/>
    <mergeCell ref="B4:I4"/>
    <mergeCell ref="B11:I11"/>
    <mergeCell ref="B12:E12"/>
    <mergeCell ref="B18:I18"/>
    <mergeCell ref="B24:D24"/>
    <mergeCell ref="B26:I26"/>
    <mergeCell ref="B27:H27"/>
    <mergeCell ref="C29:D29"/>
    <mergeCell ref="B41:I41"/>
    <mergeCell ref="B47:D47"/>
    <mergeCell ref="C30:D30"/>
    <mergeCell ref="C31:D31"/>
    <mergeCell ref="C32:D32"/>
    <mergeCell ref="B34:I34"/>
    <mergeCell ref="B35:E3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F2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8" sqref="J8"/>
    </sheetView>
  </sheetViews>
  <sheetFormatPr defaultColWidth="8.6328125" defaultRowHeight="14.5" x14ac:dyDescent="0.35"/>
  <cols>
    <col min="1" max="1" width="4" customWidth="1"/>
    <col min="2" max="2" width="22" customWidth="1"/>
    <col min="3" max="4" width="18" customWidth="1"/>
    <col min="5" max="5" width="14" customWidth="1"/>
    <col min="6" max="6" width="4" customWidth="1"/>
  </cols>
  <sheetData>
    <row r="1" spans="1:6" ht="33.75" customHeight="1" x14ac:dyDescent="0.35">
      <c r="A1" s="57" t="s">
        <v>154</v>
      </c>
      <c r="B1" s="57"/>
      <c r="C1" s="57"/>
      <c r="D1" s="57"/>
      <c r="E1" s="57"/>
      <c r="F1" s="57"/>
    </row>
    <row r="2" spans="1:6" ht="30" customHeight="1" x14ac:dyDescent="0.35">
      <c r="A2" s="58" t="s">
        <v>155</v>
      </c>
      <c r="B2" s="58"/>
      <c r="C2" s="58"/>
      <c r="D2" s="58"/>
      <c r="E2" s="58"/>
      <c r="F2" s="58"/>
    </row>
    <row r="4" spans="1:6" ht="19.5" customHeight="1" x14ac:dyDescent="0.35">
      <c r="B4" s="55" t="s">
        <v>156</v>
      </c>
      <c r="C4" s="55"/>
      <c r="D4" s="55"/>
      <c r="E4" s="55"/>
    </row>
    <row r="5" spans="1:6" ht="30" customHeight="1" x14ac:dyDescent="0.35">
      <c r="B5" s="5" t="s">
        <v>97</v>
      </c>
      <c r="C5" s="5" t="s">
        <v>157</v>
      </c>
      <c r="D5" s="5"/>
      <c r="E5" s="5"/>
    </row>
    <row r="6" spans="1:6" x14ac:dyDescent="0.35">
      <c r="B6" s="18" t="s">
        <v>40</v>
      </c>
      <c r="C6" s="30">
        <f>'Phase 2 - Quarterly'!D37</f>
        <v>14.920447931639123</v>
      </c>
    </row>
    <row r="7" spans="1:6" x14ac:dyDescent="0.35">
      <c r="B7" s="18" t="s">
        <v>42</v>
      </c>
      <c r="C7" s="30">
        <f>'Phase 2 - Quarterly'!D38</f>
        <v>28.693169099306008</v>
      </c>
    </row>
    <row r="8" spans="1:6" x14ac:dyDescent="0.35">
      <c r="B8" s="18" t="s">
        <v>43</v>
      </c>
      <c r="C8" s="30">
        <f>'Phase 2 - Quarterly'!D39</f>
        <v>48.204524086834084</v>
      </c>
    </row>
    <row r="10" spans="1:6" ht="19.5" customHeight="1" x14ac:dyDescent="0.35">
      <c r="B10" s="55" t="s">
        <v>158</v>
      </c>
      <c r="C10" s="55"/>
      <c r="D10" s="55"/>
      <c r="E10" s="55"/>
    </row>
    <row r="11" spans="1:6" ht="30" customHeight="1" x14ac:dyDescent="0.35">
      <c r="B11" s="5" t="s">
        <v>159</v>
      </c>
      <c r="C11" s="5" t="s">
        <v>46</v>
      </c>
      <c r="D11" s="5"/>
      <c r="E11" s="5"/>
    </row>
    <row r="12" spans="1:6" x14ac:dyDescent="0.35">
      <c r="B12" s="13" t="s">
        <v>160</v>
      </c>
      <c r="C12" s="37">
        <v>19500000</v>
      </c>
    </row>
    <row r="13" spans="1:6" x14ac:dyDescent="0.35">
      <c r="B13" s="13" t="s">
        <v>161</v>
      </c>
      <c r="C13" s="37">
        <v>19167000</v>
      </c>
    </row>
    <row r="14" spans="1:6" x14ac:dyDescent="0.35">
      <c r="B14" s="38" t="s">
        <v>162</v>
      </c>
      <c r="C14" s="29">
        <f>(C12-C13)/C13</f>
        <v>1.7373610893723586E-2</v>
      </c>
    </row>
    <row r="16" spans="1:6" ht="19.5" customHeight="1" x14ac:dyDescent="0.35">
      <c r="B16" s="55" t="s">
        <v>163</v>
      </c>
      <c r="C16" s="55"/>
      <c r="D16" s="55"/>
      <c r="E16" s="55"/>
    </row>
    <row r="17" spans="2:5" ht="30" customHeight="1" x14ac:dyDescent="0.35">
      <c r="B17" s="5" t="s">
        <v>115</v>
      </c>
      <c r="C17" s="5" t="s">
        <v>116</v>
      </c>
      <c r="D17" s="5" t="s">
        <v>117</v>
      </c>
      <c r="E17" s="5" t="s">
        <v>118</v>
      </c>
    </row>
    <row r="18" spans="2:5" ht="39" x14ac:dyDescent="0.35">
      <c r="B18" s="4" t="s">
        <v>164</v>
      </c>
      <c r="C18" s="22">
        <f>C14</f>
        <v>1.7373610893723586E-2</v>
      </c>
      <c r="D18" s="33">
        <f>Assumptions!$C$20</f>
        <v>0.02</v>
      </c>
      <c r="E18" s="34" t="str">
        <f>IF(C18&lt;=D18,"PASS - NO TF CHANGE NEEDED","FAIL - RE-OPEN TF FOR CORRECTION")</f>
        <v>PASS - NO TF CHANGE NEEDED</v>
      </c>
    </row>
    <row r="20" spans="2:5" ht="30" customHeight="1" x14ac:dyDescent="0.35">
      <c r="B20" s="54" t="s">
        <v>165</v>
      </c>
      <c r="C20" s="54"/>
      <c r="D20" s="54"/>
      <c r="E20" s="54"/>
    </row>
  </sheetData>
  <mergeCells count="6">
    <mergeCell ref="B20:E20"/>
    <mergeCell ref="A1:F1"/>
    <mergeCell ref="A2:F2"/>
    <mergeCell ref="B4:E4"/>
    <mergeCell ref="B10:E10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3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36" sqref="J36"/>
    </sheetView>
  </sheetViews>
  <sheetFormatPr defaultColWidth="8.6328125" defaultRowHeight="14.5" x14ac:dyDescent="0.35"/>
  <cols>
    <col min="1" max="1" width="4" customWidth="1"/>
    <col min="2" max="2" width="39.1796875" bestFit="1" customWidth="1"/>
    <col min="3" max="3" width="15.90625" bestFit="1" customWidth="1"/>
    <col min="4" max="4" width="14" customWidth="1"/>
    <col min="5" max="5" width="12" customWidth="1"/>
    <col min="6" max="6" width="20" customWidth="1"/>
    <col min="7" max="7" width="4" customWidth="1"/>
  </cols>
  <sheetData>
    <row r="1" spans="1:7" ht="33.75" customHeight="1" x14ac:dyDescent="0.35">
      <c r="A1" s="57" t="s">
        <v>166</v>
      </c>
      <c r="B1" s="57"/>
      <c r="C1" s="57"/>
      <c r="D1" s="57"/>
      <c r="E1" s="57"/>
      <c r="F1" s="57"/>
      <c r="G1" s="57"/>
    </row>
    <row r="2" spans="1:7" ht="15.75" customHeight="1" x14ac:dyDescent="0.35">
      <c r="A2" s="58" t="s">
        <v>167</v>
      </c>
      <c r="B2" s="58"/>
      <c r="C2" s="58"/>
      <c r="D2" s="58"/>
      <c r="E2" s="58"/>
      <c r="F2" s="58"/>
      <c r="G2" s="58"/>
    </row>
    <row r="4" spans="1:7" ht="19.5" customHeight="1" x14ac:dyDescent="0.35">
      <c r="B4" s="55" t="s">
        <v>168</v>
      </c>
      <c r="C4" s="55"/>
      <c r="D4" s="55"/>
      <c r="E4" s="55"/>
      <c r="F4" s="55"/>
    </row>
    <row r="5" spans="1:7" ht="30" customHeight="1" x14ac:dyDescent="0.35"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</row>
    <row r="6" spans="1:7" x14ac:dyDescent="0.35">
      <c r="B6" s="4" t="s">
        <v>174</v>
      </c>
      <c r="C6" s="30">
        <f>Assumptions!$C$7</f>
        <v>25</v>
      </c>
      <c r="D6" s="2">
        <v>0.20100000000000001</v>
      </c>
      <c r="E6" s="18" t="s">
        <v>175</v>
      </c>
      <c r="F6" s="39" t="s">
        <v>176</v>
      </c>
    </row>
    <row r="7" spans="1:7" x14ac:dyDescent="0.35">
      <c r="B7" s="26" t="s">
        <v>177</v>
      </c>
      <c r="C7" s="40">
        <f>'Phase 1 - Monthly'!D17</f>
        <v>26.695559235862383</v>
      </c>
      <c r="D7" s="41">
        <f>'Phase 1 - Monthly'!$F$14</f>
        <v>6.7822369434495183E-2</v>
      </c>
      <c r="E7" s="23" t="s">
        <v>175</v>
      </c>
      <c r="F7" s="42" t="s">
        <v>178</v>
      </c>
    </row>
    <row r="8" spans="1:7" x14ac:dyDescent="0.35">
      <c r="B8" s="4" t="s">
        <v>179</v>
      </c>
      <c r="C8" s="30">
        <f>'Phase 1 - Monthly'!D34</f>
        <v>26.984761127584225</v>
      </c>
      <c r="D8" s="43">
        <f>'Phase 1 - Monthly'!F31</f>
        <v>1.0833333333333332E-2</v>
      </c>
      <c r="E8" s="18" t="s">
        <v>175</v>
      </c>
      <c r="F8" s="44" t="s">
        <v>180</v>
      </c>
    </row>
    <row r="9" spans="1:7" x14ac:dyDescent="0.35">
      <c r="B9" s="26" t="s">
        <v>181</v>
      </c>
      <c r="C9" s="40">
        <f>'Phase 2 - Quarterly'!D15</f>
        <v>28.178904099490307</v>
      </c>
      <c r="D9" s="41">
        <f>'Phase 2 - Quarterly'!F12</f>
        <v>4.4252493704137849E-2</v>
      </c>
      <c r="E9" s="23" t="s">
        <v>182</v>
      </c>
      <c r="F9" s="42" t="s">
        <v>183</v>
      </c>
    </row>
    <row r="10" spans="1:7" x14ac:dyDescent="0.35">
      <c r="B10" s="4" t="s">
        <v>184</v>
      </c>
      <c r="C10" s="30">
        <f>'Phase 2 - Quarterly'!D38</f>
        <v>28.693169099306008</v>
      </c>
      <c r="D10" s="43">
        <f>'Phase 2 - Quarterly'!F35</f>
        <v>1.8249999999999999E-2</v>
      </c>
      <c r="E10" s="18" t="s">
        <v>182</v>
      </c>
      <c r="F10" s="44" t="s">
        <v>185</v>
      </c>
    </row>
    <row r="11" spans="1:7" x14ac:dyDescent="0.35">
      <c r="B11" s="26" t="s">
        <v>186</v>
      </c>
      <c r="C11" s="40">
        <f>'Phase 3 - Annual'!C7</f>
        <v>28.693169099306008</v>
      </c>
      <c r="D11" s="41">
        <f>'Phase 3 - Annual'!C14</f>
        <v>1.7373610893723586E-2</v>
      </c>
      <c r="E11" s="23" t="s">
        <v>187</v>
      </c>
      <c r="F11" s="44" t="s">
        <v>188</v>
      </c>
    </row>
    <row r="13" spans="1:7" ht="19.5" customHeight="1" x14ac:dyDescent="0.35">
      <c r="B13" s="55" t="s">
        <v>189</v>
      </c>
      <c r="C13" s="55"/>
      <c r="D13" s="55"/>
      <c r="E13" s="55"/>
      <c r="F13" s="55"/>
    </row>
    <row r="14" spans="1:7" ht="30" customHeight="1" x14ac:dyDescent="0.35">
      <c r="B14" s="5" t="s">
        <v>159</v>
      </c>
      <c r="C14" s="5" t="s">
        <v>46</v>
      </c>
      <c r="D14" s="5" t="s">
        <v>47</v>
      </c>
      <c r="E14" s="5"/>
      <c r="F14" s="5"/>
    </row>
    <row r="15" spans="1:7" x14ac:dyDescent="0.35">
      <c r="B15" s="13" t="s">
        <v>190</v>
      </c>
      <c r="C15" s="45">
        <f>Assumptions!$C$7</f>
        <v>25</v>
      </c>
    </row>
    <row r="16" spans="1:7" x14ac:dyDescent="0.35">
      <c r="B16" s="13" t="s">
        <v>191</v>
      </c>
      <c r="C16" s="45">
        <f>'Phase 3 - Annual'!C7</f>
        <v>28.693169099306008</v>
      </c>
    </row>
    <row r="17" spans="2:7" x14ac:dyDescent="0.35">
      <c r="B17" s="38" t="s">
        <v>192</v>
      </c>
      <c r="C17" s="46">
        <f>C16-C15</f>
        <v>3.693169099306008</v>
      </c>
    </row>
    <row r="18" spans="2:7" x14ac:dyDescent="0.35">
      <c r="B18" s="38" t="s">
        <v>193</v>
      </c>
      <c r="C18" s="47">
        <f>C17/C15</f>
        <v>0.14772676397224033</v>
      </c>
    </row>
    <row r="19" spans="2:7" x14ac:dyDescent="0.35">
      <c r="B19" s="13" t="s">
        <v>194</v>
      </c>
      <c r="C19" s="48">
        <f>Assumptions!$C$21</f>
        <v>48000</v>
      </c>
    </row>
    <row r="20" spans="2:7" x14ac:dyDescent="0.35">
      <c r="B20" s="38" t="s">
        <v>195</v>
      </c>
      <c r="C20" s="49">
        <f>C17*C19</f>
        <v>177272.11676668838</v>
      </c>
      <c r="D20" s="54" t="s">
        <v>196</v>
      </c>
      <c r="E20" s="54"/>
      <c r="F20" s="54"/>
    </row>
    <row r="22" spans="2:7" ht="19.5" customHeight="1" x14ac:dyDescent="0.35">
      <c r="B22" s="55" t="s">
        <v>197</v>
      </c>
      <c r="C22" s="55"/>
      <c r="D22" s="55"/>
      <c r="E22" s="55"/>
      <c r="F22" s="55"/>
    </row>
    <row r="23" spans="2:7" ht="30" customHeight="1" x14ac:dyDescent="0.35">
      <c r="B23" s="5" t="s">
        <v>198</v>
      </c>
      <c r="C23" s="5" t="s">
        <v>172</v>
      </c>
      <c r="D23" s="5" t="s">
        <v>199</v>
      </c>
      <c r="E23" s="5"/>
      <c r="F23" s="5"/>
    </row>
    <row r="24" spans="2:7" ht="25" x14ac:dyDescent="0.35">
      <c r="B24" s="4" t="s">
        <v>200</v>
      </c>
      <c r="C24" s="18" t="s">
        <v>201</v>
      </c>
      <c r="D24" s="2">
        <v>1</v>
      </c>
    </row>
    <row r="25" spans="2:7" ht="25" x14ac:dyDescent="0.35">
      <c r="B25" s="26" t="s">
        <v>202</v>
      </c>
      <c r="C25" s="23" t="s">
        <v>203</v>
      </c>
      <c r="D25" s="1">
        <v>0.33</v>
      </c>
    </row>
    <row r="26" spans="2:7" ht="25" x14ac:dyDescent="0.35">
      <c r="B26" s="4" t="s">
        <v>204</v>
      </c>
      <c r="C26" s="18" t="s">
        <v>205</v>
      </c>
      <c r="D26" s="2">
        <v>0.08</v>
      </c>
    </row>
    <row r="28" spans="2:7" x14ac:dyDescent="0.35">
      <c r="B28" s="3" t="s">
        <v>206</v>
      </c>
      <c r="C28" s="50">
        <f>1-D26</f>
        <v>0.92</v>
      </c>
    </row>
    <row r="30" spans="2:7" ht="19.5" customHeight="1" x14ac:dyDescent="0.35">
      <c r="B30" s="55" t="s">
        <v>207</v>
      </c>
      <c r="C30" s="55"/>
      <c r="D30" s="55"/>
      <c r="E30" s="55"/>
      <c r="F30" s="55"/>
    </row>
    <row r="31" spans="2:7" x14ac:dyDescent="0.35">
      <c r="B31" s="63" t="s">
        <v>208</v>
      </c>
      <c r="C31" s="63"/>
      <c r="D31" s="63"/>
      <c r="E31" s="63"/>
      <c r="F31" s="63"/>
    </row>
    <row r="32" spans="2:7" x14ac:dyDescent="0.35">
      <c r="G32" s="51" t="s">
        <v>209</v>
      </c>
    </row>
    <row r="33" spans="7:7" x14ac:dyDescent="0.35">
      <c r="G33" s="52">
        <f>Assumptions!$C$12</f>
        <v>0.02</v>
      </c>
    </row>
    <row r="34" spans="7:7" x14ac:dyDescent="0.35">
      <c r="G34" s="52">
        <f>Assumptions!$C$12</f>
        <v>0.02</v>
      </c>
    </row>
    <row r="35" spans="7:7" x14ac:dyDescent="0.35">
      <c r="G35" s="52">
        <f>Assumptions!$C$12</f>
        <v>0.02</v>
      </c>
    </row>
    <row r="36" spans="7:7" x14ac:dyDescent="0.35">
      <c r="G36" s="52">
        <f>Assumptions!$C$12</f>
        <v>0.02</v>
      </c>
    </row>
    <row r="37" spans="7:7" x14ac:dyDescent="0.35">
      <c r="G37" s="52">
        <f>Assumptions!$C$12</f>
        <v>0.02</v>
      </c>
    </row>
    <row r="38" spans="7:7" x14ac:dyDescent="0.35">
      <c r="G38" s="52">
        <f>Assumptions!$C$12</f>
        <v>0.02</v>
      </c>
    </row>
  </sheetData>
  <mergeCells count="8">
    <mergeCell ref="B22:F22"/>
    <mergeCell ref="B30:F30"/>
    <mergeCell ref="B31:F31"/>
    <mergeCell ref="A1:G1"/>
    <mergeCell ref="A2:G2"/>
    <mergeCell ref="B4:F4"/>
    <mergeCell ref="B13:F13"/>
    <mergeCell ref="D20:F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Assumptions</vt:lpstr>
      <vt:lpstr>Phase 1 - Monthly</vt:lpstr>
      <vt:lpstr>Phase 2 - Quarterly</vt:lpstr>
      <vt:lpstr>Phase 3 - Annual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Sushant Rathore</cp:lastModifiedBy>
  <cp:revision>1</cp:revision>
  <dcterms:created xsi:type="dcterms:W3CDTF">2026-07-13T06:06:21Z</dcterms:created>
  <dcterms:modified xsi:type="dcterms:W3CDTF">2026-07-13T09:31:00Z</dcterms:modified>
  <dc:language>en-US</dc:language>
</cp:coreProperties>
</file>