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nt\OneDrive\Desktop\ANR\"/>
    </mc:Choice>
  </mc:AlternateContent>
  <xr:revisionPtr revIDLastSave="0" documentId="13_ncr:1_{4F03F848-BF66-46C0-B2B7-1EC53BBE0362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OB Detail" sheetId="1" r:id="rId1"/>
    <sheet name="Trip Factor" sheetId="3" r:id="rId2"/>
    <sheet name="April 26" sheetId="4" r:id="rId3"/>
    <sheet name="May 26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4" l="1"/>
  <c r="I14" i="4"/>
  <c r="D18" i="4"/>
  <c r="C18" i="4"/>
  <c r="D12" i="4"/>
  <c r="C12" i="4"/>
  <c r="D7" i="4"/>
  <c r="D7" i="5"/>
  <c r="C7" i="5"/>
  <c r="C7" i="4"/>
  <c r="K11" i="3"/>
  <c r="E18" i="5"/>
  <c r="D18" i="5"/>
  <c r="C18" i="5"/>
  <c r="F17" i="5"/>
  <c r="F16" i="5"/>
  <c r="I14" i="5"/>
  <c r="I13" i="5"/>
  <c r="D12" i="5"/>
  <c r="C12" i="5"/>
  <c r="F11" i="5"/>
  <c r="E11" i="5"/>
  <c r="D11" i="5"/>
  <c r="C11" i="5"/>
  <c r="F10" i="5"/>
  <c r="E10" i="5"/>
  <c r="E12" i="5" s="1"/>
  <c r="D10" i="5"/>
  <c r="C10" i="5"/>
  <c r="L7" i="5"/>
  <c r="J7" i="5"/>
  <c r="M7" i="5" s="1"/>
  <c r="E7" i="5"/>
  <c r="I6" i="5"/>
  <c r="K6" i="5" s="1"/>
  <c r="L6" i="5" s="1"/>
  <c r="H4" i="5"/>
  <c r="J6" i="5"/>
  <c r="F6" i="5"/>
  <c r="J5" i="5"/>
  <c r="F5" i="5"/>
  <c r="J4" i="5"/>
  <c r="F4" i="5"/>
  <c r="E18" i="4"/>
  <c r="F17" i="4"/>
  <c r="F16" i="4"/>
  <c r="I13" i="4"/>
  <c r="E11" i="4"/>
  <c r="E12" i="4" s="1"/>
  <c r="D11" i="4"/>
  <c r="F11" i="4" s="1"/>
  <c r="C11" i="4"/>
  <c r="F10" i="4"/>
  <c r="E10" i="4"/>
  <c r="D10" i="4"/>
  <c r="C10" i="4"/>
  <c r="L7" i="4"/>
  <c r="J7" i="4"/>
  <c r="E7" i="4"/>
  <c r="I6" i="4"/>
  <c r="K6" i="4" s="1"/>
  <c r="L6" i="4" s="1"/>
  <c r="H6" i="4"/>
  <c r="J6" i="4"/>
  <c r="F6" i="4"/>
  <c r="J5" i="4"/>
  <c r="H5" i="4"/>
  <c r="F5" i="4"/>
  <c r="J4" i="4"/>
  <c r="H4" i="4"/>
  <c r="H7" i="4" s="1"/>
  <c r="F4" i="4"/>
  <c r="D17" i="3"/>
  <c r="C17" i="3"/>
  <c r="B17" i="3"/>
  <c r="M16" i="3"/>
  <c r="L16" i="3"/>
  <c r="K16" i="3"/>
  <c r="G16" i="3"/>
  <c r="F16" i="3"/>
  <c r="E16" i="3"/>
  <c r="M15" i="3"/>
  <c r="L15" i="3"/>
  <c r="K15" i="3"/>
  <c r="G15" i="3"/>
  <c r="F15" i="3"/>
  <c r="E15" i="3"/>
  <c r="M14" i="3"/>
  <c r="L14" i="3"/>
  <c r="K14" i="3"/>
  <c r="G14" i="3"/>
  <c r="F14" i="3"/>
  <c r="E14" i="3"/>
  <c r="M13" i="3"/>
  <c r="L13" i="3"/>
  <c r="K13" i="3"/>
  <c r="G13" i="3"/>
  <c r="F13" i="3"/>
  <c r="E13" i="3"/>
  <c r="M12" i="3"/>
  <c r="L12" i="3"/>
  <c r="K12" i="3"/>
  <c r="G12" i="3"/>
  <c r="F12" i="3"/>
  <c r="E12" i="3"/>
  <c r="M11" i="3"/>
  <c r="L11" i="3"/>
  <c r="G11" i="3"/>
  <c r="F11" i="3"/>
  <c r="E11" i="3"/>
  <c r="M10" i="3"/>
  <c r="L10" i="3"/>
  <c r="K10" i="3"/>
  <c r="G10" i="3"/>
  <c r="F10" i="3"/>
  <c r="E10" i="3"/>
  <c r="M9" i="3"/>
  <c r="L9" i="3"/>
  <c r="K9" i="3"/>
  <c r="G9" i="3"/>
  <c r="F9" i="3"/>
  <c r="E9" i="3"/>
  <c r="M8" i="3"/>
  <c r="L8" i="3"/>
  <c r="K8" i="3"/>
  <c r="G8" i="3"/>
  <c r="F8" i="3"/>
  <c r="E8" i="3"/>
  <c r="G7" i="3"/>
  <c r="F7" i="3"/>
  <c r="E7" i="3"/>
  <c r="H16" i="1"/>
  <c r="E16" i="1"/>
  <c r="B16" i="1"/>
  <c r="K15" i="1"/>
  <c r="J15" i="1"/>
  <c r="I15" i="1"/>
  <c r="G15" i="1"/>
  <c r="F15" i="1"/>
  <c r="D15" i="1"/>
  <c r="K14" i="1"/>
  <c r="J14" i="1"/>
  <c r="I14" i="1"/>
  <c r="G14" i="1"/>
  <c r="F14" i="1"/>
  <c r="D14" i="1"/>
  <c r="K13" i="1"/>
  <c r="J13" i="1"/>
  <c r="I13" i="1"/>
  <c r="G13" i="1"/>
  <c r="F13" i="1"/>
  <c r="D13" i="1"/>
  <c r="K12" i="1"/>
  <c r="J12" i="1"/>
  <c r="I12" i="1"/>
  <c r="G12" i="1"/>
  <c r="F12" i="1"/>
  <c r="D12" i="1"/>
  <c r="K11" i="1"/>
  <c r="J11" i="1"/>
  <c r="I11" i="1"/>
  <c r="G11" i="1"/>
  <c r="F11" i="1"/>
  <c r="D11" i="1"/>
  <c r="K10" i="1"/>
  <c r="J10" i="1"/>
  <c r="I10" i="1"/>
  <c r="G10" i="1"/>
  <c r="F10" i="1"/>
  <c r="D10" i="1"/>
  <c r="K9" i="1"/>
  <c r="J9" i="1"/>
  <c r="I9" i="1"/>
  <c r="G9" i="1"/>
  <c r="F9" i="1"/>
  <c r="D9" i="1"/>
  <c r="C8" i="1"/>
  <c r="K8" i="1" s="1"/>
  <c r="J7" i="1"/>
  <c r="I7" i="1"/>
  <c r="F7" i="1"/>
  <c r="D7" i="1"/>
  <c r="C7" i="1"/>
  <c r="K7" i="1" s="1"/>
  <c r="J5" i="1"/>
  <c r="I5" i="1"/>
  <c r="E5" i="1"/>
  <c r="G5" i="1" s="1"/>
  <c r="D5" i="1"/>
  <c r="K4" i="1"/>
  <c r="J4" i="1"/>
  <c r="I4" i="1"/>
  <c r="G4" i="1"/>
  <c r="F4" i="1"/>
  <c r="D4" i="1"/>
  <c r="M7" i="4" l="1"/>
  <c r="F18" i="4"/>
  <c r="H7" i="5"/>
  <c r="F18" i="5"/>
  <c r="F7" i="5"/>
  <c r="H5" i="5"/>
  <c r="I5" i="5"/>
  <c r="K5" i="5" s="1"/>
  <c r="L5" i="5" s="1"/>
  <c r="I6" i="3" s="1"/>
  <c r="F12" i="5"/>
  <c r="F7" i="4"/>
  <c r="F12" i="4"/>
  <c r="J5" i="3"/>
  <c r="M6" i="4"/>
  <c r="M5" i="5"/>
  <c r="M6" i="5"/>
  <c r="J6" i="3"/>
  <c r="I4" i="5"/>
  <c r="G7" i="1"/>
  <c r="H6" i="5"/>
  <c r="F8" i="1"/>
  <c r="I8" i="1"/>
  <c r="K5" i="1"/>
  <c r="C6" i="1"/>
  <c r="I5" i="4"/>
  <c r="K5" i="4" s="1"/>
  <c r="L5" i="4" s="1"/>
  <c r="I4" i="4"/>
  <c r="F5" i="1"/>
  <c r="J8" i="1"/>
  <c r="D8" i="1"/>
  <c r="G8" i="1"/>
  <c r="I7" i="5" l="1"/>
  <c r="K4" i="5"/>
  <c r="L7" i="3"/>
  <c r="F6" i="3"/>
  <c r="M5" i="3"/>
  <c r="M17" i="3" s="1"/>
  <c r="J17" i="3"/>
  <c r="G17" i="3" s="1"/>
  <c r="G5" i="3"/>
  <c r="I5" i="3"/>
  <c r="M5" i="4"/>
  <c r="K6" i="1"/>
  <c r="F6" i="1"/>
  <c r="G6" i="1"/>
  <c r="D6" i="1"/>
  <c r="J6" i="1"/>
  <c r="C16" i="1"/>
  <c r="I6" i="1"/>
  <c r="K4" i="4"/>
  <c r="I7" i="4"/>
  <c r="M6" i="3"/>
  <c r="M7" i="3"/>
  <c r="G6" i="3"/>
  <c r="L5" i="3" l="1"/>
  <c r="I17" i="3"/>
  <c r="F17" i="3" s="1"/>
  <c r="F5" i="3"/>
  <c r="K7" i="4"/>
  <c r="L4" i="4"/>
  <c r="J16" i="1"/>
  <c r="D16" i="1"/>
  <c r="I16" i="1"/>
  <c r="G16" i="1"/>
  <c r="F16" i="1"/>
  <c r="K16" i="1"/>
  <c r="L6" i="3"/>
  <c r="L4" i="5"/>
  <c r="K7" i="5"/>
  <c r="L17" i="3" l="1"/>
  <c r="H5" i="3"/>
  <c r="M4" i="4"/>
  <c r="M4" i="5"/>
  <c r="H6" i="3"/>
  <c r="K7" i="3" l="1"/>
  <c r="E6" i="3"/>
  <c r="K6" i="3"/>
  <c r="K5" i="3"/>
  <c r="K17" i="3" s="1"/>
  <c r="H17" i="3"/>
  <c r="E17" i="3" s="1"/>
  <c r="E5" i="3"/>
</calcChain>
</file>

<file path=xl/sharedStrings.xml><?xml version="1.0" encoding="utf-8"?>
<sst xmlns="http://schemas.openxmlformats.org/spreadsheetml/2006/main" count="182" uniqueCount="84">
  <si>
    <t>Talabira II &amp; III OCP</t>
  </si>
  <si>
    <t>Survey Quantity vs FMS Quantity</t>
  </si>
  <si>
    <t>Months</t>
  </si>
  <si>
    <t>NLCIL OB Signed Volume (Mcum)</t>
  </si>
  <si>
    <t>TOMPL Total (OB+SHALE) in Cum</t>
  </si>
  <si>
    <t>% Diff between NLCIL and TOMPL</t>
  </si>
  <si>
    <t>Trips data by DIMPL</t>
  </si>
  <si>
    <t xml:space="preserve">% Diff between NLCIL &amp; DIMPL </t>
  </si>
  <si>
    <t>% Diff between TOML &amp; DIMPL</t>
  </si>
  <si>
    <t>Trips data by FMS</t>
  </si>
  <si>
    <t>% Diff between NLCIL &amp; FMS</t>
  </si>
  <si>
    <t>% Diff between TOMPL &amp; FMS</t>
  </si>
  <si>
    <t>% Diff between DIMPL &amp; FMS</t>
  </si>
  <si>
    <t>Difference in OB Qty Figures</t>
  </si>
  <si>
    <t xml:space="preserve">Difference in Quantity in Percentage </t>
  </si>
  <si>
    <t>Survey</t>
  </si>
  <si>
    <t>DIMPL</t>
  </si>
  <si>
    <t>FMS</t>
  </si>
  <si>
    <t>Survey vs FMS</t>
  </si>
  <si>
    <t>Survey vs DIMPL</t>
  </si>
  <si>
    <t>DIMPL vs FMS</t>
  </si>
  <si>
    <t>OB Quantity</t>
  </si>
  <si>
    <t>TOTAL</t>
  </si>
  <si>
    <t>NOTE :-</t>
  </si>
  <si>
    <t>All diffrence percentage is benchmarked with TOMPL survey volume quantity.</t>
  </si>
  <si>
    <t>Survey cycle for TOMPL volume survey is 27th of Month to 27th of Month.</t>
  </si>
  <si>
    <t>Survey cycle for NLCIL volume survey is 1st of Month to 31st of Month.</t>
  </si>
  <si>
    <t>DIMPL trip volume is null n void till, if their survey quantity is presented and reported for comparision with TOMPL and FMS quantity.</t>
  </si>
  <si>
    <t>5% variation is accepted between Survey and FMS report</t>
  </si>
  <si>
    <t>Any OB dumping 500 meter near to loading equipment and beyond 5 KM will be outlied for lead, quantity &amp; trip calculation.</t>
  </si>
  <si>
    <t>Survey Lead vs FMS Lead</t>
  </si>
  <si>
    <t xml:space="preserve">Coal </t>
  </si>
  <si>
    <t>OB Med</t>
  </si>
  <si>
    <t>OB Big</t>
  </si>
  <si>
    <t>OEM TF</t>
  </si>
  <si>
    <t>% Diff between OEM TF &amp; Surveyed TF</t>
  </si>
  <si>
    <t>TOMPL Surveyed TF</t>
  </si>
  <si>
    <t>% Diff between Pev. Survey TF &amp; Current Surveyed TF</t>
  </si>
  <si>
    <t>Small</t>
  </si>
  <si>
    <t>Medium</t>
  </si>
  <si>
    <t>Big</t>
  </si>
  <si>
    <t>OB Quantity and Lead for the month of April - 2026</t>
  </si>
  <si>
    <t>OB Trip Factor revision for the month of April - 2026</t>
  </si>
  <si>
    <t>Trips</t>
  </si>
  <si>
    <t>Qty</t>
  </si>
  <si>
    <t>Lead</t>
  </si>
  <si>
    <t>Wt. Lead</t>
  </si>
  <si>
    <t>FMS Trip %</t>
  </si>
  <si>
    <t>FMS Qty %</t>
  </si>
  <si>
    <t>FMS TF</t>
  </si>
  <si>
    <t>Survey Qty %</t>
  </si>
  <si>
    <t>Survey TF</t>
  </si>
  <si>
    <t>Infalation %</t>
  </si>
  <si>
    <t>OB</t>
  </si>
  <si>
    <t>Total</t>
  </si>
  <si>
    <t>Make</t>
  </si>
  <si>
    <t>Model</t>
  </si>
  <si>
    <t>Tonnage</t>
  </si>
  <si>
    <t>Cum</t>
  </si>
  <si>
    <t>Size Defination</t>
  </si>
  <si>
    <t xml:space="preserve">Survey </t>
  </si>
  <si>
    <t>Bharat Benz</t>
  </si>
  <si>
    <t>3528CM</t>
  </si>
  <si>
    <t xml:space="preserve">FMS </t>
  </si>
  <si>
    <t>Volvo</t>
  </si>
  <si>
    <t>FMX - 440</t>
  </si>
  <si>
    <t>FMS Trips</t>
  </si>
  <si>
    <t>Sany</t>
  </si>
  <si>
    <t>SKT90s</t>
  </si>
  <si>
    <t>Diff</t>
  </si>
  <si>
    <t>SKT105s</t>
  </si>
  <si>
    <t>Diff %</t>
  </si>
  <si>
    <t>Komatsu</t>
  </si>
  <si>
    <t>HD - 785-7</t>
  </si>
  <si>
    <t>Coal</t>
  </si>
  <si>
    <t>Note :-</t>
  </si>
  <si>
    <t>Survey and FMS OB trip and Volume considration date 1st April 2026 to 27th April 2026</t>
  </si>
  <si>
    <t>Dumpswitch connection work completed on 23rd April 2026, which is crucial for trip closure and quantity logging.</t>
  </si>
  <si>
    <t>OB Quantity and Lead for the month of May - 2026</t>
  </si>
  <si>
    <t>OB Trip Factor Revision for the month of May - 2026</t>
  </si>
  <si>
    <t>HEMM Qty</t>
  </si>
  <si>
    <t>Survey and FMS OB trip and Volume considration date 28th April 2026 to 25th May 2026</t>
  </si>
  <si>
    <t xml:space="preserve">                                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</si>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</sst>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"/>
    <numFmt numFmtId="165" formatCode="0.000"/>
    <numFmt numFmtId="166" formatCode="#"/>
  </numFmts>
  <fonts count="170" x14ac:knownFonts="1">
    <font>
      <sz val="12"/>
      <color indexed="8"/>
      <name val="Calibri"/>
      <family val="2"/>
      <scheme val="minor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sz val="10"/>
      <name val="Calibri"/>
    </font>
    <font>
      <sz val="10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2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6E9EB"/>
      </patternFill>
    </fill>
    <fill>
      <patternFill patternType="solid">
        <fgColor rgb="FFFFFF00"/>
      </patternFill>
    </fill>
    <fill>
      <patternFill patternType="solid">
        <fgColor rgb="FFA2C3A7"/>
      </patternFill>
    </fill>
    <fill>
      <patternFill patternType="solid">
        <fgColor rgb="FF92D050"/>
      </patternFill>
    </fill>
    <fill>
      <patternFill patternType="solid">
        <fgColor rgb="FF74A67B"/>
      </patternFill>
    </fill>
    <fill>
      <patternFill patternType="solid">
        <fgColor rgb="FFE8E8E8"/>
      </patternFill>
    </fill>
    <fill>
      <patternFill patternType="solid">
        <fgColor rgb="FFCEEBF6"/>
      </patternFill>
    </fill>
    <fill>
      <patternFill patternType="solid">
        <fgColor rgb="FFF6C6AC"/>
      </patternFill>
    </fill>
  </fills>
  <borders count="79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9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9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9"/>
      </top>
      <bottom style="medium">
        <color rgb="FF000000"/>
      </bottom>
      <diagonal/>
    </border>
    <border>
      <left style="medium">
        <color rgb="FF000000"/>
      </left>
      <right style="thin">
        <color indexed="9"/>
      </right>
      <top style="thin">
        <color indexed="9"/>
      </top>
      <bottom style="medium">
        <color rgb="FF000000"/>
      </bottom>
      <diagonal/>
    </border>
    <border>
      <left style="thin">
        <color rgb="FF000000"/>
      </left>
      <right style="thin">
        <color indexed="9"/>
      </right>
      <top style="thin">
        <color indexed="9"/>
      </top>
      <bottom style="medium">
        <color rgb="FF000000"/>
      </bottom>
      <diagonal/>
    </border>
    <border>
      <left style="thin">
        <color indexed="9"/>
      </left>
      <right style="thin">
        <color rgb="FF000000"/>
      </right>
      <top style="thin">
        <color indexed="9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9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9"/>
      </right>
      <top style="medium">
        <color rgb="FF000000"/>
      </top>
      <bottom style="medium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rgb="FF000000"/>
      </left>
      <right style="thin">
        <color indexed="9"/>
      </right>
      <top style="medium">
        <color rgb="FF000000"/>
      </top>
      <bottom style="medium">
        <color rgb="FF000000"/>
      </bottom>
      <diagonal/>
    </border>
    <border>
      <left style="thin">
        <color indexed="9"/>
      </left>
      <right style="thin">
        <color indexed="9"/>
      </right>
      <top style="medium">
        <color rgb="FF000000"/>
      </top>
      <bottom style="medium">
        <color rgb="FF000000"/>
      </bottom>
      <diagonal/>
    </border>
    <border>
      <left style="thin">
        <color indexed="9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rgb="FF000000"/>
      </top>
      <bottom style="thin">
        <color rgb="FF000000"/>
      </bottom>
      <diagonal/>
    </border>
    <border>
      <left style="thin">
        <color indexed="9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9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 style="thin">
        <color rgb="FF000000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 style="medium">
        <color rgb="FF00000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rgb="FF000000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rgb="FF000000"/>
      </bottom>
      <diagonal/>
    </border>
    <border>
      <left style="medium">
        <color rgb="FF000000"/>
      </left>
      <right style="thin">
        <color indexed="9"/>
      </right>
      <top style="medium">
        <color rgb="FF00000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rgb="FF000000"/>
      </top>
      <bottom style="thin">
        <color indexed="9"/>
      </bottom>
      <diagonal/>
    </border>
    <border>
      <left style="thin">
        <color indexed="9"/>
      </left>
      <right style="thin">
        <color rgb="FF000000"/>
      </right>
      <top style="medium">
        <color rgb="FF000000"/>
      </top>
      <bottom style="thin">
        <color indexed="9"/>
      </bottom>
      <diagonal/>
    </border>
    <border>
      <left style="thin">
        <color indexed="9"/>
      </left>
      <right style="medium">
        <color rgb="FF000000"/>
      </right>
      <top style="thin">
        <color indexed="9"/>
      </top>
      <bottom style="thin">
        <color indexed="9"/>
      </bottom>
      <diagonal/>
    </border>
    <border>
      <left style="medium">
        <color rgb="FF00000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9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9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9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9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9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69" fillId="0" borderId="0" applyFont="0" applyFill="0" applyBorder="0" applyAlignment="0" applyProtection="0"/>
  </cellStyleXfs>
  <cellXfs count="210">
    <xf numFmtId="0" fontId="0" fillId="0" borderId="0" xfId="0"/>
    <xf numFmtId="0" fontId="4" fillId="0" borderId="0" xfId="0" applyFont="1"/>
    <xf numFmtId="0" fontId="5" fillId="0" borderId="0" xfId="0" applyFont="1"/>
    <xf numFmtId="0" fontId="9" fillId="3" borderId="9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2" fillId="2" borderId="10" xfId="0" applyFont="1" applyFill="1" applyBorder="1" applyAlignment="1">
      <alignment horizontal="center" wrapText="1"/>
    </xf>
    <xf numFmtId="0" fontId="13" fillId="4" borderId="6" xfId="0" applyFont="1" applyFill="1" applyBorder="1" applyAlignment="1">
      <alignment horizontal="center" wrapText="1"/>
    </xf>
    <xf numFmtId="0" fontId="14" fillId="4" borderId="7" xfId="0" applyFont="1" applyFill="1" applyBorder="1" applyAlignment="1">
      <alignment horizontal="center" wrapText="1"/>
    </xf>
    <xf numFmtId="0" fontId="15" fillId="4" borderId="8" xfId="0" applyFont="1" applyFill="1" applyBorder="1" applyAlignment="1">
      <alignment horizontal="center" wrapText="1"/>
    </xf>
    <xf numFmtId="0" fontId="16" fillId="5" borderId="11" xfId="0" applyFont="1" applyFill="1" applyBorder="1" applyAlignment="1">
      <alignment horizontal="center" wrapText="1"/>
    </xf>
    <xf numFmtId="0" fontId="17" fillId="5" borderId="7" xfId="0" applyFont="1" applyFill="1" applyBorder="1" applyAlignment="1">
      <alignment horizontal="center" wrapText="1"/>
    </xf>
    <xf numFmtId="0" fontId="18" fillId="5" borderId="8" xfId="0" applyFont="1" applyFill="1" applyBorder="1" applyAlignment="1">
      <alignment horizontal="center" wrapText="1"/>
    </xf>
    <xf numFmtId="0" fontId="20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2" fillId="3" borderId="19" xfId="0" applyFont="1" applyFill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5" fillId="0" borderId="23" xfId="0" applyFont="1" applyBorder="1"/>
    <xf numFmtId="0" fontId="36" fillId="0" borderId="25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9" fillId="3" borderId="20" xfId="0" applyFont="1" applyFill="1" applyBorder="1" applyAlignment="1">
      <alignment horizontal="center"/>
    </xf>
    <xf numFmtId="0" fontId="40" fillId="0" borderId="27" xfId="0" applyFont="1" applyBorder="1" applyAlignment="1">
      <alignment horizontal="center"/>
    </xf>
    <xf numFmtId="0" fontId="41" fillId="0" borderId="28" xfId="0" applyFont="1" applyBorder="1" applyAlignment="1">
      <alignment horizontal="center" wrapText="1"/>
    </xf>
    <xf numFmtId="0" fontId="42" fillId="0" borderId="30" xfId="0" applyFont="1" applyBorder="1" applyAlignment="1">
      <alignment horizontal="center"/>
    </xf>
    <xf numFmtId="0" fontId="43" fillId="0" borderId="31" xfId="0" applyFont="1" applyBorder="1" applyAlignment="1">
      <alignment horizontal="center"/>
    </xf>
    <xf numFmtId="0" fontId="44" fillId="0" borderId="29" xfId="0" applyFont="1" applyBorder="1" applyAlignment="1">
      <alignment horizontal="center"/>
    </xf>
    <xf numFmtId="0" fontId="46" fillId="0" borderId="33" xfId="0" applyFont="1" applyBorder="1" applyAlignment="1">
      <alignment horizontal="center"/>
    </xf>
    <xf numFmtId="0" fontId="47" fillId="0" borderId="34" xfId="0" applyFont="1" applyBorder="1" applyAlignment="1">
      <alignment horizontal="center"/>
    </xf>
    <xf numFmtId="0" fontId="48" fillId="0" borderId="32" xfId="0" applyFont="1" applyBorder="1" applyAlignment="1">
      <alignment horizontal="center"/>
    </xf>
    <xf numFmtId="0" fontId="49" fillId="0" borderId="35" xfId="0" applyFont="1" applyBorder="1" applyAlignment="1">
      <alignment horizontal="center"/>
    </xf>
    <xf numFmtId="0" fontId="50" fillId="0" borderId="36" xfId="0" applyFont="1" applyBorder="1" applyAlignment="1">
      <alignment horizontal="center"/>
    </xf>
    <xf numFmtId="0" fontId="51" fillId="2" borderId="37" xfId="0" applyFont="1" applyFill="1" applyBorder="1" applyAlignment="1">
      <alignment horizontal="center"/>
    </xf>
    <xf numFmtId="0" fontId="52" fillId="2" borderId="4" xfId="0" applyFont="1" applyFill="1" applyBorder="1" applyAlignment="1">
      <alignment horizontal="center"/>
    </xf>
    <xf numFmtId="0" fontId="53" fillId="2" borderId="38" xfId="0" applyFont="1" applyFill="1" applyBorder="1" applyAlignment="1">
      <alignment horizontal="center"/>
    </xf>
    <xf numFmtId="0" fontId="54" fillId="6" borderId="3" xfId="0" applyFont="1" applyFill="1" applyBorder="1" applyAlignment="1">
      <alignment horizontal="center"/>
    </xf>
    <xf numFmtId="0" fontId="55" fillId="6" borderId="4" xfId="0" applyFont="1" applyFill="1" applyBorder="1" applyAlignment="1">
      <alignment horizontal="center"/>
    </xf>
    <xf numFmtId="0" fontId="56" fillId="6" borderId="5" xfId="0" applyFont="1" applyFill="1" applyBorder="1" applyAlignment="1">
      <alignment horizontal="center"/>
    </xf>
    <xf numFmtId="0" fontId="57" fillId="5" borderId="37" xfId="0" applyFont="1" applyFill="1" applyBorder="1" applyAlignment="1">
      <alignment horizontal="center"/>
    </xf>
    <xf numFmtId="0" fontId="58" fillId="5" borderId="4" xfId="0" applyFont="1" applyFill="1" applyBorder="1" applyAlignment="1">
      <alignment horizontal="center"/>
    </xf>
    <xf numFmtId="0" fontId="59" fillId="5" borderId="5" xfId="0" applyFont="1" applyFill="1" applyBorder="1" applyAlignment="1">
      <alignment horizontal="center"/>
    </xf>
    <xf numFmtId="0" fontId="60" fillId="3" borderId="39" xfId="0" applyFont="1" applyFill="1" applyBorder="1"/>
    <xf numFmtId="164" fontId="19" fillId="0" borderId="12" xfId="0" applyNumberFormat="1" applyFont="1" applyBorder="1" applyAlignment="1">
      <alignment horizontal="center"/>
    </xf>
    <xf numFmtId="2" fontId="20" fillId="0" borderId="13" xfId="0" applyNumberFormat="1" applyFont="1" applyBorder="1" applyAlignment="1">
      <alignment horizontal="center"/>
    </xf>
    <xf numFmtId="2" fontId="21" fillId="0" borderId="14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1" fontId="24" fillId="0" borderId="16" xfId="0" applyNumberFormat="1" applyFont="1" applyBorder="1" applyAlignment="1">
      <alignment horizontal="center"/>
    </xf>
    <xf numFmtId="164" fontId="28" fillId="0" borderId="18" xfId="0" applyNumberFormat="1" applyFont="1" applyBorder="1" applyAlignment="1">
      <alignment horizontal="center"/>
    </xf>
    <xf numFmtId="2" fontId="29" fillId="0" borderId="19" xfId="0" applyNumberFormat="1" applyFont="1" applyBorder="1" applyAlignment="1">
      <alignment horizontal="center"/>
    </xf>
    <xf numFmtId="2" fontId="30" fillId="0" borderId="20" xfId="0" applyNumberFormat="1" applyFont="1" applyBorder="1" applyAlignment="1">
      <alignment horizontal="center"/>
    </xf>
    <xf numFmtId="1" fontId="34" fillId="3" borderId="22" xfId="0" applyNumberFormat="1" applyFont="1" applyFill="1" applyBorder="1" applyAlignment="1">
      <alignment horizontal="center"/>
    </xf>
    <xf numFmtId="2" fontId="42" fillId="0" borderId="30" xfId="0" applyNumberFormat="1" applyFont="1" applyBorder="1" applyAlignment="1">
      <alignment horizontal="center"/>
    </xf>
    <xf numFmtId="1" fontId="42" fillId="0" borderId="30" xfId="0" applyNumberFormat="1" applyFont="1" applyBorder="1" applyAlignment="1">
      <alignment horizontal="center"/>
    </xf>
    <xf numFmtId="1" fontId="43" fillId="0" borderId="31" xfId="0" applyNumberFormat="1" applyFont="1" applyBorder="1" applyAlignment="1">
      <alignment horizontal="center"/>
    </xf>
    <xf numFmtId="2" fontId="44" fillId="0" borderId="29" xfId="0" applyNumberFormat="1" applyFont="1" applyBorder="1" applyAlignment="1">
      <alignment horizontal="center"/>
    </xf>
    <xf numFmtId="2" fontId="43" fillId="0" borderId="31" xfId="0" applyNumberFormat="1" applyFont="1" applyBorder="1" applyAlignment="1">
      <alignment horizontal="center"/>
    </xf>
    <xf numFmtId="164" fontId="45" fillId="0" borderId="32" xfId="0" applyNumberFormat="1" applyFont="1" applyBorder="1" applyAlignment="1">
      <alignment horizontal="center"/>
    </xf>
    <xf numFmtId="0" fontId="63" fillId="0" borderId="23" xfId="0" applyFont="1" applyBorder="1" applyAlignment="1">
      <alignment horizontal="center"/>
    </xf>
    <xf numFmtId="0" fontId="64" fillId="0" borderId="25" xfId="0" applyFont="1" applyBorder="1" applyAlignment="1">
      <alignment horizontal="center"/>
    </xf>
    <xf numFmtId="0" fontId="65" fillId="0" borderId="26" xfId="0" applyFont="1" applyBorder="1" applyAlignment="1">
      <alignment horizontal="center"/>
    </xf>
    <xf numFmtId="0" fontId="69" fillId="0" borderId="21" xfId="0" applyFont="1" applyBorder="1" applyAlignment="1">
      <alignment horizontal="center" wrapText="1"/>
    </xf>
    <xf numFmtId="0" fontId="70" fillId="0" borderId="49" xfId="0" applyFont="1" applyBorder="1" applyAlignment="1">
      <alignment horizontal="center"/>
    </xf>
    <xf numFmtId="0" fontId="71" fillId="0" borderId="52" xfId="0" applyFont="1" applyBorder="1" applyAlignment="1">
      <alignment horizontal="center"/>
    </xf>
    <xf numFmtId="0" fontId="76" fillId="0" borderId="28" xfId="0" applyFont="1" applyBorder="1" applyAlignment="1">
      <alignment horizontal="center"/>
    </xf>
    <xf numFmtId="0" fontId="77" fillId="2" borderId="40" xfId="0" applyFont="1" applyFill="1" applyBorder="1" applyAlignment="1">
      <alignment horizontal="center"/>
    </xf>
    <xf numFmtId="0" fontId="78" fillId="2" borderId="6" xfId="0" applyFont="1" applyFill="1" applyBorder="1" applyAlignment="1">
      <alignment horizontal="center"/>
    </xf>
    <xf numFmtId="0" fontId="79" fillId="2" borderId="7" xfId="0" applyFont="1" applyFill="1" applyBorder="1" applyAlignment="1">
      <alignment horizontal="center"/>
    </xf>
    <xf numFmtId="0" fontId="80" fillId="2" borderId="8" xfId="0" applyFont="1" applyFill="1" applyBorder="1" applyAlignment="1">
      <alignment horizontal="center"/>
    </xf>
    <xf numFmtId="164" fontId="62" fillId="0" borderId="12" xfId="0" applyNumberFormat="1" applyFont="1" applyBorder="1" applyAlignment="1">
      <alignment horizontal="center"/>
    </xf>
    <xf numFmtId="165" fontId="64" fillId="0" borderId="25" xfId="0" applyNumberFormat="1" applyFont="1" applyBorder="1" applyAlignment="1">
      <alignment horizontal="center"/>
    </xf>
    <xf numFmtId="164" fontId="66" fillId="0" borderId="18" xfId="0" applyNumberFormat="1" applyFont="1" applyBorder="1" applyAlignment="1">
      <alignment horizontal="center"/>
    </xf>
    <xf numFmtId="165" fontId="30" fillId="0" borderId="20" xfId="0" applyNumberFormat="1" applyFont="1" applyBorder="1" applyAlignment="1">
      <alignment horizontal="center"/>
    </xf>
    <xf numFmtId="165" fontId="42" fillId="0" borderId="30" xfId="0" applyNumberFormat="1" applyFont="1" applyBorder="1" applyAlignment="1">
      <alignment horizontal="center"/>
    </xf>
    <xf numFmtId="164" fontId="72" fillId="0" borderId="32" xfId="0" applyNumberFormat="1" applyFont="1" applyBorder="1" applyAlignment="1">
      <alignment horizontal="center"/>
    </xf>
    <xf numFmtId="0" fontId="89" fillId="7" borderId="55" xfId="0" applyFont="1" applyFill="1" applyBorder="1" applyAlignment="1">
      <alignment horizontal="center" wrapText="1"/>
    </xf>
    <xf numFmtId="0" fontId="90" fillId="7" borderId="56" xfId="0" applyFont="1" applyFill="1" applyBorder="1" applyAlignment="1">
      <alignment horizontal="center" wrapText="1"/>
    </xf>
    <xf numFmtId="0" fontId="91" fillId="7" borderId="57" xfId="0" applyFont="1" applyFill="1" applyBorder="1" applyAlignment="1">
      <alignment horizontal="center" wrapText="1"/>
    </xf>
    <xf numFmtId="0" fontId="92" fillId="7" borderId="58" xfId="0" applyFont="1" applyFill="1" applyBorder="1" applyAlignment="1">
      <alignment horizontal="center" wrapText="1"/>
    </xf>
    <xf numFmtId="0" fontId="93" fillId="7" borderId="59" xfId="0" applyFont="1" applyFill="1" applyBorder="1" applyAlignment="1">
      <alignment horizontal="center" wrapText="1"/>
    </xf>
    <xf numFmtId="0" fontId="97" fillId="0" borderId="24" xfId="0" applyFont="1" applyBorder="1" applyAlignment="1">
      <alignment horizontal="center"/>
    </xf>
    <xf numFmtId="0" fontId="98" fillId="2" borderId="11" xfId="0" applyFont="1" applyFill="1" applyBorder="1" applyAlignment="1">
      <alignment horizontal="center"/>
    </xf>
    <xf numFmtId="0" fontId="99" fillId="2" borderId="60" xfId="0" applyFont="1" applyFill="1" applyBorder="1" applyAlignment="1">
      <alignment horizontal="center"/>
    </xf>
    <xf numFmtId="1" fontId="94" fillId="0" borderId="23" xfId="0" applyNumberFormat="1" applyFont="1" applyBorder="1" applyAlignment="1">
      <alignment horizontal="center" wrapText="1"/>
    </xf>
    <xf numFmtId="1" fontId="95" fillId="0" borderId="25" xfId="0" applyNumberFormat="1" applyFont="1" applyBorder="1" applyAlignment="1">
      <alignment horizontal="center" wrapText="1"/>
    </xf>
    <xf numFmtId="1" fontId="96" fillId="0" borderId="26" xfId="0" applyNumberFormat="1" applyFont="1" applyBorder="1" applyAlignment="1">
      <alignment horizontal="center" wrapText="1"/>
    </xf>
    <xf numFmtId="1" fontId="67" fillId="0" borderId="19" xfId="0" applyNumberFormat="1" applyFont="1" applyBorder="1" applyAlignment="1">
      <alignment horizontal="center" wrapText="1"/>
    </xf>
    <xf numFmtId="1" fontId="68" fillId="0" borderId="20" xfId="0" applyNumberFormat="1" applyFont="1" applyBorder="1" applyAlignment="1">
      <alignment horizontal="center" wrapText="1"/>
    </xf>
    <xf numFmtId="1" fontId="69" fillId="0" borderId="21" xfId="0" applyNumberFormat="1" applyFont="1" applyBorder="1" applyAlignment="1">
      <alignment horizontal="center" wrapText="1"/>
    </xf>
    <xf numFmtId="1" fontId="73" fillId="0" borderId="28" xfId="0" applyNumberFormat="1" applyFont="1" applyBorder="1" applyAlignment="1">
      <alignment horizontal="center" wrapText="1"/>
    </xf>
    <xf numFmtId="1" fontId="74" fillId="0" borderId="30" xfId="0" applyNumberFormat="1" applyFont="1" applyBorder="1" applyAlignment="1">
      <alignment horizontal="center" wrapText="1"/>
    </xf>
    <xf numFmtId="1" fontId="75" fillId="0" borderId="31" xfId="0" applyNumberFormat="1" applyFont="1" applyBorder="1" applyAlignment="1">
      <alignment horizontal="center" wrapText="1"/>
    </xf>
    <xf numFmtId="0" fontId="106" fillId="8" borderId="60" xfId="0" applyFont="1" applyFill="1" applyBorder="1"/>
    <xf numFmtId="0" fontId="107" fillId="8" borderId="64" xfId="0" applyFont="1" applyFill="1" applyBorder="1"/>
    <xf numFmtId="0" fontId="108" fillId="8" borderId="55" xfId="0" applyFont="1" applyFill="1" applyBorder="1" applyAlignment="1">
      <alignment horizontal="center"/>
    </xf>
    <xf numFmtId="0" fontId="109" fillId="8" borderId="56" xfId="0" applyFont="1" applyFill="1" applyBorder="1" applyAlignment="1">
      <alignment horizontal="center"/>
    </xf>
    <xf numFmtId="0" fontId="110" fillId="8" borderId="57" xfId="0" applyFont="1" applyFill="1" applyBorder="1" applyAlignment="1">
      <alignment horizontal="center"/>
    </xf>
    <xf numFmtId="0" fontId="111" fillId="0" borderId="0" xfId="0" applyFont="1" applyAlignment="1">
      <alignment horizontal="center"/>
    </xf>
    <xf numFmtId="0" fontId="112" fillId="8" borderId="3" xfId="0" applyFont="1" applyFill="1" applyBorder="1" applyAlignment="1">
      <alignment horizontal="center"/>
    </xf>
    <xf numFmtId="0" fontId="113" fillId="8" borderId="4" xfId="0" applyFont="1" applyFill="1" applyBorder="1" applyAlignment="1">
      <alignment horizontal="center"/>
    </xf>
    <xf numFmtId="0" fontId="114" fillId="8" borderId="5" xfId="0" applyFont="1" applyFill="1" applyBorder="1" applyAlignment="1">
      <alignment horizontal="center"/>
    </xf>
    <xf numFmtId="0" fontId="116" fillId="8" borderId="48" xfId="0" applyFont="1" applyFill="1" applyBorder="1" applyAlignment="1">
      <alignment horizontal="center"/>
    </xf>
    <xf numFmtId="0" fontId="119" fillId="8" borderId="50" xfId="0" applyFont="1" applyFill="1" applyBorder="1" applyAlignment="1">
      <alignment horizontal="center"/>
    </xf>
    <xf numFmtId="0" fontId="122" fillId="8" borderId="51" xfId="0" applyFont="1" applyFill="1" applyBorder="1" applyAlignment="1">
      <alignment horizontal="center"/>
    </xf>
    <xf numFmtId="0" fontId="126" fillId="0" borderId="66" xfId="0" applyFont="1" applyBorder="1" applyAlignment="1">
      <alignment horizontal="center"/>
    </xf>
    <xf numFmtId="0" fontId="127" fillId="0" borderId="53" xfId="0" applyFont="1" applyBorder="1" applyAlignment="1">
      <alignment horizontal="center"/>
    </xf>
    <xf numFmtId="0" fontId="128" fillId="0" borderId="54" xfId="0" applyFont="1" applyBorder="1" applyAlignment="1">
      <alignment horizontal="center"/>
    </xf>
    <xf numFmtId="0" fontId="129" fillId="0" borderId="3" xfId="0" applyFont="1" applyBorder="1" applyAlignment="1">
      <alignment horizontal="center"/>
    </xf>
    <xf numFmtId="0" fontId="130" fillId="0" borderId="4" xfId="0" applyFont="1" applyBorder="1" applyAlignment="1">
      <alignment horizontal="center"/>
    </xf>
    <xf numFmtId="0" fontId="131" fillId="0" borderId="5" xfId="0" applyFont="1" applyBorder="1" applyAlignment="1">
      <alignment horizontal="center"/>
    </xf>
    <xf numFmtId="0" fontId="132" fillId="0" borderId="5" xfId="0" applyFont="1" applyBorder="1"/>
    <xf numFmtId="0" fontId="133" fillId="0" borderId="47" xfId="0" applyFont="1" applyBorder="1"/>
    <xf numFmtId="0" fontId="134" fillId="0" borderId="67" xfId="0" applyFont="1" applyBorder="1"/>
    <xf numFmtId="0" fontId="135" fillId="8" borderId="68" xfId="0" applyFont="1" applyFill="1" applyBorder="1" applyAlignment="1">
      <alignment horizontal="center"/>
    </xf>
    <xf numFmtId="0" fontId="136" fillId="8" borderId="69" xfId="0" applyFont="1" applyFill="1" applyBorder="1" applyAlignment="1">
      <alignment horizontal="center"/>
    </xf>
    <xf numFmtId="0" fontId="137" fillId="8" borderId="70" xfId="0" applyFont="1" applyFill="1" applyBorder="1" applyAlignment="1">
      <alignment horizontal="center"/>
    </xf>
    <xf numFmtId="0" fontId="141" fillId="8" borderId="44" xfId="0" applyFont="1" applyFill="1" applyBorder="1" applyAlignment="1">
      <alignment horizontal="center"/>
    </xf>
    <xf numFmtId="0" fontId="142" fillId="0" borderId="71" xfId="0" applyFont="1" applyBorder="1" applyAlignment="1">
      <alignment horizontal="center"/>
    </xf>
    <xf numFmtId="0" fontId="145" fillId="8" borderId="73" xfId="0" applyFont="1" applyFill="1" applyBorder="1" applyAlignment="1">
      <alignment horizontal="center"/>
    </xf>
    <xf numFmtId="0" fontId="149" fillId="8" borderId="74" xfId="0" applyFont="1" applyFill="1" applyBorder="1" applyAlignment="1">
      <alignment horizontal="center"/>
    </xf>
    <xf numFmtId="0" fontId="150" fillId="0" borderId="75" xfId="0" applyFont="1" applyBorder="1" applyAlignment="1">
      <alignment horizontal="center"/>
    </xf>
    <xf numFmtId="0" fontId="151" fillId="8" borderId="76" xfId="0" applyFont="1" applyFill="1" applyBorder="1" applyAlignment="1">
      <alignment horizontal="center"/>
    </xf>
    <xf numFmtId="0" fontId="153" fillId="8" borderId="45" xfId="0" applyFont="1" applyFill="1" applyBorder="1" applyAlignment="1">
      <alignment horizontal="center"/>
    </xf>
    <xf numFmtId="0" fontId="154" fillId="0" borderId="0" xfId="0" applyFont="1" applyAlignment="1">
      <alignment horizontal="center"/>
    </xf>
    <xf numFmtId="0" fontId="156" fillId="8" borderId="77" xfId="0" applyFont="1" applyFill="1" applyBorder="1" applyAlignment="1">
      <alignment horizontal="center"/>
    </xf>
    <xf numFmtId="0" fontId="157" fillId="8" borderId="39" xfId="0" applyFont="1" applyFill="1" applyBorder="1" applyAlignment="1">
      <alignment horizontal="center"/>
    </xf>
    <xf numFmtId="0" fontId="159" fillId="0" borderId="78" xfId="0" applyFont="1" applyBorder="1" applyAlignment="1">
      <alignment horizontal="center"/>
    </xf>
    <xf numFmtId="0" fontId="160" fillId="0" borderId="4" xfId="0" applyFont="1" applyBorder="1" applyAlignment="1">
      <alignment horizontal="center"/>
    </xf>
    <xf numFmtId="0" fontId="161" fillId="0" borderId="5" xfId="0" applyFont="1" applyBorder="1" applyAlignment="1">
      <alignment horizontal="center"/>
    </xf>
    <xf numFmtId="3" fontId="70" fillId="0" borderId="49" xfId="0" applyNumberFormat="1" applyFont="1" applyBorder="1" applyAlignment="1">
      <alignment horizontal="center"/>
    </xf>
    <xf numFmtId="3" fontId="64" fillId="0" borderId="25" xfId="0" applyNumberFormat="1" applyFont="1" applyBorder="1" applyAlignment="1">
      <alignment horizontal="center"/>
    </xf>
    <xf numFmtId="3" fontId="40" fillId="0" borderId="27" xfId="0" applyNumberFormat="1" applyFont="1" applyBorder="1" applyAlignment="1">
      <alignment horizontal="center"/>
    </xf>
    <xf numFmtId="3" fontId="30" fillId="0" borderId="20" xfId="0" applyNumberFormat="1" applyFont="1" applyBorder="1" applyAlignment="1">
      <alignment horizontal="center"/>
    </xf>
    <xf numFmtId="3" fontId="71" fillId="0" borderId="52" xfId="0" applyNumberFormat="1" applyFont="1" applyBorder="1" applyAlignment="1">
      <alignment horizontal="center"/>
    </xf>
    <xf numFmtId="3" fontId="42" fillId="0" borderId="30" xfId="0" applyNumberFormat="1" applyFont="1" applyBorder="1" applyAlignment="1">
      <alignment horizontal="center"/>
    </xf>
    <xf numFmtId="3" fontId="143" fillId="0" borderId="48" xfId="0" applyNumberFormat="1" applyFont="1" applyBorder="1" applyAlignment="1">
      <alignment horizontal="center"/>
    </xf>
    <xf numFmtId="1" fontId="21" fillId="0" borderId="14" xfId="0" applyNumberFormat="1" applyFont="1" applyBorder="1" applyAlignment="1">
      <alignment horizontal="center"/>
    </xf>
    <xf numFmtId="3" fontId="146" fillId="0" borderId="50" xfId="0" applyNumberFormat="1" applyFont="1" applyBorder="1" applyAlignment="1">
      <alignment horizontal="center"/>
    </xf>
    <xf numFmtId="1" fontId="30" fillId="0" borderId="20" xfId="0" applyNumberFormat="1" applyFont="1" applyBorder="1" applyAlignment="1">
      <alignment horizontal="center"/>
    </xf>
    <xf numFmtId="3" fontId="150" fillId="0" borderId="75" xfId="0" applyNumberFormat="1" applyFont="1" applyBorder="1" applyAlignment="1">
      <alignment horizontal="center"/>
    </xf>
    <xf numFmtId="166" fontId="162" fillId="0" borderId="0" xfId="0" applyNumberFormat="1" applyFont="1" applyAlignment="1">
      <alignment horizontal="right"/>
    </xf>
    <xf numFmtId="0" fontId="166" fillId="9" borderId="3" xfId="0" applyFont="1" applyFill="1" applyBorder="1" applyAlignment="1">
      <alignment horizontal="center"/>
    </xf>
    <xf numFmtId="0" fontId="167" fillId="9" borderId="4" xfId="0" applyFont="1" applyFill="1" applyBorder="1" applyAlignment="1">
      <alignment horizontal="center"/>
    </xf>
    <xf numFmtId="0" fontId="168" fillId="9" borderId="5" xfId="0" applyFont="1" applyFill="1" applyBorder="1"/>
    <xf numFmtId="166" fontId="70" fillId="0" borderId="49" xfId="0" applyNumberFormat="1" applyFont="1" applyBorder="1" applyAlignment="1">
      <alignment horizontal="center"/>
    </xf>
    <xf numFmtId="1" fontId="64" fillId="0" borderId="25" xfId="0" applyNumberFormat="1" applyFont="1" applyBorder="1" applyAlignment="1">
      <alignment horizontal="center"/>
    </xf>
    <xf numFmtId="1" fontId="65" fillId="0" borderId="26" xfId="0" applyNumberFormat="1" applyFont="1" applyBorder="1" applyAlignment="1">
      <alignment horizontal="center"/>
    </xf>
    <xf numFmtId="1" fontId="33" fillId="0" borderId="21" xfId="0" applyNumberFormat="1" applyFont="1" applyBorder="1" applyAlignment="1">
      <alignment horizontal="center"/>
    </xf>
    <xf numFmtId="10" fontId="63" fillId="0" borderId="23" xfId="1" applyNumberFormat="1" applyFont="1" applyBorder="1" applyAlignment="1">
      <alignment horizontal="center"/>
    </xf>
    <xf numFmtId="10" fontId="29" fillId="0" borderId="19" xfId="1" applyNumberFormat="1" applyFont="1" applyBorder="1" applyAlignment="1">
      <alignment horizontal="center"/>
    </xf>
    <xf numFmtId="10" fontId="46" fillId="0" borderId="33" xfId="1" applyNumberFormat="1" applyFont="1" applyBorder="1" applyAlignment="1">
      <alignment horizontal="center"/>
    </xf>
    <xf numFmtId="165" fontId="128" fillId="0" borderId="54" xfId="0" applyNumberFormat="1" applyFont="1" applyBorder="1" applyAlignment="1">
      <alignment horizontal="center"/>
    </xf>
    <xf numFmtId="2" fontId="128" fillId="0" borderId="54" xfId="0" applyNumberFormat="1" applyFont="1" applyBorder="1" applyAlignment="1">
      <alignment horizontal="center"/>
    </xf>
    <xf numFmtId="10" fontId="20" fillId="0" borderId="13" xfId="1" applyNumberFormat="1" applyFont="1" applyBorder="1" applyAlignment="1">
      <alignment horizontal="center"/>
    </xf>
    <xf numFmtId="10" fontId="21" fillId="0" borderId="14" xfId="1" applyNumberFormat="1" applyFont="1" applyBorder="1" applyAlignment="1">
      <alignment horizontal="center"/>
    </xf>
    <xf numFmtId="10" fontId="30" fillId="0" borderId="20" xfId="1" applyNumberFormat="1" applyFont="1" applyBorder="1" applyAlignment="1">
      <alignment horizontal="center"/>
    </xf>
    <xf numFmtId="10" fontId="47" fillId="0" borderId="34" xfId="1" applyNumberFormat="1" applyFont="1" applyBorder="1" applyAlignment="1">
      <alignment horizontal="center"/>
    </xf>
    <xf numFmtId="10" fontId="117" fillId="0" borderId="15" xfId="1" applyNumberFormat="1" applyFont="1" applyBorder="1"/>
    <xf numFmtId="10" fontId="120" fillId="0" borderId="21" xfId="1" applyNumberFormat="1" applyFont="1" applyBorder="1"/>
    <xf numFmtId="10" fontId="123" fillId="0" borderId="35" xfId="1" applyNumberFormat="1" applyFont="1" applyBorder="1"/>
    <xf numFmtId="165" fontId="127" fillId="0" borderId="53" xfId="0" applyNumberFormat="1" applyFont="1" applyBorder="1" applyAlignment="1">
      <alignment horizontal="center"/>
    </xf>
    <xf numFmtId="1" fontId="47" fillId="0" borderId="34" xfId="0" applyNumberFormat="1" applyFont="1" applyBorder="1" applyAlignment="1">
      <alignment horizontal="center"/>
    </xf>
    <xf numFmtId="1" fontId="49" fillId="0" borderId="35" xfId="0" applyNumberFormat="1" applyFont="1" applyBorder="1" applyAlignment="1">
      <alignment horizontal="center"/>
    </xf>
    <xf numFmtId="10" fontId="64" fillId="0" borderId="25" xfId="1" applyNumberFormat="1" applyFont="1" applyBorder="1" applyAlignment="1">
      <alignment horizontal="center"/>
    </xf>
    <xf numFmtId="10" fontId="152" fillId="0" borderId="76" xfId="1" applyNumberFormat="1" applyFont="1" applyBorder="1" applyAlignment="1">
      <alignment horizontal="center"/>
    </xf>
    <xf numFmtId="3" fontId="111" fillId="0" borderId="0" xfId="0" applyNumberFormat="1" applyFont="1" applyAlignment="1">
      <alignment horizontal="center"/>
    </xf>
    <xf numFmtId="0" fontId="100" fillId="8" borderId="61" xfId="0" applyFont="1" applyFill="1" applyBorder="1" applyAlignment="1">
      <alignment horizontal="center"/>
    </xf>
    <xf numFmtId="0" fontId="101" fillId="8" borderId="62" xfId="0" applyFont="1" applyFill="1" applyBorder="1" applyAlignment="1">
      <alignment horizontal="center"/>
    </xf>
    <xf numFmtId="0" fontId="102" fillId="8" borderId="63" xfId="0" applyFont="1" applyFill="1" applyBorder="1" applyAlignment="1">
      <alignment horizontal="center"/>
    </xf>
    <xf numFmtId="0" fontId="103" fillId="8" borderId="40" xfId="0" applyFont="1" applyFill="1" applyBorder="1" applyAlignment="1">
      <alignment horizontal="center"/>
    </xf>
    <xf numFmtId="0" fontId="104" fillId="8" borderId="41" xfId="0" applyFont="1" applyFill="1" applyBorder="1" applyAlignment="1">
      <alignment horizontal="center"/>
    </xf>
    <xf numFmtId="0" fontId="105" fillId="8" borderId="42" xfId="0" applyFont="1" applyFill="1" applyBorder="1" applyAlignment="1">
      <alignment horizontal="center"/>
    </xf>
    <xf numFmtId="0" fontId="115" fillId="8" borderId="61" xfId="0" applyFont="1" applyFill="1" applyBorder="1" applyAlignment="1">
      <alignment horizontal="center"/>
    </xf>
    <xf numFmtId="0" fontId="118" fillId="8" borderId="65" xfId="0" applyFont="1" applyFill="1" applyBorder="1" applyAlignment="1">
      <alignment horizontal="center"/>
    </xf>
    <xf numFmtId="0" fontId="121" fillId="8" borderId="9" xfId="0" applyFont="1" applyFill="1" applyBorder="1" applyAlignment="1">
      <alignment horizontal="center"/>
    </xf>
    <xf numFmtId="0" fontId="124" fillId="8" borderId="3" xfId="0" applyFont="1" applyFill="1" applyBorder="1" applyAlignment="1">
      <alignment horizontal="center"/>
    </xf>
    <xf numFmtId="0" fontId="158" fillId="8" borderId="5" xfId="0" applyFont="1" applyFill="1" applyBorder="1" applyAlignment="1">
      <alignment horizontal="center"/>
    </xf>
    <xf numFmtId="0" fontId="125" fillId="8" borderId="8" xfId="0" applyFont="1" applyFill="1" applyBorder="1" applyAlignment="1">
      <alignment horizontal="center"/>
    </xf>
    <xf numFmtId="0" fontId="138" fillId="8" borderId="40" xfId="0" applyFont="1" applyFill="1" applyBorder="1" applyAlignment="1">
      <alignment horizontal="center"/>
    </xf>
    <xf numFmtId="0" fontId="139" fillId="8" borderId="42" xfId="0" applyFont="1" applyFill="1" applyBorder="1" applyAlignment="1">
      <alignment horizontal="center"/>
    </xf>
    <xf numFmtId="0" fontId="140" fillId="8" borderId="43" xfId="0" applyFont="1" applyFill="1" applyBorder="1" applyAlignment="1">
      <alignment horizontal="center"/>
    </xf>
    <xf numFmtId="0" fontId="144" fillId="8" borderId="72" xfId="0" applyFont="1" applyFill="1" applyBorder="1" applyAlignment="1">
      <alignment horizontal="center"/>
    </xf>
    <xf numFmtId="0" fontId="147" fillId="8" borderId="40" xfId="0" applyFont="1" applyFill="1" applyBorder="1" applyAlignment="1">
      <alignment horizontal="center"/>
    </xf>
    <xf numFmtId="0" fontId="148" fillId="8" borderId="42" xfId="0" applyFont="1" applyFill="1" applyBorder="1" applyAlignment="1">
      <alignment horizontal="center"/>
    </xf>
    <xf numFmtId="0" fontId="155" fillId="8" borderId="4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61" fillId="0" borderId="20" xfId="0" applyFont="1" applyBorder="1"/>
    <xf numFmtId="0" fontId="81" fillId="7" borderId="40" xfId="0" applyFont="1" applyFill="1" applyBorder="1" applyAlignment="1">
      <alignment horizontal="center" wrapText="1"/>
    </xf>
    <xf numFmtId="0" fontId="82" fillId="7" borderId="41" xfId="0" applyFont="1" applyFill="1" applyBorder="1" applyAlignment="1">
      <alignment horizontal="center" wrapText="1"/>
    </xf>
    <xf numFmtId="0" fontId="83" fillId="7" borderId="42" xfId="0" applyFont="1" applyFill="1" applyBorder="1" applyAlignment="1">
      <alignment horizontal="center" wrapText="1"/>
    </xf>
    <xf numFmtId="0" fontId="84" fillId="7" borderId="43" xfId="0" applyFont="1" applyFill="1" applyBorder="1" applyAlignment="1">
      <alignment horizontal="center" wrapText="1"/>
    </xf>
    <xf numFmtId="0" fontId="88" fillId="7" borderId="46" xfId="0" applyFont="1" applyFill="1" applyBorder="1" applyAlignment="1">
      <alignment horizontal="center" wrapText="1"/>
    </xf>
    <xf numFmtId="0" fontId="85" fillId="7" borderId="40" xfId="0" applyFont="1" applyFill="1" applyBorder="1" applyAlignment="1">
      <alignment horizontal="center" wrapText="1"/>
    </xf>
    <xf numFmtId="0" fontId="86" fillId="7" borderId="41" xfId="0" applyFont="1" applyFill="1" applyBorder="1" applyAlignment="1">
      <alignment horizontal="center" wrapText="1"/>
    </xf>
    <xf numFmtId="0" fontId="87" fillId="7" borderId="42" xfId="0" applyFont="1" applyFill="1" applyBorder="1" applyAlignment="1">
      <alignment horizontal="center" wrapText="1"/>
    </xf>
    <xf numFmtId="0" fontId="163" fillId="8" borderId="68" xfId="0" applyFont="1" applyFill="1" applyBorder="1" applyAlignment="1">
      <alignment horizontal="center"/>
    </xf>
    <xf numFmtId="0" fontId="164" fillId="8" borderId="69" xfId="0" applyFont="1" applyFill="1" applyBorder="1" applyAlignment="1">
      <alignment horizontal="center"/>
    </xf>
    <xf numFmtId="0" fontId="165" fillId="8" borderId="7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9936393" y="2892425"/>
    <xdr:ext cx="4009367" cy="299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/>
      </xdr:blipFill>
      <xdr:spPr>
        <a:prstGeom prst="rect">
          <a:avLst/>
        </a:prstGeom>
      </xdr:spPr>
    </xdr:pic>
    <xdr:clientData/>
  </xdr:absoluteAnchor>
  <xdr:absoluteAnchor>
    <xdr:pos x="13583029" y="4242858"/>
    <xdr:ext cx="4333006" cy="2978151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</a:blip>
        <a:stretch/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zoomScale="59" zoomScaleNormal="82" workbookViewId="0">
      <pane xSplit="1" ySplit="3" topLeftCell="B4" activePane="bottomRight" state="frozen"/>
      <selection pane="topRight"/>
      <selection pane="bottomLeft"/>
      <selection pane="bottomRight" activeCell="H4" sqref="H4"/>
    </sheetView>
  </sheetViews>
  <sheetFormatPr defaultColWidth="16.6640625" defaultRowHeight="33" customHeight="1" x14ac:dyDescent="0.35"/>
  <cols>
    <col min="1" max="1" width="11.9140625" customWidth="1"/>
    <col min="2" max="2" width="15.33203125" customWidth="1"/>
    <col min="3" max="3" width="17.33203125" customWidth="1"/>
    <col min="4" max="4" width="16.1640625" customWidth="1"/>
    <col min="5" max="5" width="12.33203125" customWidth="1"/>
    <col min="6" max="6" width="15" customWidth="1"/>
    <col min="7" max="7" width="14.75" customWidth="1"/>
    <col min="8" max="8" width="12.33203125" customWidth="1"/>
    <col min="9" max="9" width="15.1640625" customWidth="1"/>
    <col min="10" max="11" width="14" customWidth="1"/>
    <col min="12" max="12" width="18.75" customWidth="1"/>
    <col min="13" max="13" width="10.58203125" customWidth="1"/>
    <col min="14" max="14" width="13.58203125" customWidth="1"/>
    <col min="15" max="16" width="10.9140625" customWidth="1"/>
    <col min="17" max="18" width="18.75" customWidth="1"/>
    <col min="19" max="19" width="11.75" customWidth="1"/>
    <col min="20" max="20" width="12.75" customWidth="1"/>
    <col min="21" max="21" width="14.33203125" customWidth="1"/>
    <col min="22" max="22" width="12.33203125" customWidth="1"/>
    <col min="23" max="26" width="18.75" customWidth="1"/>
  </cols>
  <sheetData>
    <row r="1" spans="1:26" ht="28.5" customHeight="1" x14ac:dyDescent="0.35">
      <c r="A1" s="189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1"/>
      <c r="L1" s="1"/>
      <c r="M1" s="2"/>
      <c r="N1" s="2"/>
      <c r="O1" s="2"/>
      <c r="P1" s="2"/>
      <c r="Q1" s="1"/>
      <c r="R1" s="1"/>
      <c r="S1" s="2"/>
      <c r="T1" s="2"/>
      <c r="U1" s="2"/>
      <c r="V1" s="2"/>
      <c r="W1" s="1"/>
      <c r="X1" s="1"/>
      <c r="Y1" s="1"/>
      <c r="Z1" s="1"/>
    </row>
    <row r="2" spans="1:26" ht="28.5" customHeight="1" x14ac:dyDescent="0.35">
      <c r="A2" s="192" t="s">
        <v>1</v>
      </c>
      <c r="B2" s="193"/>
      <c r="C2" s="193"/>
      <c r="D2" s="193"/>
      <c r="E2" s="193"/>
      <c r="F2" s="193"/>
      <c r="G2" s="193"/>
      <c r="H2" s="193"/>
      <c r="I2" s="193"/>
      <c r="J2" s="193"/>
      <c r="K2" s="194"/>
      <c r="L2" s="1"/>
      <c r="M2" s="2"/>
      <c r="N2" s="2"/>
      <c r="O2" s="2"/>
      <c r="P2" s="2"/>
      <c r="Q2" s="1"/>
      <c r="R2" s="1"/>
      <c r="S2" s="2"/>
      <c r="T2" s="2"/>
      <c r="U2" s="2"/>
      <c r="V2" s="2"/>
      <c r="W2" s="1"/>
      <c r="X2" s="1"/>
      <c r="Y2" s="1"/>
      <c r="Z2" s="1"/>
    </row>
    <row r="3" spans="1:26" ht="63.75" customHeight="1" x14ac:dyDescent="0.35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  <c r="F3" s="8" t="s">
        <v>7</v>
      </c>
      <c r="G3" s="9" t="s">
        <v>8</v>
      </c>
      <c r="H3" s="10" t="s">
        <v>9</v>
      </c>
      <c r="I3" s="11" t="s">
        <v>10</v>
      </c>
      <c r="J3" s="11" t="s">
        <v>11</v>
      </c>
      <c r="K3" s="12" t="s">
        <v>12</v>
      </c>
      <c r="L3" s="1"/>
      <c r="M3" s="2"/>
      <c r="N3" s="2"/>
      <c r="O3" s="2"/>
      <c r="P3" s="2"/>
      <c r="Q3" s="1"/>
      <c r="R3" s="1"/>
      <c r="S3" s="2"/>
      <c r="T3" s="2"/>
      <c r="U3" s="2"/>
      <c r="V3" s="2"/>
      <c r="W3" s="1"/>
      <c r="X3" s="1"/>
      <c r="Y3" s="1"/>
      <c r="Z3" s="1"/>
    </row>
    <row r="4" spans="1:26" ht="27.75" customHeight="1" x14ac:dyDescent="0.35">
      <c r="A4" s="47">
        <v>46113</v>
      </c>
      <c r="B4" s="48">
        <v>1878124.3910000001</v>
      </c>
      <c r="C4" s="49">
        <v>1605346.1340000001</v>
      </c>
      <c r="D4" s="15">
        <f t="shared" ref="D4:D16" si="0">((B4-C4)/C4)</f>
        <v>0.1699186556860017</v>
      </c>
      <c r="E4" s="50">
        <v>1796489</v>
      </c>
      <c r="F4" s="14">
        <f t="shared" ref="F4:F16" si="1">((B4-E4)/C4)</f>
        <v>5.0852205185551627E-2</v>
      </c>
      <c r="G4" s="16">
        <f t="shared" ref="G4:G16" si="2">((E4-C4)/C4)</f>
        <v>0.11906645050045009</v>
      </c>
      <c r="H4" s="51">
        <v>1547353</v>
      </c>
      <c r="I4" s="14">
        <f t="shared" ref="I4:I16" si="3">((B4-H4)/C4)</f>
        <v>0.20604365874406499</v>
      </c>
      <c r="J4" s="14">
        <f t="shared" ref="J4:J16" si="4">((C4-H4)/C4)</f>
        <v>3.6125003058063286E-2</v>
      </c>
      <c r="K4" s="16">
        <f t="shared" ref="K4:K16" si="5">((E4-H4)/C4)</f>
        <v>0.15519145355851338</v>
      </c>
      <c r="L4" s="1"/>
      <c r="M4" s="195" t="s">
        <v>13</v>
      </c>
      <c r="N4" s="196"/>
      <c r="O4" s="196"/>
      <c r="P4" s="197"/>
      <c r="Q4" s="1"/>
      <c r="R4" s="1"/>
      <c r="S4" s="195" t="s">
        <v>14</v>
      </c>
      <c r="T4" s="196"/>
      <c r="U4" s="196"/>
      <c r="V4" s="197"/>
      <c r="W4" s="1"/>
      <c r="X4" s="1"/>
      <c r="Y4" s="1"/>
      <c r="Z4" s="1"/>
    </row>
    <row r="5" spans="1:26" ht="27" customHeight="1" x14ac:dyDescent="0.35">
      <c r="A5" s="52">
        <v>46143</v>
      </c>
      <c r="B5" s="53">
        <v>1888124.3910000001</v>
      </c>
      <c r="C5" s="54">
        <v>1616656.29</v>
      </c>
      <c r="D5" s="19">
        <f t="shared" si="0"/>
        <v>0.16791949079046359</v>
      </c>
      <c r="E5" s="20">
        <f>H5*1.105</f>
        <v>1689331.7349999999</v>
      </c>
      <c r="F5" s="18">
        <f t="shared" si="1"/>
        <v>0.12296531874440682</v>
      </c>
      <c r="G5" s="21">
        <f t="shared" si="2"/>
        <v>4.4954172046056763E-2</v>
      </c>
      <c r="H5" s="55">
        <v>1528807</v>
      </c>
      <c r="I5" s="18">
        <f t="shared" si="3"/>
        <v>0.22225960658588725</v>
      </c>
      <c r="J5" s="18">
        <f t="shared" si="4"/>
        <v>5.4340115795423673E-2</v>
      </c>
      <c r="K5" s="21">
        <f t="shared" si="5"/>
        <v>9.9294287841480436E-2</v>
      </c>
      <c r="L5" s="1"/>
      <c r="M5" s="22"/>
      <c r="N5" s="23" t="s">
        <v>15</v>
      </c>
      <c r="O5" s="23" t="s">
        <v>16</v>
      </c>
      <c r="P5" s="24" t="s">
        <v>17</v>
      </c>
      <c r="Q5" s="1"/>
      <c r="R5" s="1"/>
      <c r="S5" s="22"/>
      <c r="T5" s="23" t="s">
        <v>18</v>
      </c>
      <c r="U5" s="25" t="s">
        <v>19</v>
      </c>
      <c r="V5" s="24" t="s">
        <v>20</v>
      </c>
      <c r="W5" s="1"/>
      <c r="X5" s="1"/>
      <c r="Y5" s="1"/>
      <c r="Z5" s="1"/>
    </row>
    <row r="6" spans="1:26" ht="31.5" customHeight="1" x14ac:dyDescent="0.35">
      <c r="A6" s="52">
        <v>46174</v>
      </c>
      <c r="B6" s="17"/>
      <c r="C6" s="26">
        <f>C5-E5</f>
        <v>-72675.444999999832</v>
      </c>
      <c r="D6" s="19">
        <f t="shared" si="0"/>
        <v>-1</v>
      </c>
      <c r="E6" s="17"/>
      <c r="F6" s="18">
        <f t="shared" si="1"/>
        <v>0</v>
      </c>
      <c r="G6" s="21">
        <f t="shared" si="2"/>
        <v>-1</v>
      </c>
      <c r="H6" s="27"/>
      <c r="I6" s="18">
        <f t="shared" si="3"/>
        <v>0</v>
      </c>
      <c r="J6" s="18">
        <f t="shared" si="4"/>
        <v>1</v>
      </c>
      <c r="K6" s="21">
        <f t="shared" si="5"/>
        <v>0</v>
      </c>
      <c r="L6" s="1"/>
      <c r="M6" s="28" t="s">
        <v>21</v>
      </c>
      <c r="N6" s="56">
        <v>1605346.1340000001</v>
      </c>
      <c r="O6" s="57">
        <v>1796489</v>
      </c>
      <c r="P6" s="58">
        <v>1547353</v>
      </c>
      <c r="Q6" s="1"/>
      <c r="R6" s="1"/>
      <c r="S6" s="28" t="s">
        <v>21</v>
      </c>
      <c r="T6" s="56">
        <v>3.7478929500896099</v>
      </c>
      <c r="U6" s="59">
        <v>10.639801635300801</v>
      </c>
      <c r="V6" s="60">
        <v>16.1007863105574</v>
      </c>
      <c r="W6" s="1"/>
      <c r="X6" s="1"/>
      <c r="Y6" s="1"/>
      <c r="Z6" s="1"/>
    </row>
    <row r="7" spans="1:26" ht="27" customHeight="1" x14ac:dyDescent="0.35">
      <c r="A7" s="52">
        <v>46204</v>
      </c>
      <c r="B7" s="17"/>
      <c r="C7" s="26">
        <f>C5-H5</f>
        <v>87849.290000000037</v>
      </c>
      <c r="D7" s="19">
        <f t="shared" si="0"/>
        <v>-1</v>
      </c>
      <c r="E7" s="17"/>
      <c r="F7" s="18">
        <f t="shared" si="1"/>
        <v>0</v>
      </c>
      <c r="G7" s="21">
        <f t="shared" si="2"/>
        <v>-1</v>
      </c>
      <c r="H7" s="27"/>
      <c r="I7" s="18">
        <f t="shared" si="3"/>
        <v>0</v>
      </c>
      <c r="J7" s="18">
        <f t="shared" si="4"/>
        <v>1</v>
      </c>
      <c r="K7" s="21">
        <f t="shared" si="5"/>
        <v>0</v>
      </c>
      <c r="L7" s="1"/>
      <c r="M7" s="2"/>
      <c r="N7" s="2"/>
      <c r="O7" s="2"/>
      <c r="P7" s="2"/>
      <c r="Q7" s="1"/>
      <c r="R7" s="1"/>
      <c r="S7" s="2"/>
      <c r="T7" s="2"/>
      <c r="U7" s="2"/>
      <c r="V7" s="2"/>
      <c r="W7" s="1"/>
      <c r="X7" s="1"/>
      <c r="Y7" s="1"/>
      <c r="Z7" s="1"/>
    </row>
    <row r="8" spans="1:26" ht="27" customHeight="1" x14ac:dyDescent="0.35">
      <c r="A8" s="52">
        <v>46235</v>
      </c>
      <c r="B8" s="17"/>
      <c r="C8" s="26">
        <f>E5-H5</f>
        <v>160524.73499999987</v>
      </c>
      <c r="D8" s="19">
        <f t="shared" si="0"/>
        <v>-1</v>
      </c>
      <c r="E8" s="17"/>
      <c r="F8" s="18">
        <f t="shared" si="1"/>
        <v>0</v>
      </c>
      <c r="G8" s="21">
        <f t="shared" si="2"/>
        <v>-1</v>
      </c>
      <c r="H8" s="27"/>
      <c r="I8" s="18">
        <f t="shared" si="3"/>
        <v>0</v>
      </c>
      <c r="J8" s="18">
        <f t="shared" si="4"/>
        <v>1</v>
      </c>
      <c r="K8" s="21">
        <f t="shared" si="5"/>
        <v>0</v>
      </c>
      <c r="L8" s="1"/>
      <c r="M8" s="2"/>
      <c r="N8" s="2"/>
      <c r="O8" s="2"/>
      <c r="P8" s="2"/>
      <c r="Q8" s="1"/>
      <c r="R8" s="1"/>
      <c r="S8" s="2"/>
      <c r="T8" s="2"/>
      <c r="U8" s="2"/>
      <c r="V8" s="2"/>
      <c r="W8" s="1"/>
      <c r="X8" s="1"/>
      <c r="Y8" s="1"/>
      <c r="Z8" s="1"/>
    </row>
    <row r="9" spans="1:26" ht="27" customHeight="1" x14ac:dyDescent="0.35">
      <c r="A9" s="52">
        <v>46266</v>
      </c>
      <c r="B9" s="17"/>
      <c r="C9" s="18"/>
      <c r="D9" s="19" t="e">
        <f t="shared" si="0"/>
        <v>#DIV/0!</v>
      </c>
      <c r="E9" s="17"/>
      <c r="F9" s="18" t="e">
        <f t="shared" si="1"/>
        <v>#DIV/0!</v>
      </c>
      <c r="G9" s="21" t="e">
        <f t="shared" si="2"/>
        <v>#DIV/0!</v>
      </c>
      <c r="H9" s="27"/>
      <c r="I9" s="18" t="e">
        <f t="shared" si="3"/>
        <v>#DIV/0!</v>
      </c>
      <c r="J9" s="18" t="e">
        <f t="shared" si="4"/>
        <v>#DIV/0!</v>
      </c>
      <c r="K9" s="21" t="e">
        <f t="shared" si="5"/>
        <v>#DIV/0!</v>
      </c>
      <c r="L9" s="1"/>
      <c r="M9" s="2"/>
      <c r="N9" s="2"/>
      <c r="O9" s="2"/>
      <c r="P9" s="2"/>
      <c r="Q9" s="1"/>
      <c r="R9" s="1"/>
      <c r="S9" s="2"/>
      <c r="T9" s="2"/>
      <c r="U9" s="2"/>
      <c r="V9" s="2"/>
      <c r="W9" s="1"/>
      <c r="X9" s="1"/>
      <c r="Y9" s="1"/>
      <c r="Z9" s="1"/>
    </row>
    <row r="10" spans="1:26" ht="27" customHeight="1" x14ac:dyDescent="0.35">
      <c r="A10" s="52">
        <v>46296</v>
      </c>
      <c r="B10" s="17"/>
      <c r="C10" s="18"/>
      <c r="D10" s="19" t="e">
        <f t="shared" si="0"/>
        <v>#DIV/0!</v>
      </c>
      <c r="E10" s="17"/>
      <c r="F10" s="18" t="e">
        <f t="shared" si="1"/>
        <v>#DIV/0!</v>
      </c>
      <c r="G10" s="21" t="e">
        <f t="shared" si="2"/>
        <v>#DIV/0!</v>
      </c>
      <c r="H10" s="27"/>
      <c r="I10" s="18" t="e">
        <f t="shared" si="3"/>
        <v>#DIV/0!</v>
      </c>
      <c r="J10" s="18" t="e">
        <f t="shared" si="4"/>
        <v>#DIV/0!</v>
      </c>
      <c r="K10" s="21" t="e">
        <f t="shared" si="5"/>
        <v>#DIV/0!</v>
      </c>
      <c r="L10" s="1"/>
      <c r="M10" s="2"/>
      <c r="N10" s="2"/>
      <c r="O10" s="2"/>
      <c r="P10" s="2"/>
      <c r="Q10" s="1"/>
      <c r="R10" s="1"/>
      <c r="S10" s="2"/>
      <c r="T10" s="2"/>
      <c r="U10" s="2"/>
      <c r="V10" s="2"/>
      <c r="W10" s="1"/>
      <c r="X10" s="1"/>
      <c r="Y10" s="1"/>
      <c r="Z10" s="1"/>
    </row>
    <row r="11" spans="1:26" ht="27" customHeight="1" x14ac:dyDescent="0.35">
      <c r="A11" s="52">
        <v>46327</v>
      </c>
      <c r="B11" s="17"/>
      <c r="C11" s="18"/>
      <c r="D11" s="19" t="e">
        <f t="shared" si="0"/>
        <v>#DIV/0!</v>
      </c>
      <c r="E11" s="17"/>
      <c r="F11" s="18" t="e">
        <f t="shared" si="1"/>
        <v>#DIV/0!</v>
      </c>
      <c r="G11" s="21" t="e">
        <f t="shared" si="2"/>
        <v>#DIV/0!</v>
      </c>
      <c r="H11" s="27"/>
      <c r="I11" s="18" t="e">
        <f t="shared" si="3"/>
        <v>#DIV/0!</v>
      </c>
      <c r="J11" s="18" t="e">
        <f t="shared" si="4"/>
        <v>#DIV/0!</v>
      </c>
      <c r="K11" s="21" t="e">
        <f t="shared" si="5"/>
        <v>#DIV/0!</v>
      </c>
      <c r="L11" s="1"/>
      <c r="M11" s="2"/>
      <c r="N11" s="2"/>
      <c r="O11" s="2"/>
      <c r="P11" s="2"/>
      <c r="Q11" s="1"/>
      <c r="R11" s="1"/>
      <c r="S11" s="2"/>
      <c r="T11" s="2"/>
      <c r="U11" s="2"/>
      <c r="V11" s="2"/>
      <c r="W11" s="1"/>
      <c r="X11" s="1"/>
      <c r="Y11" s="1"/>
      <c r="Z11" s="1"/>
    </row>
    <row r="12" spans="1:26" ht="27" customHeight="1" x14ac:dyDescent="0.35">
      <c r="A12" s="52">
        <v>46357</v>
      </c>
      <c r="B12" s="17"/>
      <c r="C12" s="18"/>
      <c r="D12" s="19" t="e">
        <f t="shared" si="0"/>
        <v>#DIV/0!</v>
      </c>
      <c r="E12" s="17"/>
      <c r="F12" s="18" t="e">
        <f t="shared" si="1"/>
        <v>#DIV/0!</v>
      </c>
      <c r="G12" s="21" t="e">
        <f t="shared" si="2"/>
        <v>#DIV/0!</v>
      </c>
      <c r="H12" s="27"/>
      <c r="I12" s="18" t="e">
        <f t="shared" si="3"/>
        <v>#DIV/0!</v>
      </c>
      <c r="J12" s="18" t="e">
        <f t="shared" si="4"/>
        <v>#DIV/0!</v>
      </c>
      <c r="K12" s="21" t="e">
        <f t="shared" si="5"/>
        <v>#DIV/0!</v>
      </c>
      <c r="L12" s="1"/>
      <c r="M12" s="2"/>
      <c r="N12" s="2"/>
      <c r="O12" s="2"/>
      <c r="P12" s="2"/>
      <c r="Q12" s="1"/>
      <c r="R12" s="1"/>
      <c r="S12" s="2"/>
      <c r="T12" s="2"/>
      <c r="U12" s="2"/>
      <c r="V12" s="2"/>
      <c r="W12" s="1"/>
      <c r="X12" s="1"/>
      <c r="Y12" s="1"/>
      <c r="Z12" s="1"/>
    </row>
    <row r="13" spans="1:26" ht="27" customHeight="1" x14ac:dyDescent="0.35">
      <c r="A13" s="52">
        <v>46388</v>
      </c>
      <c r="B13" s="17"/>
      <c r="C13" s="18"/>
      <c r="D13" s="19" t="e">
        <f t="shared" si="0"/>
        <v>#DIV/0!</v>
      </c>
      <c r="E13" s="17"/>
      <c r="F13" s="18" t="e">
        <f t="shared" si="1"/>
        <v>#DIV/0!</v>
      </c>
      <c r="G13" s="21" t="e">
        <f t="shared" si="2"/>
        <v>#DIV/0!</v>
      </c>
      <c r="H13" s="27"/>
      <c r="I13" s="18" t="e">
        <f t="shared" si="3"/>
        <v>#DIV/0!</v>
      </c>
      <c r="J13" s="18" t="e">
        <f t="shared" si="4"/>
        <v>#DIV/0!</v>
      </c>
      <c r="K13" s="21" t="e">
        <f t="shared" si="5"/>
        <v>#DIV/0!</v>
      </c>
      <c r="L13" s="1"/>
      <c r="M13" s="2"/>
      <c r="N13" s="2"/>
      <c r="O13" s="2"/>
      <c r="P13" s="2"/>
      <c r="Q13" s="1"/>
      <c r="R13" s="1"/>
      <c r="S13" s="2"/>
      <c r="T13" s="2"/>
      <c r="U13" s="2"/>
      <c r="V13" s="2"/>
      <c r="W13" s="1"/>
      <c r="X13" s="1"/>
      <c r="Y13" s="1"/>
      <c r="Z13" s="1"/>
    </row>
    <row r="14" spans="1:26" ht="27" customHeight="1" x14ac:dyDescent="0.35">
      <c r="A14" s="52">
        <v>46419</v>
      </c>
      <c r="B14" s="17"/>
      <c r="C14" s="18"/>
      <c r="D14" s="19" t="e">
        <f t="shared" si="0"/>
        <v>#DIV/0!</v>
      </c>
      <c r="E14" s="17"/>
      <c r="F14" s="18" t="e">
        <f t="shared" si="1"/>
        <v>#DIV/0!</v>
      </c>
      <c r="G14" s="21" t="e">
        <f t="shared" si="2"/>
        <v>#DIV/0!</v>
      </c>
      <c r="H14" s="27"/>
      <c r="I14" s="18" t="e">
        <f t="shared" si="3"/>
        <v>#DIV/0!</v>
      </c>
      <c r="J14" s="18" t="e">
        <f t="shared" si="4"/>
        <v>#DIV/0!</v>
      </c>
      <c r="K14" s="21" t="e">
        <f t="shared" si="5"/>
        <v>#DIV/0!</v>
      </c>
      <c r="L14" s="1"/>
      <c r="M14" s="2"/>
      <c r="N14" s="2"/>
      <c r="O14" s="2"/>
      <c r="P14" s="2"/>
      <c r="Q14" s="1"/>
      <c r="R14" s="1"/>
      <c r="S14" s="2"/>
      <c r="T14" s="2"/>
      <c r="U14" s="2"/>
      <c r="V14" s="2"/>
      <c r="W14" s="1"/>
      <c r="X14" s="1"/>
      <c r="Y14" s="1"/>
      <c r="Z14" s="1"/>
    </row>
    <row r="15" spans="1:26" ht="27.75" customHeight="1" x14ac:dyDescent="0.35">
      <c r="A15" s="61">
        <v>46447</v>
      </c>
      <c r="B15" s="32"/>
      <c r="C15" s="33"/>
      <c r="D15" s="34" t="e">
        <f t="shared" si="0"/>
        <v>#DIV/0!</v>
      </c>
      <c r="E15" s="32"/>
      <c r="F15" s="33" t="e">
        <f t="shared" si="1"/>
        <v>#DIV/0!</v>
      </c>
      <c r="G15" s="35" t="e">
        <f t="shared" si="2"/>
        <v>#DIV/0!</v>
      </c>
      <c r="H15" s="36"/>
      <c r="I15" s="33" t="e">
        <f t="shared" si="3"/>
        <v>#DIV/0!</v>
      </c>
      <c r="J15" s="33" t="e">
        <f t="shared" si="4"/>
        <v>#DIV/0!</v>
      </c>
      <c r="K15" s="35" t="e">
        <f t="shared" si="5"/>
        <v>#DIV/0!</v>
      </c>
      <c r="L15" s="1"/>
      <c r="M15" s="2"/>
      <c r="N15" s="2"/>
      <c r="O15" s="2"/>
      <c r="P15" s="2"/>
      <c r="Q15" s="1"/>
      <c r="R15" s="1"/>
      <c r="S15" s="2"/>
      <c r="T15" s="2"/>
      <c r="U15" s="2"/>
      <c r="V15" s="2"/>
      <c r="W15" s="1"/>
      <c r="X15" s="1"/>
      <c r="Y15" s="1"/>
      <c r="Z15" s="1"/>
    </row>
    <row r="16" spans="1:26" ht="27.75" customHeight="1" x14ac:dyDescent="0.35">
      <c r="A16" s="37" t="s">
        <v>22</v>
      </c>
      <c r="B16" s="37">
        <f>SUM(B4:B15)</f>
        <v>3766248.7820000001</v>
      </c>
      <c r="C16" s="38">
        <f>SUM(C4:C15)</f>
        <v>3397701.0040000002</v>
      </c>
      <c r="D16" s="39">
        <f t="shared" si="0"/>
        <v>0.10846974985913149</v>
      </c>
      <c r="E16" s="40">
        <f>SUM(E4:E15)</f>
        <v>3485820.7349999999</v>
      </c>
      <c r="F16" s="41">
        <f t="shared" si="1"/>
        <v>8.2534645240961949E-2</v>
      </c>
      <c r="G16" s="42">
        <f t="shared" si="2"/>
        <v>2.5935104618169537E-2</v>
      </c>
      <c r="H16" s="43">
        <f>SUM(H4:H15)</f>
        <v>3076160</v>
      </c>
      <c r="I16" s="44">
        <f t="shared" si="3"/>
        <v>0.20310462315182579</v>
      </c>
      <c r="J16" s="44">
        <f t="shared" si="4"/>
        <v>9.4634873292694294E-2</v>
      </c>
      <c r="K16" s="45">
        <f t="shared" si="5"/>
        <v>0.12056997791086382</v>
      </c>
      <c r="L16" s="1"/>
      <c r="M16" s="2"/>
      <c r="N16" s="2"/>
      <c r="O16" s="2"/>
      <c r="P16" s="2"/>
      <c r="Q16" s="1"/>
      <c r="R16" s="1"/>
      <c r="S16" s="2"/>
      <c r="T16" s="2"/>
      <c r="U16" s="2"/>
      <c r="V16" s="2"/>
      <c r="W16" s="1"/>
      <c r="X16" s="1"/>
      <c r="Y16" s="1"/>
      <c r="Z16" s="1"/>
    </row>
    <row r="17" spans="1:26" ht="24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1"/>
      <c r="M17" s="2"/>
      <c r="N17" s="2"/>
      <c r="O17" s="2"/>
      <c r="P17" s="2"/>
      <c r="Q17" s="1"/>
      <c r="R17" s="1"/>
      <c r="S17" s="2"/>
      <c r="T17" s="2"/>
      <c r="U17" s="2"/>
      <c r="V17" s="2"/>
      <c r="W17" s="1"/>
      <c r="X17" s="1"/>
      <c r="Y17" s="1"/>
      <c r="Z17" s="1"/>
    </row>
    <row r="18" spans="1:26" ht="27.75" customHeight="1" x14ac:dyDescent="0.35">
      <c r="A18" s="46" t="s">
        <v>23</v>
      </c>
      <c r="B18" s="198" t="s">
        <v>24</v>
      </c>
      <c r="C18" s="198"/>
      <c r="D18" s="198"/>
      <c r="E18" s="198"/>
      <c r="F18" s="198"/>
      <c r="G18" s="198"/>
      <c r="H18" s="198"/>
      <c r="I18" s="198"/>
      <c r="J18" s="198"/>
      <c r="K18" s="198"/>
      <c r="L18" s="1"/>
      <c r="M18" s="2"/>
      <c r="N18" s="2"/>
      <c r="O18" s="2"/>
      <c r="P18" s="2"/>
      <c r="Q18" s="1"/>
      <c r="R18" s="1"/>
      <c r="S18" s="2"/>
      <c r="T18" s="2"/>
      <c r="U18" s="2"/>
      <c r="V18" s="2"/>
      <c r="W18" s="1"/>
      <c r="X18" s="1"/>
      <c r="Y18" s="1"/>
      <c r="Z18" s="1"/>
    </row>
    <row r="19" spans="1:26" ht="27" customHeight="1" x14ac:dyDescent="0.35">
      <c r="A19" s="2"/>
      <c r="B19" s="198" t="s">
        <v>25</v>
      </c>
      <c r="C19" s="198"/>
      <c r="D19" s="198"/>
      <c r="E19" s="198"/>
      <c r="F19" s="198"/>
      <c r="G19" s="198"/>
      <c r="H19" s="198"/>
      <c r="I19" s="198"/>
      <c r="J19" s="198"/>
      <c r="K19" s="198"/>
      <c r="L19" s="1"/>
      <c r="M19" s="2"/>
      <c r="N19" s="2"/>
      <c r="O19" s="2"/>
      <c r="P19" s="2"/>
      <c r="Q19" s="1"/>
      <c r="R19" s="1"/>
      <c r="S19" s="2"/>
      <c r="T19" s="2"/>
      <c r="U19" s="2"/>
      <c r="V19" s="2"/>
      <c r="W19" s="1"/>
      <c r="X19" s="1"/>
      <c r="Y19" s="1"/>
      <c r="Z19" s="1"/>
    </row>
    <row r="20" spans="1:26" ht="27" customHeight="1" x14ac:dyDescent="0.35">
      <c r="A20" s="2"/>
      <c r="B20" s="198" t="s">
        <v>26</v>
      </c>
      <c r="C20" s="198"/>
      <c r="D20" s="198"/>
      <c r="E20" s="198"/>
      <c r="F20" s="198"/>
      <c r="G20" s="198"/>
      <c r="H20" s="198"/>
      <c r="I20" s="198"/>
      <c r="J20" s="198"/>
      <c r="K20" s="198"/>
      <c r="L20" s="1"/>
      <c r="M20" s="2"/>
      <c r="N20" s="2"/>
      <c r="O20" s="2"/>
      <c r="P20" s="2"/>
      <c r="Q20" s="1"/>
      <c r="R20" s="1"/>
      <c r="S20" s="2"/>
      <c r="T20" s="2"/>
      <c r="U20" s="2"/>
      <c r="V20" s="2"/>
      <c r="W20" s="1"/>
      <c r="X20" s="1"/>
      <c r="Y20" s="1"/>
      <c r="Z20" s="1"/>
    </row>
    <row r="21" spans="1:26" ht="27" customHeight="1" x14ac:dyDescent="0.35">
      <c r="A21" s="2"/>
      <c r="B21" s="198" t="s">
        <v>27</v>
      </c>
      <c r="C21" s="198"/>
      <c r="D21" s="198"/>
      <c r="E21" s="198"/>
      <c r="F21" s="198"/>
      <c r="G21" s="198"/>
      <c r="H21" s="198"/>
      <c r="I21" s="198"/>
      <c r="J21" s="198"/>
      <c r="K21" s="198"/>
      <c r="L21" s="1"/>
      <c r="M21" s="2"/>
      <c r="N21" s="2"/>
      <c r="O21" s="2"/>
      <c r="P21" s="2"/>
      <c r="Q21" s="1"/>
      <c r="R21" s="1"/>
      <c r="S21" s="2"/>
      <c r="T21" s="2"/>
      <c r="U21" s="2"/>
      <c r="V21" s="2"/>
      <c r="W21" s="1"/>
      <c r="X21" s="1"/>
      <c r="Y21" s="1"/>
      <c r="Z21" s="1"/>
    </row>
    <row r="22" spans="1:26" ht="27" customHeight="1" x14ac:dyDescent="0.35">
      <c r="A22" s="2"/>
      <c r="B22" s="198" t="s">
        <v>28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"/>
      <c r="M22" s="2"/>
      <c r="N22" s="2"/>
      <c r="O22" s="2"/>
      <c r="P22" s="2"/>
      <c r="Q22" s="1"/>
      <c r="R22" s="1"/>
      <c r="S22" s="2"/>
      <c r="T22" s="2"/>
      <c r="U22" s="2"/>
      <c r="V22" s="2"/>
      <c r="W22" s="1"/>
      <c r="X22" s="1"/>
      <c r="Y22" s="1"/>
      <c r="Z22" s="1"/>
    </row>
    <row r="23" spans="1:26" ht="27" customHeight="1" x14ac:dyDescent="0.35">
      <c r="A23" s="2"/>
      <c r="B23" s="198" t="s">
        <v>29</v>
      </c>
      <c r="C23" s="198"/>
      <c r="D23" s="198"/>
      <c r="E23" s="198"/>
      <c r="F23" s="198"/>
      <c r="G23" s="198"/>
      <c r="H23" s="198"/>
      <c r="I23" s="198"/>
      <c r="J23" s="198"/>
      <c r="K23" s="198"/>
      <c r="L23" s="1"/>
      <c r="M23" s="2"/>
      <c r="N23" s="2"/>
      <c r="O23" s="2"/>
      <c r="P23" s="2"/>
      <c r="Q23" s="1"/>
      <c r="R23" s="1"/>
      <c r="S23" s="2"/>
      <c r="T23" s="2"/>
      <c r="U23" s="2"/>
      <c r="V23" s="2"/>
      <c r="W23" s="1"/>
      <c r="X23" s="1"/>
      <c r="Y23" s="1"/>
      <c r="Z23" s="1"/>
    </row>
    <row r="24" spans="1:26" ht="24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1"/>
      <c r="R24" s="1"/>
      <c r="S24" s="2"/>
      <c r="T24" s="2"/>
      <c r="U24" s="2"/>
      <c r="V24" s="2"/>
      <c r="W24" s="1"/>
      <c r="X24" s="1"/>
      <c r="Y24" s="1"/>
      <c r="Z24" s="1"/>
    </row>
    <row r="25" spans="1:26" ht="24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"/>
      <c r="M25" s="2"/>
      <c r="N25" s="2"/>
      <c r="O25" s="2"/>
      <c r="P25" s="2"/>
      <c r="Q25" s="1"/>
      <c r="R25" s="1"/>
      <c r="S25" s="2"/>
      <c r="T25" s="2"/>
      <c r="U25" s="2"/>
      <c r="V25" s="2"/>
      <c r="W25" s="1"/>
      <c r="X25" s="1"/>
      <c r="Y25" s="1"/>
      <c r="Z25" s="1"/>
    </row>
    <row r="26" spans="1:26" ht="24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"/>
      <c r="M26" s="2"/>
      <c r="N26" s="2"/>
      <c r="O26" s="2"/>
      <c r="P26" s="2"/>
      <c r="Q26" s="1"/>
      <c r="R26" s="1"/>
      <c r="S26" s="2"/>
      <c r="T26" s="2"/>
      <c r="U26" s="2"/>
      <c r="V26" s="2"/>
      <c r="W26" s="1"/>
      <c r="X26" s="1"/>
      <c r="Y26" s="1"/>
      <c r="Z26" s="1"/>
    </row>
    <row r="27" spans="1:26" ht="24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"/>
      <c r="M27" s="2"/>
      <c r="N27" s="2"/>
      <c r="O27" s="2"/>
      <c r="P27" s="2"/>
      <c r="Q27" s="1"/>
      <c r="R27" s="1"/>
      <c r="S27" s="2"/>
      <c r="T27" s="2"/>
      <c r="U27" s="2"/>
      <c r="V27" s="2"/>
      <c r="W27" s="1"/>
      <c r="X27" s="1"/>
      <c r="Y27" s="1"/>
      <c r="Z27" s="1"/>
    </row>
    <row r="28" spans="1:26" ht="24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"/>
      <c r="M28" s="2"/>
      <c r="N28" s="2"/>
      <c r="O28" s="2"/>
      <c r="P28" s="2"/>
      <c r="Q28" s="1"/>
      <c r="R28" s="1"/>
      <c r="S28" s="2"/>
      <c r="T28" s="2"/>
      <c r="U28" s="2"/>
      <c r="V28" s="2"/>
      <c r="W28" s="1"/>
      <c r="X28" s="1"/>
      <c r="Y28" s="1"/>
      <c r="Z28" s="1"/>
    </row>
    <row r="29" spans="1:26" ht="24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"/>
      <c r="M29" s="2"/>
      <c r="N29" s="2"/>
      <c r="O29" s="2"/>
      <c r="P29" s="2"/>
      <c r="Q29" s="1"/>
      <c r="R29" s="1"/>
      <c r="S29" s="2"/>
      <c r="T29" s="2"/>
      <c r="U29" s="2"/>
      <c r="V29" s="2"/>
      <c r="W29" s="1"/>
      <c r="X29" s="1"/>
      <c r="Y29" s="1"/>
      <c r="Z29" s="1"/>
    </row>
    <row r="30" spans="1:26" ht="24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"/>
      <c r="M30" s="2"/>
      <c r="N30" s="2"/>
      <c r="O30" s="2"/>
      <c r="P30" s="2"/>
      <c r="Q30" s="1"/>
      <c r="R30" s="1"/>
      <c r="S30" s="2"/>
      <c r="T30" s="2"/>
      <c r="U30" s="2"/>
      <c r="V30" s="2"/>
      <c r="W30" s="1"/>
      <c r="X30" s="1"/>
      <c r="Y30" s="1"/>
      <c r="Z30" s="1"/>
    </row>
    <row r="31" spans="1:26" ht="24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"/>
      <c r="M31" s="2"/>
      <c r="N31" s="2"/>
      <c r="O31" s="2"/>
      <c r="P31" s="2"/>
      <c r="Q31" s="1"/>
      <c r="R31" s="1"/>
      <c r="S31" s="2"/>
      <c r="T31" s="2"/>
      <c r="U31" s="2"/>
      <c r="V31" s="2"/>
      <c r="W31" s="1"/>
      <c r="X31" s="1"/>
      <c r="Y31" s="1"/>
      <c r="Z31" s="1"/>
    </row>
    <row r="32" spans="1:26" ht="24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"/>
      <c r="M32" s="2"/>
      <c r="N32" s="2"/>
      <c r="O32" s="2"/>
      <c r="P32" s="2"/>
      <c r="Q32" s="1"/>
      <c r="R32" s="1"/>
      <c r="S32" s="2"/>
      <c r="T32" s="2"/>
      <c r="U32" s="2"/>
      <c r="V32" s="2"/>
      <c r="W32" s="1"/>
      <c r="X32" s="1"/>
      <c r="Y32" s="1"/>
      <c r="Z32" s="1"/>
    </row>
    <row r="33" spans="1:26" ht="24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"/>
      <c r="M33" s="2"/>
      <c r="N33" s="2"/>
      <c r="O33" s="2"/>
      <c r="P33" s="2"/>
      <c r="Q33" s="1"/>
      <c r="R33" s="1"/>
      <c r="S33" s="2"/>
      <c r="T33" s="2"/>
      <c r="U33" s="2"/>
      <c r="V33" s="2"/>
      <c r="W33" s="1"/>
      <c r="X33" s="1"/>
      <c r="Y33" s="1"/>
      <c r="Z33" s="1"/>
    </row>
    <row r="34" spans="1:26" ht="24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"/>
      <c r="M34" s="2"/>
      <c r="N34" s="2"/>
      <c r="O34" s="2"/>
      <c r="P34" s="2"/>
      <c r="Q34" s="1"/>
      <c r="R34" s="1"/>
      <c r="S34" s="2"/>
      <c r="T34" s="2"/>
      <c r="U34" s="2"/>
      <c r="V34" s="2"/>
      <c r="W34" s="1"/>
      <c r="X34" s="1"/>
      <c r="Y34" s="1"/>
      <c r="Z34" s="1"/>
    </row>
    <row r="35" spans="1:26" ht="24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"/>
      <c r="M35" s="2"/>
      <c r="N35" s="2"/>
      <c r="O35" s="2"/>
      <c r="P35" s="2"/>
      <c r="Q35" s="1"/>
      <c r="R35" s="1"/>
      <c r="S35" s="2"/>
      <c r="T35" s="2"/>
      <c r="U35" s="2"/>
      <c r="V35" s="2"/>
      <c r="W35" s="1"/>
      <c r="X35" s="1"/>
      <c r="Y35" s="1"/>
      <c r="Z35" s="1"/>
    </row>
    <row r="36" spans="1:26" ht="24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"/>
      <c r="M36" s="2"/>
      <c r="N36" s="2"/>
      <c r="O36" s="2"/>
      <c r="P36" s="2"/>
      <c r="Q36" s="1"/>
      <c r="R36" s="1"/>
      <c r="S36" s="2"/>
      <c r="T36" s="2"/>
      <c r="U36" s="2"/>
      <c r="V36" s="2"/>
      <c r="W36" s="1"/>
      <c r="X36" s="1"/>
      <c r="Y36" s="1"/>
      <c r="Z36" s="1"/>
    </row>
    <row r="37" spans="1:26" ht="24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"/>
      <c r="M37" s="2"/>
      <c r="N37" s="2"/>
      <c r="O37" s="2"/>
      <c r="P37" s="2"/>
      <c r="Q37" s="1"/>
      <c r="R37" s="1"/>
      <c r="S37" s="2"/>
      <c r="T37" s="2"/>
      <c r="U37" s="2"/>
      <c r="V37" s="2"/>
      <c r="W37" s="1"/>
      <c r="X37" s="1"/>
      <c r="Y37" s="1"/>
      <c r="Z37" s="1"/>
    </row>
    <row r="38" spans="1:26" ht="24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"/>
      <c r="M38" s="2"/>
      <c r="N38" s="2"/>
      <c r="O38" s="2"/>
      <c r="P38" s="2"/>
      <c r="Q38" s="1"/>
      <c r="R38" s="1"/>
      <c r="S38" s="2"/>
      <c r="T38" s="2"/>
      <c r="U38" s="2"/>
      <c r="V38" s="2"/>
      <c r="W38" s="1"/>
      <c r="X38" s="1"/>
      <c r="Y38" s="1"/>
      <c r="Z38" s="1"/>
    </row>
    <row r="39" spans="1:26" ht="24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"/>
      <c r="M39" s="2"/>
      <c r="N39" s="2"/>
      <c r="O39" s="2"/>
      <c r="P39" s="2"/>
      <c r="Q39" s="1"/>
      <c r="R39" s="1"/>
      <c r="S39" s="2"/>
      <c r="T39" s="2"/>
      <c r="U39" s="2"/>
      <c r="V39" s="2"/>
      <c r="W39" s="1"/>
      <c r="X39" s="1"/>
      <c r="Y39" s="1"/>
      <c r="Z39" s="1"/>
    </row>
    <row r="40" spans="1:26" ht="24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"/>
      <c r="M40" s="2"/>
      <c r="N40" s="2"/>
      <c r="O40" s="2"/>
      <c r="P40" s="2"/>
      <c r="Q40" s="1"/>
      <c r="R40" s="1"/>
      <c r="S40" s="2"/>
      <c r="T40" s="2"/>
      <c r="U40" s="2"/>
      <c r="V40" s="2"/>
      <c r="W40" s="1"/>
      <c r="X40" s="1"/>
      <c r="Y40" s="1"/>
      <c r="Z40" s="1"/>
    </row>
    <row r="41" spans="1:26" ht="24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"/>
      <c r="M41" s="2"/>
      <c r="N41" s="2"/>
      <c r="O41" s="2"/>
      <c r="P41" s="2"/>
      <c r="Q41" s="1"/>
      <c r="R41" s="1"/>
      <c r="S41" s="2"/>
      <c r="T41" s="2"/>
      <c r="U41" s="2"/>
      <c r="V41" s="2"/>
      <c r="W41" s="1"/>
      <c r="X41" s="1"/>
      <c r="Y41" s="1"/>
      <c r="Z41" s="1"/>
    </row>
    <row r="42" spans="1:26" ht="24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"/>
      <c r="M42" s="2"/>
      <c r="N42" s="2"/>
      <c r="O42" s="2"/>
      <c r="P42" s="2"/>
      <c r="Q42" s="1"/>
      <c r="R42" s="1"/>
      <c r="S42" s="2"/>
      <c r="T42" s="2"/>
      <c r="U42" s="2"/>
      <c r="V42" s="2"/>
      <c r="W42" s="1"/>
      <c r="X42" s="1"/>
      <c r="Y42" s="1"/>
      <c r="Z42" s="1"/>
    </row>
    <row r="43" spans="1:26" ht="24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"/>
      <c r="M43" s="2"/>
      <c r="N43" s="2"/>
      <c r="O43" s="2"/>
      <c r="P43" s="2"/>
      <c r="Q43" s="1"/>
      <c r="R43" s="1"/>
      <c r="S43" s="2"/>
      <c r="T43" s="2"/>
      <c r="U43" s="2"/>
      <c r="V43" s="2"/>
      <c r="W43" s="1"/>
      <c r="X43" s="1"/>
      <c r="Y43" s="1"/>
      <c r="Z43" s="1"/>
    </row>
    <row r="44" spans="1:26" ht="24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"/>
      <c r="M44" s="2"/>
      <c r="N44" s="2"/>
      <c r="O44" s="2"/>
      <c r="P44" s="2"/>
      <c r="Q44" s="1"/>
      <c r="R44" s="1"/>
      <c r="S44" s="2"/>
      <c r="T44" s="2"/>
      <c r="U44" s="2"/>
      <c r="V44" s="2"/>
      <c r="W44" s="1"/>
      <c r="X44" s="1"/>
      <c r="Y44" s="1"/>
      <c r="Z44" s="1"/>
    </row>
    <row r="45" spans="1:26" ht="24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"/>
      <c r="M45" s="2"/>
      <c r="N45" s="2"/>
      <c r="O45" s="2"/>
      <c r="P45" s="2"/>
      <c r="Q45" s="1"/>
      <c r="R45" s="1"/>
      <c r="S45" s="2"/>
      <c r="T45" s="2"/>
      <c r="U45" s="2"/>
      <c r="V45" s="2"/>
      <c r="W45" s="1"/>
      <c r="X45" s="1"/>
      <c r="Y45" s="1"/>
      <c r="Z45" s="1"/>
    </row>
    <row r="46" spans="1:26" ht="24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"/>
      <c r="M46" s="2"/>
      <c r="N46" s="2"/>
      <c r="O46" s="2"/>
      <c r="P46" s="2"/>
      <c r="Q46" s="1"/>
      <c r="R46" s="1"/>
      <c r="S46" s="2"/>
      <c r="T46" s="2"/>
      <c r="U46" s="2"/>
      <c r="V46" s="2"/>
      <c r="W46" s="1"/>
      <c r="X46" s="1"/>
      <c r="Y46" s="1"/>
      <c r="Z46" s="1"/>
    </row>
    <row r="47" spans="1:26" ht="24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"/>
      <c r="M47" s="2"/>
      <c r="N47" s="2"/>
      <c r="O47" s="2"/>
      <c r="P47" s="2"/>
      <c r="Q47" s="1"/>
      <c r="R47" s="1"/>
      <c r="S47" s="2"/>
      <c r="T47" s="2"/>
      <c r="U47" s="2"/>
      <c r="V47" s="2"/>
      <c r="W47" s="1"/>
      <c r="X47" s="1"/>
      <c r="Y47" s="1"/>
      <c r="Z47" s="1"/>
    </row>
    <row r="48" spans="1:26" ht="24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"/>
      <c r="M48" s="2"/>
      <c r="N48" s="2"/>
      <c r="O48" s="2"/>
      <c r="P48" s="2"/>
      <c r="Q48" s="1"/>
      <c r="R48" s="1"/>
      <c r="S48" s="2"/>
      <c r="T48" s="2"/>
      <c r="U48" s="2"/>
      <c r="V48" s="2"/>
      <c r="W48" s="1"/>
      <c r="X48" s="1"/>
      <c r="Y48" s="1"/>
      <c r="Z48" s="1"/>
    </row>
    <row r="49" spans="1:26" ht="24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"/>
      <c r="M49" s="2"/>
      <c r="N49" s="2"/>
      <c r="O49" s="2"/>
      <c r="P49" s="2"/>
      <c r="Q49" s="1"/>
      <c r="R49" s="1"/>
      <c r="S49" s="2"/>
      <c r="T49" s="2"/>
      <c r="U49" s="2"/>
      <c r="V49" s="2"/>
      <c r="W49" s="1"/>
      <c r="X49" s="1"/>
      <c r="Y49" s="1"/>
      <c r="Z49" s="1"/>
    </row>
    <row r="50" spans="1:26" ht="24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"/>
      <c r="M50" s="2"/>
      <c r="N50" s="2"/>
      <c r="O50" s="2"/>
      <c r="P50" s="2"/>
      <c r="Q50" s="1"/>
      <c r="R50" s="1"/>
      <c r="S50" s="2"/>
      <c r="T50" s="2"/>
      <c r="U50" s="2"/>
      <c r="V50" s="2"/>
      <c r="W50" s="1"/>
      <c r="X50" s="1"/>
      <c r="Y50" s="1"/>
      <c r="Z50" s="1"/>
    </row>
    <row r="51" spans="1:26" ht="24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"/>
      <c r="M51" s="2"/>
      <c r="N51" s="2"/>
      <c r="O51" s="2"/>
      <c r="P51" s="2"/>
      <c r="Q51" s="1"/>
      <c r="R51" s="1"/>
      <c r="S51" s="2"/>
      <c r="T51" s="2"/>
      <c r="U51" s="2"/>
      <c r="V51" s="2"/>
      <c r="W51" s="1"/>
      <c r="X51" s="1"/>
      <c r="Y51" s="1"/>
      <c r="Z51" s="1"/>
    </row>
    <row r="52" spans="1:26" ht="24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"/>
      <c r="M52" s="2"/>
      <c r="N52" s="2"/>
      <c r="O52" s="2"/>
      <c r="P52" s="2"/>
      <c r="Q52" s="1"/>
      <c r="R52" s="1"/>
      <c r="S52" s="2"/>
      <c r="T52" s="2"/>
      <c r="U52" s="2"/>
      <c r="V52" s="2"/>
      <c r="W52" s="1"/>
      <c r="X52" s="1"/>
      <c r="Y52" s="1"/>
      <c r="Z52" s="1"/>
    </row>
    <row r="53" spans="1:26" ht="24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"/>
      <c r="M53" s="2"/>
      <c r="N53" s="2"/>
      <c r="O53" s="2"/>
      <c r="P53" s="2"/>
      <c r="Q53" s="1"/>
      <c r="R53" s="1"/>
      <c r="S53" s="2"/>
      <c r="T53" s="2"/>
      <c r="U53" s="2"/>
      <c r="V53" s="2"/>
      <c r="W53" s="1"/>
      <c r="X53" s="1"/>
      <c r="Y53" s="1"/>
      <c r="Z53" s="1"/>
    </row>
    <row r="54" spans="1:26" ht="24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"/>
      <c r="M54" s="2"/>
      <c r="N54" s="2"/>
      <c r="O54" s="2"/>
      <c r="P54" s="2"/>
      <c r="Q54" s="1"/>
      <c r="R54" s="1"/>
      <c r="S54" s="2"/>
      <c r="T54" s="2"/>
      <c r="U54" s="2"/>
      <c r="V54" s="2"/>
      <c r="W54" s="1"/>
      <c r="X54" s="1"/>
      <c r="Y54" s="1"/>
      <c r="Z54" s="1"/>
    </row>
    <row r="55" spans="1:26" ht="24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"/>
      <c r="M55" s="2"/>
      <c r="N55" s="2"/>
      <c r="O55" s="2"/>
      <c r="P55" s="2"/>
      <c r="Q55" s="1"/>
      <c r="R55" s="1"/>
      <c r="S55" s="2"/>
      <c r="T55" s="2"/>
      <c r="U55" s="2"/>
      <c r="V55" s="2"/>
      <c r="W55" s="1"/>
      <c r="X55" s="1"/>
      <c r="Y55" s="1"/>
      <c r="Z55" s="1"/>
    </row>
    <row r="56" spans="1:26" ht="24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"/>
      <c r="M56" s="2"/>
      <c r="N56" s="2"/>
      <c r="O56" s="2"/>
      <c r="P56" s="2"/>
      <c r="Q56" s="1"/>
      <c r="R56" s="1"/>
      <c r="S56" s="2"/>
      <c r="T56" s="2"/>
      <c r="U56" s="2"/>
      <c r="V56" s="2"/>
      <c r="W56" s="1"/>
      <c r="X56" s="1"/>
      <c r="Y56" s="1"/>
      <c r="Z56" s="1"/>
    </row>
    <row r="57" spans="1:26" ht="24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"/>
      <c r="M57" s="2"/>
      <c r="N57" s="2"/>
      <c r="O57" s="2"/>
      <c r="P57" s="2"/>
      <c r="Q57" s="1"/>
      <c r="R57" s="1"/>
      <c r="S57" s="2"/>
      <c r="T57" s="2"/>
      <c r="U57" s="2"/>
      <c r="V57" s="2"/>
      <c r="W57" s="1"/>
      <c r="X57" s="1"/>
      <c r="Y57" s="1"/>
      <c r="Z57" s="1"/>
    </row>
    <row r="58" spans="1:26" ht="24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"/>
      <c r="M58" s="2"/>
      <c r="N58" s="2"/>
      <c r="O58" s="2"/>
      <c r="P58" s="2"/>
      <c r="Q58" s="1"/>
      <c r="R58" s="1"/>
      <c r="S58" s="2"/>
      <c r="T58" s="2"/>
      <c r="U58" s="2"/>
      <c r="V58" s="2"/>
      <c r="W58" s="1"/>
      <c r="X58" s="1"/>
      <c r="Y58" s="1"/>
      <c r="Z58" s="1"/>
    </row>
    <row r="59" spans="1:26" ht="24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"/>
      <c r="M59" s="2"/>
      <c r="N59" s="2"/>
      <c r="O59" s="2"/>
      <c r="P59" s="2"/>
      <c r="Q59" s="1"/>
      <c r="R59" s="1"/>
      <c r="S59" s="2"/>
      <c r="T59" s="2"/>
      <c r="U59" s="2"/>
      <c r="V59" s="2"/>
      <c r="W59" s="1"/>
      <c r="X59" s="1"/>
      <c r="Y59" s="1"/>
      <c r="Z59" s="1"/>
    </row>
    <row r="60" spans="1:26" ht="24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"/>
      <c r="M60" s="2"/>
      <c r="N60" s="2"/>
      <c r="O60" s="2"/>
      <c r="P60" s="2"/>
      <c r="Q60" s="1"/>
      <c r="R60" s="1"/>
      <c r="S60" s="2"/>
      <c r="T60" s="2"/>
      <c r="U60" s="2"/>
      <c r="V60" s="2"/>
      <c r="W60" s="1"/>
      <c r="X60" s="1"/>
      <c r="Y60" s="1"/>
      <c r="Z60" s="1"/>
    </row>
    <row r="61" spans="1:26" ht="24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"/>
      <c r="M61" s="2"/>
      <c r="N61" s="2"/>
      <c r="O61" s="2"/>
      <c r="P61" s="2"/>
      <c r="Q61" s="1"/>
      <c r="R61" s="1"/>
      <c r="S61" s="2"/>
      <c r="T61" s="2"/>
      <c r="U61" s="2"/>
      <c r="V61" s="2"/>
      <c r="W61" s="1"/>
      <c r="X61" s="1"/>
      <c r="Y61" s="1"/>
      <c r="Z61" s="1"/>
    </row>
    <row r="62" spans="1:26" ht="24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"/>
      <c r="M62" s="2"/>
      <c r="N62" s="2"/>
      <c r="O62" s="2"/>
      <c r="P62" s="2"/>
      <c r="Q62" s="1"/>
      <c r="R62" s="1"/>
      <c r="S62" s="2"/>
      <c r="T62" s="2"/>
      <c r="U62" s="2"/>
      <c r="V62" s="2"/>
      <c r="W62" s="1"/>
      <c r="X62" s="1"/>
      <c r="Y62" s="1"/>
      <c r="Z62" s="1"/>
    </row>
    <row r="63" spans="1:26" ht="24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1"/>
      <c r="M63" s="2"/>
      <c r="N63" s="2"/>
      <c r="O63" s="2"/>
      <c r="P63" s="2"/>
      <c r="Q63" s="1"/>
      <c r="R63" s="1"/>
      <c r="S63" s="2"/>
      <c r="T63" s="2"/>
      <c r="U63" s="2"/>
      <c r="V63" s="2"/>
      <c r="W63" s="1"/>
      <c r="X63" s="1"/>
      <c r="Y63" s="1"/>
      <c r="Z63" s="1"/>
    </row>
    <row r="64" spans="1:26" ht="24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1"/>
      <c r="M64" s="2"/>
      <c r="N64" s="2"/>
      <c r="O64" s="2"/>
      <c r="P64" s="2"/>
      <c r="Q64" s="1"/>
      <c r="R64" s="1"/>
      <c r="S64" s="2"/>
      <c r="T64" s="2"/>
      <c r="U64" s="2"/>
      <c r="V64" s="2"/>
      <c r="W64" s="1"/>
      <c r="X64" s="1"/>
      <c r="Y64" s="1"/>
      <c r="Z64" s="1"/>
    </row>
    <row r="65" spans="1:26" ht="24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1"/>
      <c r="M65" s="2"/>
      <c r="N65" s="2"/>
      <c r="O65" s="2"/>
      <c r="P65" s="2"/>
      <c r="Q65" s="1"/>
      <c r="R65" s="1"/>
      <c r="S65" s="2"/>
      <c r="T65" s="2"/>
      <c r="U65" s="2"/>
      <c r="V65" s="2"/>
      <c r="W65" s="1"/>
      <c r="X65" s="1"/>
      <c r="Y65" s="1"/>
      <c r="Z65" s="1"/>
    </row>
    <row r="66" spans="1:26" ht="24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1"/>
      <c r="M66" s="2"/>
      <c r="N66" s="2"/>
      <c r="O66" s="2"/>
      <c r="P66" s="2"/>
      <c r="Q66" s="1"/>
      <c r="R66" s="1"/>
      <c r="S66" s="2"/>
      <c r="T66" s="2"/>
      <c r="U66" s="2"/>
      <c r="V66" s="2"/>
      <c r="W66" s="1"/>
      <c r="X66" s="1"/>
      <c r="Y66" s="1"/>
      <c r="Z66" s="1"/>
    </row>
    <row r="67" spans="1:26" ht="24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1"/>
      <c r="M67" s="2"/>
      <c r="N67" s="2"/>
      <c r="O67" s="2"/>
      <c r="P67" s="2"/>
      <c r="Q67" s="1"/>
      <c r="R67" s="1"/>
      <c r="S67" s="2"/>
      <c r="T67" s="2"/>
      <c r="U67" s="2"/>
      <c r="V67" s="2"/>
      <c r="W67" s="1"/>
      <c r="X67" s="1"/>
      <c r="Y67" s="1"/>
      <c r="Z67" s="1"/>
    </row>
    <row r="68" spans="1:26" ht="24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1"/>
      <c r="M68" s="2"/>
      <c r="N68" s="2"/>
      <c r="O68" s="2"/>
      <c r="P68" s="2"/>
      <c r="Q68" s="1"/>
      <c r="R68" s="1"/>
      <c r="S68" s="2"/>
      <c r="T68" s="2"/>
      <c r="U68" s="2"/>
      <c r="V68" s="2"/>
      <c r="W68" s="1"/>
      <c r="X68" s="1"/>
      <c r="Y68" s="1"/>
      <c r="Z68" s="1"/>
    </row>
    <row r="69" spans="1:26" ht="24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1"/>
      <c r="M69" s="2"/>
      <c r="N69" s="2"/>
      <c r="O69" s="2"/>
      <c r="P69" s="2"/>
      <c r="Q69" s="1"/>
      <c r="R69" s="1"/>
      <c r="S69" s="2"/>
      <c r="T69" s="2"/>
      <c r="U69" s="2"/>
      <c r="V69" s="2"/>
      <c r="W69" s="1"/>
      <c r="X69" s="1"/>
      <c r="Y69" s="1"/>
      <c r="Z69" s="1"/>
    </row>
    <row r="70" spans="1:26" ht="24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1"/>
      <c r="M70" s="2"/>
      <c r="N70" s="2"/>
      <c r="O70" s="2"/>
      <c r="P70" s="2"/>
      <c r="Q70" s="1"/>
      <c r="R70" s="1"/>
      <c r="S70" s="2"/>
      <c r="T70" s="2"/>
      <c r="U70" s="2"/>
      <c r="V70" s="2"/>
      <c r="W70" s="1"/>
      <c r="X70" s="1"/>
      <c r="Y70" s="1"/>
      <c r="Z70" s="1"/>
    </row>
    <row r="71" spans="1:26" ht="24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1"/>
      <c r="M71" s="2"/>
      <c r="N71" s="2"/>
      <c r="O71" s="2"/>
      <c r="P71" s="2"/>
      <c r="Q71" s="1"/>
      <c r="R71" s="1"/>
      <c r="S71" s="2"/>
      <c r="T71" s="2"/>
      <c r="U71" s="2"/>
      <c r="V71" s="2"/>
      <c r="W71" s="1"/>
      <c r="X71" s="1"/>
      <c r="Y71" s="1"/>
      <c r="Z71" s="1"/>
    </row>
    <row r="72" spans="1:26" ht="24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1"/>
      <c r="M72" s="2"/>
      <c r="N72" s="2"/>
      <c r="O72" s="2"/>
      <c r="P72" s="2"/>
      <c r="Q72" s="1"/>
      <c r="R72" s="1"/>
      <c r="S72" s="2"/>
      <c r="T72" s="2"/>
      <c r="U72" s="2"/>
      <c r="V72" s="2"/>
      <c r="W72" s="1"/>
      <c r="X72" s="1"/>
      <c r="Y72" s="1"/>
      <c r="Z72" s="1"/>
    </row>
    <row r="73" spans="1:26" ht="24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1"/>
      <c r="M73" s="2"/>
      <c r="N73" s="2"/>
      <c r="O73" s="2"/>
      <c r="P73" s="2"/>
      <c r="Q73" s="1"/>
      <c r="R73" s="1"/>
      <c r="S73" s="2"/>
      <c r="T73" s="2"/>
      <c r="U73" s="2"/>
      <c r="V73" s="2"/>
      <c r="W73" s="1"/>
      <c r="X73" s="1"/>
      <c r="Y73" s="1"/>
      <c r="Z73" s="1"/>
    </row>
    <row r="74" spans="1:26" ht="24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1"/>
      <c r="M74" s="2"/>
      <c r="N74" s="2"/>
      <c r="O74" s="2"/>
      <c r="P74" s="2"/>
      <c r="Q74" s="1"/>
      <c r="R74" s="1"/>
      <c r="S74" s="2"/>
      <c r="T74" s="2"/>
      <c r="U74" s="2"/>
      <c r="V74" s="2"/>
      <c r="W74" s="1"/>
      <c r="X74" s="1"/>
      <c r="Y74" s="1"/>
      <c r="Z74" s="1"/>
    </row>
    <row r="75" spans="1:26" ht="24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1"/>
      <c r="M75" s="2"/>
      <c r="N75" s="2"/>
      <c r="O75" s="2"/>
      <c r="P75" s="2"/>
      <c r="Q75" s="1"/>
      <c r="R75" s="1"/>
      <c r="S75" s="2"/>
      <c r="T75" s="2"/>
      <c r="U75" s="2"/>
      <c r="V75" s="2"/>
      <c r="W75" s="1"/>
      <c r="X75" s="1"/>
      <c r="Y75" s="1"/>
      <c r="Z75" s="1"/>
    </row>
    <row r="76" spans="1:26" ht="24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1"/>
      <c r="M76" s="2"/>
      <c r="N76" s="2"/>
      <c r="O76" s="2"/>
      <c r="P76" s="2"/>
      <c r="Q76" s="1"/>
      <c r="R76" s="1"/>
      <c r="S76" s="2"/>
      <c r="T76" s="2"/>
      <c r="U76" s="2"/>
      <c r="V76" s="2"/>
      <c r="W76" s="1"/>
      <c r="X76" s="1"/>
      <c r="Y76" s="1"/>
      <c r="Z76" s="1"/>
    </row>
    <row r="77" spans="1:26" ht="24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1"/>
      <c r="M77" s="2"/>
      <c r="N77" s="2"/>
      <c r="O77" s="2"/>
      <c r="P77" s="2"/>
      <c r="Q77" s="1"/>
      <c r="R77" s="1"/>
      <c r="S77" s="2"/>
      <c r="T77" s="2"/>
      <c r="U77" s="2"/>
      <c r="V77" s="2"/>
      <c r="W77" s="1"/>
      <c r="X77" s="1"/>
      <c r="Y77" s="1"/>
      <c r="Z77" s="1"/>
    </row>
    <row r="78" spans="1:26" ht="24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1"/>
      <c r="M78" s="2"/>
      <c r="N78" s="2"/>
      <c r="O78" s="2"/>
      <c r="P78" s="2"/>
      <c r="Q78" s="1"/>
      <c r="R78" s="1"/>
      <c r="S78" s="2"/>
      <c r="T78" s="2"/>
      <c r="U78" s="2"/>
      <c r="V78" s="2"/>
      <c r="W78" s="1"/>
      <c r="X78" s="1"/>
      <c r="Y78" s="1"/>
      <c r="Z78" s="1"/>
    </row>
    <row r="79" spans="1:26" ht="24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1"/>
      <c r="M79" s="2"/>
      <c r="N79" s="2"/>
      <c r="O79" s="2"/>
      <c r="P79" s="2"/>
      <c r="Q79" s="1"/>
      <c r="R79" s="1"/>
      <c r="S79" s="2"/>
      <c r="T79" s="2"/>
      <c r="U79" s="2"/>
      <c r="V79" s="2"/>
      <c r="W79" s="1"/>
      <c r="X79" s="1"/>
      <c r="Y79" s="1"/>
      <c r="Z79" s="1"/>
    </row>
    <row r="80" spans="1:26" ht="24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1"/>
      <c r="M80" s="2"/>
      <c r="N80" s="2"/>
      <c r="O80" s="2"/>
      <c r="P80" s="2"/>
      <c r="Q80" s="1"/>
      <c r="R80" s="1"/>
      <c r="S80" s="2"/>
      <c r="T80" s="2"/>
      <c r="U80" s="2"/>
      <c r="V80" s="2"/>
      <c r="W80" s="1"/>
      <c r="X80" s="1"/>
      <c r="Y80" s="1"/>
      <c r="Z80" s="1"/>
    </row>
    <row r="81" spans="1:26" ht="24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1"/>
      <c r="M81" s="2"/>
      <c r="N81" s="2"/>
      <c r="O81" s="2"/>
      <c r="P81" s="2"/>
      <c r="Q81" s="1"/>
      <c r="R81" s="1"/>
      <c r="S81" s="2"/>
      <c r="T81" s="2"/>
      <c r="U81" s="2"/>
      <c r="V81" s="2"/>
      <c r="W81" s="1"/>
      <c r="X81" s="1"/>
      <c r="Y81" s="1"/>
      <c r="Z81" s="1"/>
    </row>
    <row r="82" spans="1:26" ht="24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1"/>
      <c r="M82" s="2"/>
      <c r="N82" s="2"/>
      <c r="O82" s="2"/>
      <c r="P82" s="2"/>
      <c r="Q82" s="1"/>
      <c r="R82" s="1"/>
      <c r="S82" s="2"/>
      <c r="T82" s="2"/>
      <c r="U82" s="2"/>
      <c r="V82" s="2"/>
      <c r="W82" s="1"/>
      <c r="X82" s="1"/>
      <c r="Y82" s="1"/>
      <c r="Z82" s="1"/>
    </row>
    <row r="83" spans="1:26" ht="24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1"/>
      <c r="M83" s="2"/>
      <c r="N83" s="2"/>
      <c r="O83" s="2"/>
      <c r="P83" s="2"/>
      <c r="Q83" s="1"/>
      <c r="R83" s="1"/>
      <c r="S83" s="2"/>
      <c r="T83" s="2"/>
      <c r="U83" s="2"/>
      <c r="V83" s="2"/>
      <c r="W83" s="1"/>
      <c r="X83" s="1"/>
      <c r="Y83" s="1"/>
      <c r="Z83" s="1"/>
    </row>
    <row r="84" spans="1:26" ht="24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1"/>
      <c r="R84" s="1"/>
      <c r="S84" s="2"/>
      <c r="T84" s="2"/>
      <c r="U84" s="2"/>
      <c r="V84" s="2"/>
      <c r="W84" s="1"/>
      <c r="X84" s="1"/>
      <c r="Y84" s="1"/>
      <c r="Z84" s="1"/>
    </row>
    <row r="85" spans="1:26" ht="24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"/>
      <c r="M85" s="2"/>
      <c r="N85" s="2"/>
      <c r="O85" s="2"/>
      <c r="P85" s="2"/>
      <c r="Q85" s="1"/>
      <c r="R85" s="1"/>
      <c r="S85" s="2"/>
      <c r="T85" s="2"/>
      <c r="U85" s="2"/>
      <c r="V85" s="2"/>
      <c r="W85" s="1"/>
      <c r="X85" s="1"/>
      <c r="Y85" s="1"/>
      <c r="Z85" s="1"/>
    </row>
    <row r="86" spans="1:26" ht="24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1"/>
      <c r="M86" s="2"/>
      <c r="N86" s="2"/>
      <c r="O86" s="2"/>
      <c r="P86" s="2"/>
      <c r="Q86" s="1"/>
      <c r="R86" s="1"/>
      <c r="S86" s="2"/>
      <c r="T86" s="2"/>
      <c r="U86" s="2"/>
      <c r="V86" s="2"/>
      <c r="W86" s="1"/>
      <c r="X86" s="1"/>
      <c r="Y86" s="1"/>
      <c r="Z86" s="1"/>
    </row>
    <row r="87" spans="1:26" ht="24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1"/>
      <c r="M87" s="2"/>
      <c r="N87" s="2"/>
      <c r="O87" s="2"/>
      <c r="P87" s="2"/>
      <c r="Q87" s="1"/>
      <c r="R87" s="1"/>
      <c r="S87" s="2"/>
      <c r="T87" s="2"/>
      <c r="U87" s="2"/>
      <c r="V87" s="2"/>
      <c r="W87" s="1"/>
      <c r="X87" s="1"/>
      <c r="Y87" s="1"/>
      <c r="Z87" s="1"/>
    </row>
    <row r="88" spans="1:26" ht="24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1"/>
      <c r="M88" s="2"/>
      <c r="N88" s="2"/>
      <c r="O88" s="2"/>
      <c r="P88" s="2"/>
      <c r="Q88" s="1"/>
      <c r="R88" s="1"/>
      <c r="S88" s="2"/>
      <c r="T88" s="2"/>
      <c r="U88" s="2"/>
      <c r="V88" s="2"/>
      <c r="W88" s="1"/>
      <c r="X88" s="1"/>
      <c r="Y88" s="1"/>
      <c r="Z88" s="1"/>
    </row>
    <row r="89" spans="1:26" ht="24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1"/>
      <c r="M89" s="2"/>
      <c r="N89" s="2"/>
      <c r="O89" s="2"/>
      <c r="P89" s="2"/>
      <c r="Q89" s="1"/>
      <c r="R89" s="1"/>
      <c r="S89" s="2"/>
      <c r="T89" s="2"/>
      <c r="U89" s="2"/>
      <c r="V89" s="2"/>
      <c r="W89" s="1"/>
      <c r="X89" s="1"/>
      <c r="Y89" s="1"/>
      <c r="Z89" s="1"/>
    </row>
    <row r="90" spans="1:26" ht="24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1"/>
      <c r="M90" s="2"/>
      <c r="N90" s="2"/>
      <c r="O90" s="2"/>
      <c r="P90" s="2"/>
      <c r="Q90" s="1"/>
      <c r="R90" s="1"/>
      <c r="S90" s="2"/>
      <c r="T90" s="2"/>
      <c r="U90" s="2"/>
      <c r="V90" s="2"/>
      <c r="W90" s="1"/>
      <c r="X90" s="1"/>
      <c r="Y90" s="1"/>
      <c r="Z90" s="1"/>
    </row>
    <row r="91" spans="1:26" ht="24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"/>
      <c r="M91" s="2"/>
      <c r="N91" s="2"/>
      <c r="O91" s="2"/>
      <c r="P91" s="2"/>
      <c r="Q91" s="1"/>
      <c r="R91" s="1"/>
      <c r="S91" s="2"/>
      <c r="T91" s="2"/>
      <c r="U91" s="2"/>
      <c r="V91" s="2"/>
      <c r="W91" s="1"/>
      <c r="X91" s="1"/>
      <c r="Y91" s="1"/>
      <c r="Z91" s="1"/>
    </row>
    <row r="92" spans="1:26" ht="24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1"/>
      <c r="M92" s="2"/>
      <c r="N92" s="2"/>
      <c r="O92" s="2"/>
      <c r="P92" s="2"/>
      <c r="Q92" s="1"/>
      <c r="R92" s="1"/>
      <c r="S92" s="2"/>
      <c r="T92" s="2"/>
      <c r="U92" s="2"/>
      <c r="V92" s="2"/>
      <c r="W92" s="1"/>
      <c r="X92" s="1"/>
      <c r="Y92" s="1"/>
      <c r="Z92" s="1"/>
    </row>
    <row r="93" spans="1:26" ht="24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1"/>
      <c r="M93" s="2"/>
      <c r="N93" s="2"/>
      <c r="O93" s="2"/>
      <c r="P93" s="2"/>
      <c r="Q93" s="1"/>
      <c r="R93" s="1"/>
      <c r="S93" s="2"/>
      <c r="T93" s="2"/>
      <c r="U93" s="2"/>
      <c r="V93" s="2"/>
      <c r="W93" s="1"/>
      <c r="X93" s="1"/>
      <c r="Y93" s="1"/>
      <c r="Z93" s="1"/>
    </row>
    <row r="94" spans="1:26" ht="24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1"/>
      <c r="M94" s="2"/>
      <c r="N94" s="2"/>
      <c r="O94" s="2"/>
      <c r="P94" s="2"/>
      <c r="Q94" s="1"/>
      <c r="R94" s="1"/>
      <c r="S94" s="2"/>
      <c r="T94" s="2"/>
      <c r="U94" s="2"/>
      <c r="V94" s="2"/>
      <c r="W94" s="1"/>
      <c r="X94" s="1"/>
      <c r="Y94" s="1"/>
      <c r="Z94" s="1"/>
    </row>
    <row r="95" spans="1:26" ht="24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1"/>
      <c r="M95" s="2"/>
      <c r="N95" s="2"/>
      <c r="O95" s="2"/>
      <c r="P95" s="2"/>
      <c r="Q95" s="1"/>
      <c r="R95" s="1"/>
      <c r="S95" s="2"/>
      <c r="T95" s="2"/>
      <c r="U95" s="2"/>
      <c r="V95" s="2"/>
      <c r="W95" s="1"/>
      <c r="X95" s="1"/>
      <c r="Y95" s="1"/>
      <c r="Z95" s="1"/>
    </row>
    <row r="96" spans="1:26" ht="24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1"/>
      <c r="M96" s="2"/>
      <c r="N96" s="2"/>
      <c r="O96" s="2"/>
      <c r="P96" s="2"/>
      <c r="Q96" s="1"/>
      <c r="R96" s="1"/>
      <c r="S96" s="2"/>
      <c r="T96" s="2"/>
      <c r="U96" s="2"/>
      <c r="V96" s="2"/>
      <c r="W96" s="1"/>
      <c r="X96" s="1"/>
      <c r="Y96" s="1"/>
      <c r="Z96" s="1"/>
    </row>
    <row r="97" spans="1:26" ht="24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1"/>
      <c r="M97" s="2"/>
      <c r="N97" s="2"/>
      <c r="O97" s="2"/>
      <c r="P97" s="2"/>
      <c r="Q97" s="1"/>
      <c r="R97" s="1"/>
      <c r="S97" s="2"/>
      <c r="T97" s="2"/>
      <c r="U97" s="2"/>
      <c r="V97" s="2"/>
      <c r="W97" s="1"/>
      <c r="X97" s="1"/>
      <c r="Y97" s="1"/>
      <c r="Z97" s="1"/>
    </row>
    <row r="98" spans="1:26" ht="24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1"/>
      <c r="M98" s="2"/>
      <c r="N98" s="2"/>
      <c r="O98" s="2"/>
      <c r="P98" s="2"/>
      <c r="Q98" s="1"/>
      <c r="R98" s="1"/>
      <c r="S98" s="2"/>
      <c r="T98" s="2"/>
      <c r="U98" s="2"/>
      <c r="V98" s="2"/>
      <c r="W98" s="1"/>
      <c r="X98" s="1"/>
      <c r="Y98" s="1"/>
      <c r="Z98" s="1"/>
    </row>
    <row r="99" spans="1:26" ht="24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1"/>
      <c r="M99" s="2"/>
      <c r="N99" s="2"/>
      <c r="O99" s="2"/>
      <c r="P99" s="2"/>
      <c r="Q99" s="1"/>
      <c r="R99" s="1"/>
      <c r="S99" s="2"/>
      <c r="T99" s="2"/>
      <c r="U99" s="2"/>
      <c r="V99" s="2"/>
      <c r="W99" s="1"/>
      <c r="X99" s="1"/>
      <c r="Y99" s="1"/>
      <c r="Z99" s="1"/>
    </row>
    <row r="100" spans="1:26" ht="24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"/>
      <c r="M100" s="2"/>
      <c r="N100" s="2"/>
      <c r="O100" s="2"/>
      <c r="P100" s="2"/>
      <c r="Q100" s="1"/>
      <c r="R100" s="1"/>
      <c r="S100" s="2"/>
      <c r="T100" s="2"/>
      <c r="U100" s="2"/>
      <c r="V100" s="2"/>
      <c r="W100" s="1"/>
      <c r="X100" s="1"/>
      <c r="Y100" s="1"/>
      <c r="Z100" s="1"/>
    </row>
  </sheetData>
  <mergeCells count="10">
    <mergeCell ref="B19:K19"/>
    <mergeCell ref="B20:K20"/>
    <mergeCell ref="B21:K21"/>
    <mergeCell ref="B22:K22"/>
    <mergeCell ref="B23:K23"/>
    <mergeCell ref="A1:K1"/>
    <mergeCell ref="A2:K2"/>
    <mergeCell ref="M4:P4"/>
    <mergeCell ref="S4:V4"/>
    <mergeCell ref="B18:K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zoomScale="64" workbookViewId="0">
      <pane xSplit="1" ySplit="4" topLeftCell="B5" activePane="bottomRight" state="frozen"/>
      <selection pane="topRight"/>
      <selection pane="bottomLeft"/>
      <selection pane="bottomRight" activeCell="G20" sqref="G20"/>
    </sheetView>
  </sheetViews>
  <sheetFormatPr defaultColWidth="16.6640625" defaultRowHeight="33" customHeight="1" x14ac:dyDescent="0.35"/>
  <cols>
    <col min="1" max="1" width="9.5" customWidth="1"/>
    <col min="2" max="2" width="9.33203125" customWidth="1"/>
    <col min="3" max="3" width="10" customWidth="1"/>
    <col min="4" max="4" width="10.5" customWidth="1"/>
    <col min="5" max="5" width="10.9140625" customWidth="1"/>
    <col min="6" max="6" width="7.25" bestFit="1" customWidth="1"/>
    <col min="7" max="7" width="10.9140625" customWidth="1"/>
    <col min="8" max="8" width="9.58203125" customWidth="1"/>
    <col min="9" max="9" width="9.5" customWidth="1"/>
    <col min="10" max="10" width="9.75" customWidth="1"/>
    <col min="11" max="11" width="9.33203125" customWidth="1"/>
    <col min="12" max="12" width="9.75" customWidth="1"/>
    <col min="13" max="13" width="10.75" customWidth="1"/>
    <col min="14" max="26" width="10" customWidth="1"/>
  </cols>
  <sheetData>
    <row r="1" spans="1:26" ht="28.5" customHeight="1" x14ac:dyDescent="0.35">
      <c r="A1" s="199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35">
      <c r="A2" s="199" t="s">
        <v>30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7.5" customHeight="1" x14ac:dyDescent="0.35">
      <c r="A3" s="202" t="s">
        <v>2</v>
      </c>
      <c r="B3" s="204" t="s">
        <v>34</v>
      </c>
      <c r="C3" s="205"/>
      <c r="D3" s="206"/>
      <c r="E3" s="205" t="s">
        <v>35</v>
      </c>
      <c r="F3" s="205"/>
      <c r="G3" s="205"/>
      <c r="H3" s="204" t="s">
        <v>36</v>
      </c>
      <c r="I3" s="205"/>
      <c r="J3" s="206"/>
      <c r="K3" s="205" t="s">
        <v>37</v>
      </c>
      <c r="L3" s="205"/>
      <c r="M3" s="20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 customHeight="1" x14ac:dyDescent="0.35">
      <c r="A4" s="203"/>
      <c r="B4" s="79" t="s">
        <v>38</v>
      </c>
      <c r="C4" s="80" t="s">
        <v>39</v>
      </c>
      <c r="D4" s="81" t="s">
        <v>40</v>
      </c>
      <c r="E4" s="82" t="s">
        <v>31</v>
      </c>
      <c r="F4" s="80" t="s">
        <v>32</v>
      </c>
      <c r="G4" s="83" t="s">
        <v>33</v>
      </c>
      <c r="H4" s="79" t="s">
        <v>31</v>
      </c>
      <c r="I4" s="80" t="s">
        <v>32</v>
      </c>
      <c r="J4" s="81" t="s">
        <v>33</v>
      </c>
      <c r="K4" s="82" t="s">
        <v>31</v>
      </c>
      <c r="L4" s="80" t="s">
        <v>32</v>
      </c>
      <c r="M4" s="81" t="s">
        <v>33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35">
      <c r="A5" s="73">
        <v>46113</v>
      </c>
      <c r="B5" s="87">
        <v>13</v>
      </c>
      <c r="C5" s="88">
        <v>25</v>
      </c>
      <c r="D5" s="89">
        <v>42</v>
      </c>
      <c r="E5" s="66">
        <f t="shared" ref="E5:E17" si="0">(H5-B5)/B5</f>
        <v>0.20104452183671562</v>
      </c>
      <c r="F5" s="63">
        <f t="shared" ref="F5:F17" si="1">(I5-C5)/C5</f>
        <v>0.23190520576016682</v>
      </c>
      <c r="G5" s="84">
        <f t="shared" ref="G5:G17" si="2">(J5-D5)/D5</f>
        <v>0.20111730653220508</v>
      </c>
      <c r="H5" s="62">
        <f>'April 26'!L4</f>
        <v>15.613578783877303</v>
      </c>
      <c r="I5" s="63">
        <f>'April 26'!L5</f>
        <v>30.79763014400417</v>
      </c>
      <c r="J5" s="64">
        <f>'April 26'!L6</f>
        <v>50.446926874352613</v>
      </c>
      <c r="K5" s="66">
        <f>(H5-B5)/B5</f>
        <v>0.20104452183671562</v>
      </c>
      <c r="L5" s="63">
        <f>(I5-C5)/C5</f>
        <v>0.23190520576016682</v>
      </c>
      <c r="M5" s="64">
        <f>(J5-D5)/D5</f>
        <v>0.20111730653220508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 x14ac:dyDescent="0.35">
      <c r="A6" s="75">
        <v>46143</v>
      </c>
      <c r="B6" s="90">
        <v>13</v>
      </c>
      <c r="C6" s="91">
        <v>25</v>
      </c>
      <c r="D6" s="92">
        <v>42</v>
      </c>
      <c r="E6" s="27">
        <f t="shared" si="0"/>
        <v>5.746264243949694E-2</v>
      </c>
      <c r="F6" s="18">
        <f t="shared" si="1"/>
        <v>8.7690170766495615E-2</v>
      </c>
      <c r="G6" s="19">
        <f t="shared" si="2"/>
        <v>5.7462642439497072E-2</v>
      </c>
      <c r="H6" s="17">
        <f>'May 26'!L4</f>
        <v>13.74701435171346</v>
      </c>
      <c r="I6" s="18">
        <f>'May 26'!L5</f>
        <v>27.19225426916239</v>
      </c>
      <c r="J6" s="65">
        <f>'May 26'!L6</f>
        <v>44.413430982458877</v>
      </c>
      <c r="K6" s="27">
        <f t="shared" ref="K6:K16" si="3">(H6-H5)/B6</f>
        <v>-0.14358187939721867</v>
      </c>
      <c r="L6" s="18">
        <f t="shared" ref="L6:L16" si="4">(I6-I5)/C6</f>
        <v>-0.14421503499367119</v>
      </c>
      <c r="M6" s="21">
        <f t="shared" ref="M6:M16" si="5">(J6-J5)/D6</f>
        <v>-0.143654664092708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 x14ac:dyDescent="0.35">
      <c r="A7" s="75">
        <v>46174</v>
      </c>
      <c r="B7" s="90">
        <v>13</v>
      </c>
      <c r="C7" s="91">
        <v>25</v>
      </c>
      <c r="D7" s="92">
        <v>42</v>
      </c>
      <c r="E7" s="27">
        <f t="shared" si="0"/>
        <v>-1</v>
      </c>
      <c r="F7" s="18">
        <f t="shared" si="1"/>
        <v>-1</v>
      </c>
      <c r="G7" s="19">
        <f t="shared" si="2"/>
        <v>-1</v>
      </c>
      <c r="H7" s="17"/>
      <c r="I7" s="18"/>
      <c r="J7" s="21"/>
      <c r="K7" s="27">
        <f t="shared" si="3"/>
        <v>-1.0574626424394968</v>
      </c>
      <c r="L7" s="18">
        <f t="shared" si="4"/>
        <v>-1.0876901707664957</v>
      </c>
      <c r="M7" s="21">
        <f t="shared" si="5"/>
        <v>-1.0574626424394971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 x14ac:dyDescent="0.35">
      <c r="A8" s="75">
        <v>46204</v>
      </c>
      <c r="B8" s="90">
        <v>13</v>
      </c>
      <c r="C8" s="91">
        <v>25</v>
      </c>
      <c r="D8" s="92">
        <v>42</v>
      </c>
      <c r="E8" s="27">
        <f t="shared" si="0"/>
        <v>-1</v>
      </c>
      <c r="F8" s="18">
        <f t="shared" si="1"/>
        <v>-1</v>
      </c>
      <c r="G8" s="19">
        <f t="shared" si="2"/>
        <v>-1</v>
      </c>
      <c r="H8" s="17"/>
      <c r="I8" s="18"/>
      <c r="J8" s="21"/>
      <c r="K8" s="27">
        <f t="shared" si="3"/>
        <v>0</v>
      </c>
      <c r="L8" s="18">
        <f t="shared" si="4"/>
        <v>0</v>
      </c>
      <c r="M8" s="21">
        <f t="shared" si="5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 x14ac:dyDescent="0.35">
      <c r="A9" s="75">
        <v>46235</v>
      </c>
      <c r="B9" s="90">
        <v>13</v>
      </c>
      <c r="C9" s="91">
        <v>25</v>
      </c>
      <c r="D9" s="92">
        <v>42</v>
      </c>
      <c r="E9" s="27">
        <f t="shared" si="0"/>
        <v>-1</v>
      </c>
      <c r="F9" s="18">
        <f t="shared" si="1"/>
        <v>-1</v>
      </c>
      <c r="G9" s="19">
        <f t="shared" si="2"/>
        <v>-1</v>
      </c>
      <c r="H9" s="17"/>
      <c r="I9" s="18"/>
      <c r="J9" s="21"/>
      <c r="K9" s="27">
        <f t="shared" si="3"/>
        <v>0</v>
      </c>
      <c r="L9" s="18">
        <f t="shared" si="4"/>
        <v>0</v>
      </c>
      <c r="M9" s="21">
        <f t="shared" si="5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35">
      <c r="A10" s="75">
        <v>46266</v>
      </c>
      <c r="B10" s="90">
        <v>13</v>
      </c>
      <c r="C10" s="91">
        <v>25</v>
      </c>
      <c r="D10" s="92">
        <v>42</v>
      </c>
      <c r="E10" s="27">
        <f t="shared" si="0"/>
        <v>-1</v>
      </c>
      <c r="F10" s="18">
        <f t="shared" si="1"/>
        <v>-1</v>
      </c>
      <c r="G10" s="19">
        <f t="shared" si="2"/>
        <v>-1</v>
      </c>
      <c r="H10" s="17"/>
      <c r="I10" s="18"/>
      <c r="J10" s="21"/>
      <c r="K10" s="27">
        <f t="shared" si="3"/>
        <v>0</v>
      </c>
      <c r="L10" s="18">
        <f t="shared" si="4"/>
        <v>0</v>
      </c>
      <c r="M10" s="21">
        <f t="shared" si="5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 x14ac:dyDescent="0.35">
      <c r="A11" s="75">
        <v>46296</v>
      </c>
      <c r="B11" s="90">
        <v>13</v>
      </c>
      <c r="C11" s="91">
        <v>25</v>
      </c>
      <c r="D11" s="92">
        <v>42</v>
      </c>
      <c r="E11" s="27">
        <f t="shared" si="0"/>
        <v>-1</v>
      </c>
      <c r="F11" s="18">
        <f t="shared" si="1"/>
        <v>-1</v>
      </c>
      <c r="G11" s="19">
        <f t="shared" si="2"/>
        <v>-1</v>
      </c>
      <c r="H11" s="17"/>
      <c r="I11" s="18"/>
      <c r="J11" s="21"/>
      <c r="K11" s="27">
        <f>(H11-H10)/B11</f>
        <v>0</v>
      </c>
      <c r="L11" s="18">
        <f t="shared" si="4"/>
        <v>0</v>
      </c>
      <c r="M11" s="21">
        <f t="shared" si="5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35">
      <c r="A12" s="75">
        <v>46327</v>
      </c>
      <c r="B12" s="90">
        <v>13</v>
      </c>
      <c r="C12" s="91">
        <v>25</v>
      </c>
      <c r="D12" s="92">
        <v>42</v>
      </c>
      <c r="E12" s="27">
        <f t="shared" si="0"/>
        <v>-1</v>
      </c>
      <c r="F12" s="18">
        <f t="shared" si="1"/>
        <v>-1</v>
      </c>
      <c r="G12" s="19">
        <f t="shared" si="2"/>
        <v>-1</v>
      </c>
      <c r="H12" s="17"/>
      <c r="I12" s="18"/>
      <c r="J12" s="21"/>
      <c r="K12" s="27">
        <f t="shared" si="3"/>
        <v>0</v>
      </c>
      <c r="L12" s="18">
        <f t="shared" si="4"/>
        <v>0</v>
      </c>
      <c r="M12" s="21">
        <f t="shared" si="5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75" customHeight="1" x14ac:dyDescent="0.35">
      <c r="A13" s="75">
        <v>46357</v>
      </c>
      <c r="B13" s="90">
        <v>13</v>
      </c>
      <c r="C13" s="91">
        <v>25</v>
      </c>
      <c r="D13" s="92">
        <v>42</v>
      </c>
      <c r="E13" s="27">
        <f t="shared" si="0"/>
        <v>-1</v>
      </c>
      <c r="F13" s="18">
        <f t="shared" si="1"/>
        <v>-1</v>
      </c>
      <c r="G13" s="19">
        <f t="shared" si="2"/>
        <v>-1</v>
      </c>
      <c r="H13" s="17"/>
      <c r="I13" s="18"/>
      <c r="J13" s="21"/>
      <c r="K13" s="27">
        <f t="shared" si="3"/>
        <v>0</v>
      </c>
      <c r="L13" s="18">
        <f t="shared" si="4"/>
        <v>0</v>
      </c>
      <c r="M13" s="21">
        <f t="shared" si="5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 x14ac:dyDescent="0.35">
      <c r="A14" s="75">
        <v>46388</v>
      </c>
      <c r="B14" s="90">
        <v>13</v>
      </c>
      <c r="C14" s="91">
        <v>25</v>
      </c>
      <c r="D14" s="92">
        <v>42</v>
      </c>
      <c r="E14" s="27">
        <f t="shared" si="0"/>
        <v>-1</v>
      </c>
      <c r="F14" s="18">
        <f t="shared" si="1"/>
        <v>-1</v>
      </c>
      <c r="G14" s="19">
        <f t="shared" si="2"/>
        <v>-1</v>
      </c>
      <c r="H14" s="17"/>
      <c r="I14" s="18"/>
      <c r="J14" s="21"/>
      <c r="K14" s="27">
        <f t="shared" si="3"/>
        <v>0</v>
      </c>
      <c r="L14" s="18">
        <f t="shared" si="4"/>
        <v>0</v>
      </c>
      <c r="M14" s="21">
        <f t="shared" si="5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35">
      <c r="A15" s="75">
        <v>46419</v>
      </c>
      <c r="B15" s="90">
        <v>13</v>
      </c>
      <c r="C15" s="91">
        <v>25</v>
      </c>
      <c r="D15" s="92">
        <v>42</v>
      </c>
      <c r="E15" s="27">
        <f t="shared" si="0"/>
        <v>-1</v>
      </c>
      <c r="F15" s="18">
        <f t="shared" si="1"/>
        <v>-1</v>
      </c>
      <c r="G15" s="19">
        <f t="shared" si="2"/>
        <v>-1</v>
      </c>
      <c r="H15" s="17"/>
      <c r="I15" s="18"/>
      <c r="J15" s="21"/>
      <c r="K15" s="27">
        <f t="shared" si="3"/>
        <v>0</v>
      </c>
      <c r="L15" s="18">
        <f t="shared" si="4"/>
        <v>0</v>
      </c>
      <c r="M15" s="21">
        <f t="shared" si="5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5">
      <c r="A16" s="78">
        <v>46447</v>
      </c>
      <c r="B16" s="93">
        <v>13</v>
      </c>
      <c r="C16" s="94">
        <v>25</v>
      </c>
      <c r="D16" s="95">
        <v>42</v>
      </c>
      <c r="E16" s="67">
        <f t="shared" si="0"/>
        <v>-1</v>
      </c>
      <c r="F16" s="29">
        <f t="shared" si="1"/>
        <v>-1</v>
      </c>
      <c r="G16" s="31">
        <f t="shared" si="2"/>
        <v>-1</v>
      </c>
      <c r="H16" s="68"/>
      <c r="I16" s="29"/>
      <c r="J16" s="30"/>
      <c r="K16" s="67">
        <f t="shared" si="3"/>
        <v>0</v>
      </c>
      <c r="L16" s="29">
        <f t="shared" si="4"/>
        <v>0</v>
      </c>
      <c r="M16" s="30">
        <f t="shared" si="5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75" customHeight="1" x14ac:dyDescent="0.35">
      <c r="A17" s="69" t="s">
        <v>22</v>
      </c>
      <c r="B17" s="70">
        <f>AVERAGE(B5:B16)</f>
        <v>13</v>
      </c>
      <c r="C17" s="71">
        <f>AVERAGE(C5:C16)</f>
        <v>25</v>
      </c>
      <c r="D17" s="72">
        <f>AVERAGE(D5:D16)</f>
        <v>42</v>
      </c>
      <c r="E17" s="85">
        <f t="shared" si="0"/>
        <v>0.1292535821381062</v>
      </c>
      <c r="F17" s="85">
        <f t="shared" si="1"/>
        <v>0.15979768826333129</v>
      </c>
      <c r="G17" s="86">
        <f t="shared" si="2"/>
        <v>0.12928997448585106</v>
      </c>
      <c r="H17" s="70">
        <f>AVERAGE(H5:H16)</f>
        <v>14.680296567795381</v>
      </c>
      <c r="I17" s="71">
        <f>AVERAGE(I5:I16)</f>
        <v>28.994942206583282</v>
      </c>
      <c r="J17" s="72">
        <f>AVERAGE(J5:J16)</f>
        <v>47.430178928405745</v>
      </c>
      <c r="K17" s="85">
        <f>AVERAGE(K5:K6)</f>
        <v>2.8731321219748474E-2</v>
      </c>
      <c r="L17" s="71">
        <f>AVERAGE(L5:L6)</f>
        <v>4.3845085383247814E-2</v>
      </c>
      <c r="M17" s="72">
        <f>AVERAGE(M5:M6)</f>
        <v>2.8731321219748543E-2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4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7">
    <mergeCell ref="A1:M1"/>
    <mergeCell ref="A2:M2"/>
    <mergeCell ref="A3:A4"/>
    <mergeCell ref="B3:D3"/>
    <mergeCell ref="E3:G3"/>
    <mergeCell ref="H3:J3"/>
    <mergeCell ref="K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tabSelected="1" zoomScale="82" workbookViewId="0">
      <selection activeCell="K16" sqref="K16"/>
    </sheetView>
  </sheetViews>
  <sheetFormatPr defaultColWidth="16.6640625" defaultRowHeight="33" customHeight="1" x14ac:dyDescent="0.35"/>
  <cols>
    <col min="1" max="2" width="10.9140625" customWidth="1"/>
    <col min="3" max="3" width="11" customWidth="1"/>
    <col min="4" max="4" width="13" customWidth="1"/>
    <col min="5" max="6" width="11" customWidth="1"/>
    <col min="7" max="7" width="10.9140625" customWidth="1"/>
    <col min="8" max="9" width="13.33203125" customWidth="1"/>
    <col min="10" max="10" width="9.9140625" customWidth="1"/>
    <col min="11" max="11" width="14.9140625" customWidth="1"/>
    <col min="12" max="12" width="12.1640625" customWidth="1"/>
    <col min="13" max="13" width="13.58203125" customWidth="1"/>
    <col min="14" max="14" width="7.1640625" customWidth="1"/>
    <col min="15" max="15" width="17" customWidth="1"/>
    <col min="16" max="26" width="10.9140625" customWidth="1"/>
  </cols>
  <sheetData>
    <row r="1" spans="1:26" ht="28.5" customHeight="1" x14ac:dyDescent="0.35">
      <c r="A1" s="170" t="s">
        <v>0</v>
      </c>
      <c r="B1" s="171"/>
      <c r="C1" s="171"/>
      <c r="D1" s="171"/>
      <c r="E1" s="171"/>
      <c r="F1" s="172"/>
      <c r="G1" s="2"/>
      <c r="H1" s="173" t="s">
        <v>0</v>
      </c>
      <c r="I1" s="174"/>
      <c r="J1" s="174"/>
      <c r="K1" s="174"/>
      <c r="L1" s="174"/>
      <c r="M1" s="175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35">
      <c r="A2" s="173" t="s">
        <v>41</v>
      </c>
      <c r="B2" s="174"/>
      <c r="C2" s="174"/>
      <c r="D2" s="174"/>
      <c r="E2" s="174"/>
      <c r="F2" s="175"/>
      <c r="G2" s="2"/>
      <c r="H2" s="173" t="s">
        <v>42</v>
      </c>
      <c r="I2" s="174"/>
      <c r="J2" s="174"/>
      <c r="K2" s="174"/>
      <c r="L2" s="174"/>
      <c r="M2" s="17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 x14ac:dyDescent="0.35">
      <c r="A3" s="96"/>
      <c r="B3" s="97"/>
      <c r="C3" s="98" t="s">
        <v>43</v>
      </c>
      <c r="D3" s="99" t="s">
        <v>44</v>
      </c>
      <c r="E3" s="99" t="s">
        <v>45</v>
      </c>
      <c r="F3" s="100" t="s">
        <v>46</v>
      </c>
      <c r="G3" s="101"/>
      <c r="H3" s="102" t="s">
        <v>47</v>
      </c>
      <c r="I3" s="103" t="s">
        <v>48</v>
      </c>
      <c r="J3" s="103" t="s">
        <v>49</v>
      </c>
      <c r="K3" s="103" t="s">
        <v>50</v>
      </c>
      <c r="L3" s="104" t="s">
        <v>51</v>
      </c>
      <c r="M3" s="104" t="s">
        <v>52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.75" customHeight="1" x14ac:dyDescent="0.35">
      <c r="A4" s="176" t="s">
        <v>53</v>
      </c>
      <c r="B4" s="105" t="s">
        <v>38</v>
      </c>
      <c r="C4" s="133">
        <v>1593</v>
      </c>
      <c r="D4" s="134">
        <v>20709</v>
      </c>
      <c r="E4" s="74">
        <v>2.04</v>
      </c>
      <c r="F4" s="64">
        <f>(D4*E4)/D4</f>
        <v>2.04</v>
      </c>
      <c r="G4" s="101"/>
      <c r="H4" s="152">
        <f>C4/C7</f>
        <v>3.2913903179817766E-2</v>
      </c>
      <c r="I4" s="167">
        <f>D4/D7</f>
        <v>1.5493500420836061E-2</v>
      </c>
      <c r="J4" s="149">
        <f>D4/C4</f>
        <v>13</v>
      </c>
      <c r="K4" s="63">
        <f>I10*I4</f>
        <v>24872.431002716545</v>
      </c>
      <c r="L4" s="150">
        <f>K4/C4</f>
        <v>15.613578783877303</v>
      </c>
      <c r="M4" s="161">
        <f>(L4-J4)/J4</f>
        <v>0.20104452183671562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 x14ac:dyDescent="0.35">
      <c r="A5" s="177"/>
      <c r="B5" s="106" t="s">
        <v>39</v>
      </c>
      <c r="C5" s="135">
        <v>39734</v>
      </c>
      <c r="D5" s="136">
        <v>1018874</v>
      </c>
      <c r="E5" s="76">
        <v>2.0299999999999998</v>
      </c>
      <c r="F5" s="21">
        <f>(D5*E5)/D5</f>
        <v>2.0299999999999998</v>
      </c>
      <c r="G5" s="101"/>
      <c r="H5" s="153">
        <f>C5/C7</f>
        <v>0.820967375358995</v>
      </c>
      <c r="I5" s="159">
        <f>D5/D7</f>
        <v>0.76227363695875805</v>
      </c>
      <c r="J5" s="142">
        <f>D5/C5</f>
        <v>25.642371772285699</v>
      </c>
      <c r="K5" s="18">
        <f>I10*I5</f>
        <v>1223713.0361418617</v>
      </c>
      <c r="L5" s="151">
        <f>K5/C5</f>
        <v>30.79763014400417</v>
      </c>
      <c r="M5" s="162">
        <f>(L5-J5)/J5</f>
        <v>0.20104452183671556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 x14ac:dyDescent="0.35">
      <c r="A6" s="178"/>
      <c r="B6" s="107" t="s">
        <v>40</v>
      </c>
      <c r="C6" s="137">
        <v>7072</v>
      </c>
      <c r="D6" s="138">
        <v>297042</v>
      </c>
      <c r="E6" s="77">
        <v>2.41</v>
      </c>
      <c r="F6" s="30">
        <f>(D6*E6)/D6</f>
        <v>2.41</v>
      </c>
      <c r="G6" s="101"/>
      <c r="H6" s="154">
        <f>C6/C7</f>
        <v>0.14611872146118721</v>
      </c>
      <c r="I6" s="160">
        <f>D6/D7</f>
        <v>0.22223286262040587</v>
      </c>
      <c r="J6" s="165">
        <f>D6/C6</f>
        <v>42.002545248868778</v>
      </c>
      <c r="K6" s="33">
        <f>I10*I6</f>
        <v>356760.66685542167</v>
      </c>
      <c r="L6" s="166">
        <f>K6/C6</f>
        <v>50.446926874352613</v>
      </c>
      <c r="M6" s="163">
        <f>(L6-J6)/J6</f>
        <v>0.20104452183671562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 x14ac:dyDescent="0.35">
      <c r="A7" s="179" t="s">
        <v>54</v>
      </c>
      <c r="B7" s="181"/>
      <c r="C7" s="108">
        <f>_xlfn.AGGREGATE(9,6,C4:C6)</f>
        <v>48399</v>
      </c>
      <c r="D7" s="109">
        <f>_xlfn.AGGREGATE(9,6,D4:D6)</f>
        <v>1336625</v>
      </c>
      <c r="E7" s="164">
        <f>AVERAGE(E4:E6)</f>
        <v>2.16</v>
      </c>
      <c r="F7" s="155">
        <f>SUMPRODUCT(F4:F6,D4:D6/D7)</f>
        <v>2.1146034227999624</v>
      </c>
      <c r="G7" s="101"/>
      <c r="H7" s="111">
        <f>SUM(H4:H6)</f>
        <v>1</v>
      </c>
      <c r="I7" s="112">
        <f>SUM(I4:I6)</f>
        <v>1</v>
      </c>
      <c r="J7" s="112">
        <f>I11/I12</f>
        <v>26.681658556338718</v>
      </c>
      <c r="K7" s="112">
        <f>SUM(K4:K6)</f>
        <v>1605346.1339999998</v>
      </c>
      <c r="L7" s="113">
        <f>I10/I12</f>
        <v>27.681658556338718</v>
      </c>
      <c r="M7" s="114">
        <f>(L7-J7)/J7</f>
        <v>3.7478929500896097E-2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 x14ac:dyDescent="0.35">
      <c r="A8" s="2"/>
      <c r="B8" s="2"/>
      <c r="C8" s="2"/>
      <c r="D8" s="2"/>
      <c r="E8" s="2"/>
      <c r="F8" s="2"/>
      <c r="G8" s="101"/>
      <c r="H8" s="2"/>
      <c r="I8" s="2"/>
      <c r="J8" s="101"/>
      <c r="K8" s="101"/>
      <c r="L8" s="101"/>
      <c r="M8" s="101"/>
      <c r="N8" s="101"/>
      <c r="O8" s="10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 x14ac:dyDescent="0.35">
      <c r="A9" s="115"/>
      <c r="B9" s="116"/>
      <c r="C9" s="117" t="s">
        <v>43</v>
      </c>
      <c r="D9" s="118" t="s">
        <v>44</v>
      </c>
      <c r="E9" s="118" t="s">
        <v>45</v>
      </c>
      <c r="F9" s="119" t="s">
        <v>46</v>
      </c>
      <c r="G9" s="101"/>
      <c r="H9" s="182" t="s">
        <v>21</v>
      </c>
      <c r="I9" s="183"/>
      <c r="J9" s="2"/>
      <c r="K9" s="102" t="s">
        <v>55</v>
      </c>
      <c r="L9" s="103" t="s">
        <v>56</v>
      </c>
      <c r="M9" s="103" t="s">
        <v>57</v>
      </c>
      <c r="N9" s="103" t="s">
        <v>58</v>
      </c>
      <c r="O9" s="104" t="s">
        <v>59</v>
      </c>
      <c r="P9" s="101"/>
      <c r="Q9" s="101"/>
      <c r="R9" s="101"/>
      <c r="S9" s="101"/>
      <c r="T9" s="2"/>
      <c r="U9" s="2"/>
      <c r="V9" s="2"/>
      <c r="W9" s="2"/>
      <c r="X9" s="2"/>
      <c r="Y9" s="2"/>
      <c r="Z9" s="2"/>
    </row>
    <row r="10" spans="1:26" ht="24.75" customHeight="1" x14ac:dyDescent="0.35">
      <c r="A10" s="184" t="s">
        <v>53</v>
      </c>
      <c r="B10" s="120" t="s">
        <v>39</v>
      </c>
      <c r="C10" s="62">
        <f>SUM(C4:C5)</f>
        <v>41327</v>
      </c>
      <c r="D10" s="62">
        <f>SUM(D4:D5)</f>
        <v>1039583</v>
      </c>
      <c r="E10" s="63">
        <f>AVERAGE(E4:E5)</f>
        <v>2.0350000000000001</v>
      </c>
      <c r="F10" s="121">
        <f>SUMPRODUCT(D4:D5,F4:F5/D10)</f>
        <v>2.0301992048734925</v>
      </c>
      <c r="G10" s="101"/>
      <c r="H10" s="105" t="s">
        <v>60</v>
      </c>
      <c r="I10" s="139">
        <v>1605346.1340000001</v>
      </c>
      <c r="J10" s="2"/>
      <c r="K10" s="13" t="s">
        <v>61</v>
      </c>
      <c r="L10" s="14" t="s">
        <v>62</v>
      </c>
      <c r="M10" s="140">
        <v>35</v>
      </c>
      <c r="N10" s="140">
        <v>13</v>
      </c>
      <c r="O10" s="16" t="s">
        <v>38</v>
      </c>
      <c r="P10" s="101"/>
      <c r="Q10" s="101"/>
      <c r="R10" s="101"/>
      <c r="S10" s="101"/>
      <c r="T10" s="2"/>
      <c r="U10" s="2"/>
      <c r="V10" s="2"/>
      <c r="W10" s="2"/>
      <c r="X10" s="2"/>
      <c r="Y10" s="2"/>
      <c r="Z10" s="2"/>
    </row>
    <row r="11" spans="1:26" ht="25.5" customHeight="1" x14ac:dyDescent="0.35">
      <c r="A11" s="185"/>
      <c r="B11" s="122" t="s">
        <v>40</v>
      </c>
      <c r="C11" s="68">
        <f>C6</f>
        <v>7072</v>
      </c>
      <c r="D11" s="29">
        <f>D6</f>
        <v>297042</v>
      </c>
      <c r="E11" s="29">
        <f>E6</f>
        <v>2.41</v>
      </c>
      <c r="F11" s="30">
        <f>(D11*E11)/D11</f>
        <v>2.41</v>
      </c>
      <c r="G11" s="101"/>
      <c r="H11" s="106" t="s">
        <v>63</v>
      </c>
      <c r="I11" s="141">
        <v>1547353</v>
      </c>
      <c r="J11" s="2"/>
      <c r="K11" s="17" t="s">
        <v>64</v>
      </c>
      <c r="L11" s="18" t="s">
        <v>65</v>
      </c>
      <c r="M11" s="142">
        <v>27</v>
      </c>
      <c r="N11" s="142">
        <v>13</v>
      </c>
      <c r="O11" s="21" t="s">
        <v>38</v>
      </c>
      <c r="P11" s="101"/>
      <c r="Q11" s="101"/>
      <c r="R11" s="101"/>
      <c r="S11" s="101"/>
      <c r="T11" s="2"/>
      <c r="U11" s="2"/>
      <c r="V11" s="2"/>
      <c r="W11" s="2"/>
      <c r="X11" s="2"/>
      <c r="Y11" s="2"/>
      <c r="Z11" s="2"/>
    </row>
    <row r="12" spans="1:26" ht="25.5" customHeight="1" x14ac:dyDescent="0.35">
      <c r="A12" s="186" t="s">
        <v>54</v>
      </c>
      <c r="B12" s="187"/>
      <c r="C12" s="108">
        <f>_xlfn.AGGREGATE(9,6,C10:C11)</f>
        <v>48399</v>
      </c>
      <c r="D12" s="109">
        <f>_xlfn.AGGREGATE(9,6,D10:D11)</f>
        <v>1336625</v>
      </c>
      <c r="E12" s="109">
        <f>AVERAGE(E10:E11)</f>
        <v>2.2225000000000001</v>
      </c>
      <c r="F12" s="110">
        <f>SUMPRODUCT(F10:F11,D10:D11/D12)</f>
        <v>2.1146034227999628</v>
      </c>
      <c r="G12" s="101"/>
      <c r="H12" s="123" t="s">
        <v>66</v>
      </c>
      <c r="I12" s="143">
        <f>I10-I11</f>
        <v>57993.134000000078</v>
      </c>
      <c r="J12" s="2"/>
      <c r="K12" s="17" t="s">
        <v>67</v>
      </c>
      <c r="L12" s="18" t="s">
        <v>68</v>
      </c>
      <c r="M12" s="142">
        <v>60</v>
      </c>
      <c r="N12" s="142">
        <v>25</v>
      </c>
      <c r="O12" s="21" t="s">
        <v>39</v>
      </c>
      <c r="P12" s="101"/>
      <c r="Q12" s="101"/>
      <c r="R12" s="101"/>
      <c r="S12" s="101"/>
      <c r="T12" s="2"/>
      <c r="U12" s="2"/>
      <c r="V12" s="2"/>
      <c r="W12" s="2"/>
      <c r="X12" s="2"/>
      <c r="Y12" s="2"/>
      <c r="Z12" s="2"/>
    </row>
    <row r="13" spans="1:26" ht="25.5" customHeight="1" x14ac:dyDescent="0.35">
      <c r="A13" s="2"/>
      <c r="B13" s="2"/>
      <c r="C13" s="2"/>
      <c r="D13" s="2"/>
      <c r="E13" s="2"/>
      <c r="F13" s="2"/>
      <c r="G13" s="101"/>
      <c r="H13" s="123" t="s">
        <v>69</v>
      </c>
      <c r="I13" s="124">
        <f>I10-I11</f>
        <v>57993.134000000078</v>
      </c>
      <c r="J13" s="2"/>
      <c r="K13" s="17" t="s">
        <v>67</v>
      </c>
      <c r="L13" s="18" t="s">
        <v>70</v>
      </c>
      <c r="M13" s="142">
        <v>70</v>
      </c>
      <c r="N13" s="142">
        <v>28</v>
      </c>
      <c r="O13" s="21" t="s">
        <v>39</v>
      </c>
      <c r="P13" s="101"/>
      <c r="Q13" s="101"/>
      <c r="R13" s="101"/>
      <c r="S13" s="101"/>
      <c r="T13" s="2"/>
      <c r="U13" s="2"/>
      <c r="V13" s="2"/>
      <c r="W13" s="2"/>
      <c r="X13" s="2"/>
      <c r="Y13" s="2"/>
      <c r="Z13" s="2"/>
    </row>
    <row r="14" spans="1:26" ht="25.5" customHeight="1" x14ac:dyDescent="0.35">
      <c r="A14" s="2"/>
      <c r="B14" s="2"/>
      <c r="C14" s="2"/>
      <c r="D14" s="2"/>
      <c r="E14" s="2"/>
      <c r="F14" s="2"/>
      <c r="G14" s="101"/>
      <c r="H14" s="125" t="s">
        <v>71</v>
      </c>
      <c r="I14" s="168">
        <f>(I10-I11)/I11</f>
        <v>3.7478929500896097E-2</v>
      </c>
      <c r="J14" s="101"/>
      <c r="K14" s="68" t="s">
        <v>72</v>
      </c>
      <c r="L14" s="29" t="s">
        <v>73</v>
      </c>
      <c r="M14" s="57">
        <v>100</v>
      </c>
      <c r="N14" s="57">
        <v>42</v>
      </c>
      <c r="O14" s="30" t="s">
        <v>40</v>
      </c>
      <c r="P14" s="101"/>
      <c r="Q14" s="101"/>
      <c r="R14" s="101"/>
      <c r="S14" s="101"/>
      <c r="T14" s="2"/>
      <c r="U14" s="2"/>
      <c r="V14" s="2"/>
      <c r="W14" s="2"/>
      <c r="X14" s="2"/>
      <c r="Y14" s="2"/>
      <c r="Z14" s="2"/>
    </row>
    <row r="15" spans="1:26" ht="25.5" customHeight="1" x14ac:dyDescent="0.35">
      <c r="A15" s="115"/>
      <c r="B15" s="116"/>
      <c r="C15" s="102" t="s">
        <v>43</v>
      </c>
      <c r="D15" s="103" t="s">
        <v>44</v>
      </c>
      <c r="E15" s="103" t="s">
        <v>45</v>
      </c>
      <c r="F15" s="104" t="s">
        <v>46</v>
      </c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2"/>
      <c r="U15" s="2"/>
      <c r="V15" s="2"/>
      <c r="W15" s="2"/>
      <c r="X15" s="2"/>
      <c r="Y15" s="2"/>
      <c r="Z15" s="2"/>
    </row>
    <row r="16" spans="1:26" ht="27.75" customHeight="1" x14ac:dyDescent="0.35">
      <c r="A16" s="184" t="s">
        <v>74</v>
      </c>
      <c r="B16" s="126" t="s">
        <v>38</v>
      </c>
      <c r="C16" s="133">
        <v>29139</v>
      </c>
      <c r="D16" s="134">
        <v>1051545</v>
      </c>
      <c r="E16" s="74">
        <v>2.14</v>
      </c>
      <c r="F16" s="64">
        <f>(D16*E16)/D16</f>
        <v>2.14</v>
      </c>
      <c r="G16" s="127"/>
      <c r="H16" s="101"/>
      <c r="I16" s="169"/>
      <c r="J16" s="127"/>
      <c r="K16" s="127"/>
      <c r="L16" s="127"/>
      <c r="M16" s="127"/>
      <c r="N16" s="127"/>
      <c r="O16" s="127"/>
      <c r="P16" s="101"/>
      <c r="Q16" s="101"/>
      <c r="R16" s="101"/>
      <c r="S16" s="101"/>
      <c r="T16" s="2"/>
      <c r="U16" s="2"/>
      <c r="V16" s="2"/>
      <c r="W16" s="2"/>
      <c r="X16" s="2"/>
      <c r="Y16" s="2"/>
      <c r="Z16" s="2"/>
    </row>
    <row r="17" spans="1:26" ht="25.5" customHeight="1" x14ac:dyDescent="0.35">
      <c r="A17" s="188"/>
      <c r="B17" s="128" t="s">
        <v>39</v>
      </c>
      <c r="C17" s="137">
        <v>205</v>
      </c>
      <c r="D17" s="138">
        <v>11215</v>
      </c>
      <c r="E17" s="77">
        <v>2.2200000000000002</v>
      </c>
      <c r="F17" s="30">
        <f>(D17*E17)/D17</f>
        <v>2.2200000000000002</v>
      </c>
      <c r="G17" s="2"/>
      <c r="H17" s="129" t="s">
        <v>75</v>
      </c>
      <c r="I17" s="2"/>
      <c r="J17" s="2"/>
      <c r="K17" s="2"/>
      <c r="L17" s="2"/>
      <c r="M17" s="2"/>
      <c r="N17" s="2"/>
      <c r="O17" s="2"/>
      <c r="P17" s="2"/>
      <c r="Q17" s="2"/>
      <c r="R17" s="101"/>
      <c r="S17" s="101"/>
      <c r="T17" s="2"/>
      <c r="U17" s="2"/>
      <c r="V17" s="2"/>
      <c r="W17" s="2"/>
      <c r="X17" s="2"/>
      <c r="Y17" s="2"/>
      <c r="Z17" s="2"/>
    </row>
    <row r="18" spans="1:26" ht="25.5" customHeight="1" x14ac:dyDescent="0.35">
      <c r="A18" s="179" t="s">
        <v>54</v>
      </c>
      <c r="B18" s="180"/>
      <c r="C18" s="130">
        <f>_xlfn.AGGREGATE(9,6,C16:C17)</f>
        <v>29344</v>
      </c>
      <c r="D18" s="131">
        <f>_xlfn.AGGREGATE(9,6,D16:D17)</f>
        <v>1062760</v>
      </c>
      <c r="E18" s="109">
        <f>AVERAGE(E16:E17)</f>
        <v>2.1800000000000002</v>
      </c>
      <c r="F18" s="132">
        <f>SUMPRODUCT(F16:F17,D16:D17/D18)</f>
        <v>2.1408442169445596</v>
      </c>
      <c r="G18" s="144">
        <v>1</v>
      </c>
      <c r="H18" s="2" t="s">
        <v>76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 x14ac:dyDescent="0.35">
      <c r="A19" s="2"/>
      <c r="B19" s="2"/>
      <c r="C19" s="2"/>
      <c r="D19" s="2"/>
      <c r="E19" s="2"/>
      <c r="F19" s="2"/>
      <c r="G19" s="144">
        <v>2</v>
      </c>
      <c r="H19" s="2" t="s">
        <v>77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1">
    <mergeCell ref="A18:B18"/>
    <mergeCell ref="A7:B7"/>
    <mergeCell ref="H9:I9"/>
    <mergeCell ref="A10:A11"/>
    <mergeCell ref="A12:B12"/>
    <mergeCell ref="A16:A17"/>
    <mergeCell ref="A1:F1"/>
    <mergeCell ref="H1:M1"/>
    <mergeCell ref="A2:F2"/>
    <mergeCell ref="H2:M2"/>
    <mergeCell ref="A4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zoomScale="90" workbookViewId="0">
      <selection activeCell="H10" sqref="H10:I14"/>
    </sheetView>
  </sheetViews>
  <sheetFormatPr defaultColWidth="16.6640625" defaultRowHeight="33" customHeight="1" x14ac:dyDescent="0.35"/>
  <cols>
    <col min="1" max="1" width="7.1640625" customWidth="1"/>
    <col min="2" max="2" width="10.9140625" customWidth="1"/>
    <col min="3" max="3" width="11" customWidth="1"/>
    <col min="4" max="4" width="13" customWidth="1"/>
    <col min="5" max="6" width="11" customWidth="1"/>
    <col min="7" max="7" width="10.9140625" customWidth="1"/>
    <col min="8" max="8" width="13.33203125" customWidth="1"/>
    <col min="9" max="9" width="13.5" customWidth="1"/>
    <col min="10" max="10" width="9.9140625" customWidth="1"/>
    <col min="11" max="11" width="14.9140625" customWidth="1"/>
    <col min="12" max="12" width="12.58203125" customWidth="1"/>
    <col min="13" max="13" width="13.58203125" customWidth="1"/>
    <col min="14" max="14" width="7.33203125" customWidth="1"/>
    <col min="15" max="15" width="17" customWidth="1"/>
    <col min="16" max="16" width="12.1640625" customWidth="1"/>
    <col min="17" max="26" width="10.9140625" customWidth="1"/>
  </cols>
  <sheetData>
    <row r="1" spans="1:26" ht="28.5" customHeight="1" x14ac:dyDescent="0.35">
      <c r="A1" s="170" t="s">
        <v>0</v>
      </c>
      <c r="B1" s="171"/>
      <c r="C1" s="171"/>
      <c r="D1" s="171"/>
      <c r="E1" s="171"/>
      <c r="F1" s="172"/>
      <c r="G1" s="2"/>
      <c r="H1" s="207" t="s">
        <v>0</v>
      </c>
      <c r="I1" s="208"/>
      <c r="J1" s="208"/>
      <c r="K1" s="208"/>
      <c r="L1" s="208"/>
      <c r="M1" s="209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35">
      <c r="A2" s="173" t="s">
        <v>78</v>
      </c>
      <c r="B2" s="174"/>
      <c r="C2" s="174"/>
      <c r="D2" s="174"/>
      <c r="E2" s="174"/>
      <c r="F2" s="175"/>
      <c r="G2" s="2"/>
      <c r="H2" s="173" t="s">
        <v>79</v>
      </c>
      <c r="I2" s="174"/>
      <c r="J2" s="174"/>
      <c r="K2" s="174"/>
      <c r="L2" s="174"/>
      <c r="M2" s="17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customHeight="1" x14ac:dyDescent="0.35">
      <c r="A3" s="96"/>
      <c r="B3" s="97"/>
      <c r="C3" s="98" t="s">
        <v>43</v>
      </c>
      <c r="D3" s="99" t="s">
        <v>44</v>
      </c>
      <c r="E3" s="99" t="s">
        <v>45</v>
      </c>
      <c r="F3" s="100" t="s">
        <v>46</v>
      </c>
      <c r="G3" s="101"/>
      <c r="H3" s="102" t="s">
        <v>47</v>
      </c>
      <c r="I3" s="103" t="s">
        <v>48</v>
      </c>
      <c r="J3" s="103" t="s">
        <v>49</v>
      </c>
      <c r="K3" s="103" t="s">
        <v>50</v>
      </c>
      <c r="L3" s="103" t="s">
        <v>51</v>
      </c>
      <c r="M3" s="104" t="s">
        <v>52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.75" customHeight="1" x14ac:dyDescent="0.35">
      <c r="A4" s="176" t="s">
        <v>53</v>
      </c>
      <c r="B4" s="105" t="s">
        <v>38</v>
      </c>
      <c r="C4" s="148">
        <v>828</v>
      </c>
      <c r="D4" s="134">
        <v>10764</v>
      </c>
      <c r="E4" s="74">
        <v>1.1599999999999999</v>
      </c>
      <c r="F4" s="64">
        <f>(D4*E4)/D4</f>
        <v>1.1599999999999999</v>
      </c>
      <c r="G4" s="101"/>
      <c r="H4" s="157">
        <f>C4/C7</f>
        <v>1.5665796344647518E-2</v>
      </c>
      <c r="I4" s="158">
        <f>D4/D7</f>
        <v>7.040784088508229E-3</v>
      </c>
      <c r="J4" s="14">
        <f>D4/C4</f>
        <v>13</v>
      </c>
      <c r="K4" s="14">
        <f>I10*I4</f>
        <v>11382.527883218745</v>
      </c>
      <c r="L4" s="140">
        <f>K4/C4</f>
        <v>13.74701435171346</v>
      </c>
      <c r="M4" s="161">
        <f>(L4-J4)/J4</f>
        <v>5.746264243949694E-2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 x14ac:dyDescent="0.35">
      <c r="A5" s="177"/>
      <c r="B5" s="106" t="s">
        <v>39</v>
      </c>
      <c r="C5" s="135">
        <v>40960</v>
      </c>
      <c r="D5" s="136">
        <v>1053271</v>
      </c>
      <c r="E5" s="76">
        <v>1.81</v>
      </c>
      <c r="F5" s="21">
        <f>(D5*E5)/D5</f>
        <v>1.81</v>
      </c>
      <c r="G5" s="101"/>
      <c r="H5" s="153">
        <f>C5/C7</f>
        <v>0.77496499791879514</v>
      </c>
      <c r="I5" s="159">
        <f>D5/D7</f>
        <v>0.68894961888583717</v>
      </c>
      <c r="J5" s="142">
        <f>D5/C5</f>
        <v>25.714624023437501</v>
      </c>
      <c r="K5" s="18">
        <f>I10*I5</f>
        <v>1113794.7348648915</v>
      </c>
      <c r="L5" s="142">
        <f>K5/C5</f>
        <v>27.19225426916239</v>
      </c>
      <c r="M5" s="162">
        <f>(L5-J5)/J5</f>
        <v>5.7462642439497003E-2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 customHeight="1" x14ac:dyDescent="0.35">
      <c r="A6" s="178"/>
      <c r="B6" s="107" t="s">
        <v>40</v>
      </c>
      <c r="C6" s="137">
        <v>11066</v>
      </c>
      <c r="D6" s="138">
        <v>464772</v>
      </c>
      <c r="E6" s="77">
        <v>1.35</v>
      </c>
      <c r="F6" s="30">
        <f>(D6*E6)/D6</f>
        <v>1.35</v>
      </c>
      <c r="G6" s="101"/>
      <c r="H6" s="154">
        <f>C6/C7</f>
        <v>0.20936920573655732</v>
      </c>
      <c r="I6" s="160">
        <f>D6/D7</f>
        <v>0.30400959702565467</v>
      </c>
      <c r="J6" s="33">
        <f>D6/C6</f>
        <v>42</v>
      </c>
      <c r="K6" s="33">
        <f>I10*I6</f>
        <v>491479.02725188993</v>
      </c>
      <c r="L6" s="165">
        <f>K6/C6</f>
        <v>44.413430982458877</v>
      </c>
      <c r="M6" s="163">
        <f>(L6-J6)/J6</f>
        <v>5.7462642439497072E-2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75" customHeight="1" x14ac:dyDescent="0.35">
      <c r="A7" s="179" t="s">
        <v>54</v>
      </c>
      <c r="B7" s="181"/>
      <c r="C7" s="108">
        <f>_xlfn.AGGREGATE(9,6,C4:C6)</f>
        <v>52854</v>
      </c>
      <c r="D7" s="109">
        <f>_xlfn.AGGREGATE(9,6,D4:D6)</f>
        <v>1528807</v>
      </c>
      <c r="E7" s="109">
        <f>AVERAGE(E4:E6)</f>
        <v>1.4400000000000002</v>
      </c>
      <c r="F7" s="156">
        <f>SUMPRODUCT(F4:F6,D4:D6/D7)</f>
        <v>1.6655790757106688</v>
      </c>
      <c r="G7" s="101"/>
      <c r="H7" s="145">
        <f>SUM(H4:H6)</f>
        <v>1</v>
      </c>
      <c r="I7" s="146">
        <f>SUM(I4:I6)</f>
        <v>1</v>
      </c>
      <c r="J7" s="146">
        <f>I11/I12</f>
        <v>28.925095546221666</v>
      </c>
      <c r="K7" s="146">
        <f>SUM(K4:K6)</f>
        <v>1616656.2900000003</v>
      </c>
      <c r="L7" s="146">
        <f>I10/I12</f>
        <v>30.587207969122488</v>
      </c>
      <c r="M7" s="147">
        <f>(L7-J7)/J7</f>
        <v>5.7462642439496989E-2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 customHeight="1" x14ac:dyDescent="0.35">
      <c r="A8" s="2"/>
      <c r="B8" s="2"/>
      <c r="C8" s="2"/>
      <c r="D8" s="2"/>
      <c r="E8" s="2"/>
      <c r="F8" s="2"/>
      <c r="G8" s="10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customHeight="1" x14ac:dyDescent="0.35">
      <c r="A9" s="115"/>
      <c r="B9" s="116"/>
      <c r="C9" s="117" t="s">
        <v>43</v>
      </c>
      <c r="D9" s="118" t="s">
        <v>44</v>
      </c>
      <c r="E9" s="118" t="s">
        <v>45</v>
      </c>
      <c r="F9" s="119" t="s">
        <v>46</v>
      </c>
      <c r="G9" s="101"/>
      <c r="H9" s="182" t="s">
        <v>21</v>
      </c>
      <c r="I9" s="183"/>
      <c r="J9" s="2"/>
      <c r="K9" s="117" t="s">
        <v>55</v>
      </c>
      <c r="L9" s="118" t="s">
        <v>56</v>
      </c>
      <c r="M9" s="118" t="s">
        <v>57</v>
      </c>
      <c r="N9" s="118" t="s">
        <v>58</v>
      </c>
      <c r="O9" s="119" t="s">
        <v>59</v>
      </c>
      <c r="P9" s="119" t="s">
        <v>80</v>
      </c>
      <c r="Q9" s="101"/>
      <c r="R9" s="101"/>
      <c r="S9" s="101"/>
      <c r="T9" s="2"/>
      <c r="U9" s="2"/>
      <c r="V9" s="2"/>
      <c r="W9" s="2"/>
      <c r="X9" s="2"/>
      <c r="Y9" s="2"/>
      <c r="Z9" s="2"/>
    </row>
    <row r="10" spans="1:26" ht="24.75" customHeight="1" x14ac:dyDescent="0.35">
      <c r="A10" s="184" t="s">
        <v>53</v>
      </c>
      <c r="B10" s="120" t="s">
        <v>39</v>
      </c>
      <c r="C10" s="62">
        <f>SUM(C4:C5)</f>
        <v>41788</v>
      </c>
      <c r="D10" s="62">
        <f>SUM(D4:D5)</f>
        <v>1064035</v>
      </c>
      <c r="E10" s="63">
        <f>AVERAGE(E4:E5)</f>
        <v>1.4849999999999999</v>
      </c>
      <c r="F10" s="121">
        <f>SUMPRODUCT(D4:D5,F4:F5/D10)</f>
        <v>1.8034244644208133</v>
      </c>
      <c r="G10" s="101"/>
      <c r="H10" s="105" t="s">
        <v>60</v>
      </c>
      <c r="I10" s="139">
        <v>1616656.29</v>
      </c>
      <c r="J10" s="2"/>
      <c r="K10" s="62" t="s">
        <v>61</v>
      </c>
      <c r="L10" s="63" t="s">
        <v>62</v>
      </c>
      <c r="M10" s="149">
        <v>35</v>
      </c>
      <c r="N10" s="149">
        <v>13</v>
      </c>
      <c r="O10" s="63" t="s">
        <v>38</v>
      </c>
      <c r="P10" s="150">
        <v>54</v>
      </c>
      <c r="Q10" s="101"/>
      <c r="R10" s="101"/>
      <c r="S10" s="101"/>
      <c r="T10" s="2"/>
      <c r="U10" s="2"/>
      <c r="V10" s="2"/>
      <c r="W10" s="2"/>
      <c r="X10" s="2"/>
      <c r="Y10" s="2"/>
      <c r="Z10" s="2"/>
    </row>
    <row r="11" spans="1:26" ht="25.5" customHeight="1" x14ac:dyDescent="0.35">
      <c r="A11" s="185"/>
      <c r="B11" s="122" t="s">
        <v>40</v>
      </c>
      <c r="C11" s="68">
        <f>C6</f>
        <v>11066</v>
      </c>
      <c r="D11" s="29">
        <f>D6</f>
        <v>464772</v>
      </c>
      <c r="E11" s="29">
        <f>E6</f>
        <v>1.35</v>
      </c>
      <c r="F11" s="30">
        <f>(D11*E11)/D11</f>
        <v>1.35</v>
      </c>
      <c r="G11" s="101"/>
      <c r="H11" s="106" t="s">
        <v>63</v>
      </c>
      <c r="I11" s="141">
        <v>1528807</v>
      </c>
      <c r="J11" s="2"/>
      <c r="K11" s="17" t="s">
        <v>64</v>
      </c>
      <c r="L11" s="18" t="s">
        <v>65</v>
      </c>
      <c r="M11" s="142">
        <v>27</v>
      </c>
      <c r="N11" s="142">
        <v>13</v>
      </c>
      <c r="O11" s="18" t="s">
        <v>38</v>
      </c>
      <c r="P11" s="151">
        <v>13</v>
      </c>
      <c r="Q11" s="101"/>
      <c r="R11" s="101"/>
      <c r="S11" s="101"/>
      <c r="T11" s="2"/>
      <c r="U11" s="2"/>
      <c r="V11" s="2"/>
      <c r="W11" s="2"/>
      <c r="X11" s="2"/>
      <c r="Y11" s="2"/>
      <c r="Z11" s="2"/>
    </row>
    <row r="12" spans="1:26" ht="25.5" customHeight="1" x14ac:dyDescent="0.35">
      <c r="A12" s="186" t="s">
        <v>54</v>
      </c>
      <c r="B12" s="187"/>
      <c r="C12" s="108" t="e">
        <f ca="1">_xludf.AGGREGATE(9,6,C10:C11)</f>
        <v>#NAME?</v>
      </c>
      <c r="D12" s="109" t="e">
        <f ca="1">_xludf.AGGREGATE(9,6,D10:D11)</f>
        <v>#NAME?</v>
      </c>
      <c r="E12" s="109">
        <f>AVERAGE(E10:E11)</f>
        <v>1.4175</v>
      </c>
      <c r="F12" s="110" t="e">
        <f ca="1">SUMPRODUCT(F10:F11,D10:D11/D12)</f>
        <v>#NAME?</v>
      </c>
      <c r="G12" s="101"/>
      <c r="H12" s="123" t="s">
        <v>66</v>
      </c>
      <c r="I12" s="143">
        <v>52854</v>
      </c>
      <c r="J12" s="2"/>
      <c r="K12" s="17" t="s">
        <v>67</v>
      </c>
      <c r="L12" s="18" t="s">
        <v>68</v>
      </c>
      <c r="M12" s="142">
        <v>60</v>
      </c>
      <c r="N12" s="142">
        <v>25</v>
      </c>
      <c r="O12" s="18" t="s">
        <v>39</v>
      </c>
      <c r="P12" s="151">
        <v>56</v>
      </c>
      <c r="Q12" s="101"/>
      <c r="R12" s="101"/>
      <c r="S12" s="101"/>
      <c r="T12" s="2"/>
      <c r="U12" s="2"/>
      <c r="V12" s="2"/>
      <c r="W12" s="2"/>
      <c r="X12" s="2"/>
      <c r="Y12" s="2"/>
      <c r="Z12" s="2"/>
    </row>
    <row r="13" spans="1:26" ht="25.5" customHeight="1" x14ac:dyDescent="0.35">
      <c r="A13" s="2"/>
      <c r="B13" s="2"/>
      <c r="C13" s="2"/>
      <c r="D13" s="2"/>
      <c r="E13" s="2"/>
      <c r="F13" s="2"/>
      <c r="G13" s="101"/>
      <c r="H13" s="123" t="s">
        <v>69</v>
      </c>
      <c r="I13" s="124">
        <f>I10-I11</f>
        <v>87849.290000000037</v>
      </c>
      <c r="J13" s="2"/>
      <c r="K13" s="17" t="s">
        <v>67</v>
      </c>
      <c r="L13" s="18" t="s">
        <v>70</v>
      </c>
      <c r="M13" s="142">
        <v>70</v>
      </c>
      <c r="N13" s="142">
        <v>28</v>
      </c>
      <c r="O13" s="18" t="s">
        <v>39</v>
      </c>
      <c r="P13" s="151">
        <v>11</v>
      </c>
      <c r="Q13" s="101"/>
      <c r="R13" s="101"/>
      <c r="S13" s="101"/>
      <c r="T13" s="2"/>
      <c r="U13" s="2"/>
      <c r="V13" s="2"/>
      <c r="W13" s="2"/>
      <c r="X13" s="2"/>
      <c r="Y13" s="2"/>
      <c r="Z13" s="2"/>
    </row>
    <row r="14" spans="1:26" ht="25.5" customHeight="1" x14ac:dyDescent="0.35">
      <c r="A14" s="2"/>
      <c r="B14" s="2"/>
      <c r="C14" s="2"/>
      <c r="D14" s="2"/>
      <c r="E14" s="2"/>
      <c r="F14" s="2"/>
      <c r="G14" s="101"/>
      <c r="H14" s="125" t="s">
        <v>71</v>
      </c>
      <c r="I14" s="168">
        <f>(I10-I11)/I10</f>
        <v>5.4340115795423673E-2</v>
      </c>
      <c r="J14" s="101"/>
      <c r="K14" s="68" t="s">
        <v>72</v>
      </c>
      <c r="L14" s="29" t="s">
        <v>73</v>
      </c>
      <c r="M14" s="57">
        <v>100</v>
      </c>
      <c r="N14" s="57">
        <v>42</v>
      </c>
      <c r="O14" s="29" t="s">
        <v>40</v>
      </c>
      <c r="P14" s="58">
        <v>10</v>
      </c>
      <c r="Q14" s="101"/>
      <c r="R14" s="101"/>
      <c r="S14" s="101"/>
      <c r="T14" s="2"/>
      <c r="U14" s="2"/>
      <c r="V14" s="2"/>
      <c r="W14" s="2"/>
      <c r="X14" s="2"/>
      <c r="Y14" s="2"/>
      <c r="Z14" s="2"/>
    </row>
    <row r="15" spans="1:26" ht="25.5" customHeight="1" x14ac:dyDescent="0.35">
      <c r="A15" s="115"/>
      <c r="B15" s="116"/>
      <c r="C15" s="102" t="s">
        <v>43</v>
      </c>
      <c r="D15" s="103" t="s">
        <v>44</v>
      </c>
      <c r="E15" s="103" t="s">
        <v>45</v>
      </c>
      <c r="F15" s="104" t="s">
        <v>46</v>
      </c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2"/>
      <c r="U15" s="2"/>
      <c r="V15" s="2"/>
      <c r="W15" s="2"/>
      <c r="X15" s="2"/>
      <c r="Y15" s="2"/>
      <c r="Z15" s="2"/>
    </row>
    <row r="16" spans="1:26" ht="27.75" customHeight="1" x14ac:dyDescent="0.35">
      <c r="A16" s="184" t="s">
        <v>74</v>
      </c>
      <c r="B16" s="126" t="s">
        <v>38</v>
      </c>
      <c r="C16" s="133">
        <v>29636</v>
      </c>
      <c r="D16" s="134">
        <v>1102289</v>
      </c>
      <c r="E16" s="74">
        <v>2.0099999999999998</v>
      </c>
      <c r="F16" s="64">
        <f>(D16*E16)/D16</f>
        <v>2.0099999999999998</v>
      </c>
      <c r="G16" s="101"/>
      <c r="H16" s="101"/>
      <c r="I16" s="101"/>
      <c r="J16" s="127"/>
      <c r="K16" s="127"/>
      <c r="L16" s="127"/>
      <c r="M16" s="127"/>
      <c r="N16" s="127"/>
      <c r="O16" s="127"/>
      <c r="P16" s="101"/>
      <c r="Q16" s="101"/>
      <c r="R16" s="101"/>
      <c r="S16" s="101"/>
      <c r="T16" s="2"/>
      <c r="U16" s="2"/>
      <c r="V16" s="2"/>
      <c r="W16" s="2"/>
      <c r="X16" s="2"/>
      <c r="Y16" s="2"/>
      <c r="Z16" s="2"/>
    </row>
    <row r="17" spans="1:26" ht="25.5" customHeight="1" x14ac:dyDescent="0.35">
      <c r="A17" s="188"/>
      <c r="B17" s="128" t="s">
        <v>39</v>
      </c>
      <c r="C17" s="137">
        <v>4525</v>
      </c>
      <c r="D17" s="138">
        <v>198900</v>
      </c>
      <c r="E17" s="77">
        <v>2.1</v>
      </c>
      <c r="F17" s="30">
        <f>(D17*E17)/D17</f>
        <v>2.1</v>
      </c>
      <c r="G17" s="101"/>
      <c r="H17" s="129" t="s">
        <v>75</v>
      </c>
      <c r="I17" s="2"/>
      <c r="J17" s="2"/>
      <c r="K17" s="2"/>
      <c r="L17" s="2"/>
      <c r="M17" s="2"/>
      <c r="N17" s="2"/>
      <c r="O17" s="2"/>
      <c r="P17" s="101"/>
      <c r="Q17" s="101"/>
      <c r="R17" s="101"/>
      <c r="S17" s="101"/>
      <c r="T17" s="2"/>
      <c r="U17" s="2"/>
      <c r="V17" s="2"/>
      <c r="W17" s="2"/>
      <c r="X17" s="2"/>
      <c r="Y17" s="2"/>
      <c r="Z17" s="2"/>
    </row>
    <row r="18" spans="1:26" ht="28.5" customHeight="1" x14ac:dyDescent="0.35">
      <c r="A18" s="179" t="s">
        <v>54</v>
      </c>
      <c r="B18" s="180"/>
      <c r="C18" s="130" t="e">
        <f ca="1">_xludf.AGGREGATE(9,6,C16:C17)</f>
        <v>#NAME?</v>
      </c>
      <c r="D18" s="131" t="e">
        <f ca="1">_xludf.AGGREGATE(9,6,D16:D17)</f>
        <v>#NAME?</v>
      </c>
      <c r="E18" s="109">
        <f>AVERAGE(E16:E17)</f>
        <v>2.0549999999999997</v>
      </c>
      <c r="F18" s="132" t="e">
        <f ca="1">SUMPRODUCT(F16:F17,D16:D17/D18)</f>
        <v>#NAME?</v>
      </c>
      <c r="G18" s="127"/>
      <c r="H18" s="2" t="s">
        <v>81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">
        <v>82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">
        <v>83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">
        <v>83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1">
    <mergeCell ref="A18:B18"/>
    <mergeCell ref="A7:B7"/>
    <mergeCell ref="H9:I9"/>
    <mergeCell ref="A10:A11"/>
    <mergeCell ref="A12:B12"/>
    <mergeCell ref="A16:A17"/>
    <mergeCell ref="A1:F1"/>
    <mergeCell ref="H1:M1"/>
    <mergeCell ref="A2:F2"/>
    <mergeCell ref="H2:M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 Detail</vt:lpstr>
      <vt:lpstr>Trip Factor</vt:lpstr>
      <vt:lpstr>April 26</vt:lpstr>
      <vt:lpstr>May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 OB Removal FY_2026-27 .xlsx</dc:title>
  <dc:creator>Apache POI</dc:creator>
  <cp:lastModifiedBy>Sushant Rathore</cp:lastModifiedBy>
  <dcterms:created xsi:type="dcterms:W3CDTF">2026-06-16T10:19:23Z</dcterms:created>
  <dcterms:modified xsi:type="dcterms:W3CDTF">2026-07-15T02:14:11Z</dcterms:modified>
</cp:coreProperties>
</file>