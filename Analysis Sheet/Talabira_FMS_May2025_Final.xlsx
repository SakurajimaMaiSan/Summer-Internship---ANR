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0bb3afb583f103/Desktop/ANR/"/>
    </mc:Choice>
  </mc:AlternateContent>
  <xr:revisionPtr revIDLastSave="5" documentId="13_ncr:1_{B52C5593-0BF7-4D06-BF45-D3592E6C23D5}" xr6:coauthVersionLast="47" xr6:coauthVersionMax="47" xr10:uidLastSave="{37F2CC9E-91D8-404D-8B47-A08F1B80D816}"/>
  <bookViews>
    <workbookView xWindow="-110" yWindow="-110" windowWidth="19420" windowHeight="12220" tabRatio="500" xr2:uid="{00000000-000D-0000-FFFF-FFFF00000000}"/>
  </bookViews>
  <sheets>
    <sheet name="Raw Data" sheetId="1" r:id="rId1"/>
    <sheet name="Executive Summary" sheetId="2" r:id="rId2"/>
    <sheet name="Avail &amp; Utilization" sheetId="3" r:id="rId3"/>
    <sheet name="Fuel Analysis" sheetId="4" r:id="rId4"/>
    <sheet name="Idle Time Analysis" sheetId="5" r:id="rId5"/>
    <sheet name="Production KPIs" sheetId="6" r:id="rId6"/>
    <sheet name="Improvement Opportunities" sheetId="7" r:id="rId7"/>
  </sheets>
  <definedNames>
    <definedName name="_xlnm._FilterDatabase" localSheetId="0" hidden="1">'Raw Data'!$A$2:$AE$209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G188" i="4" s="1"/>
  <c r="U8" i="1"/>
  <c r="G190" i="4" s="1"/>
  <c r="U9" i="1"/>
  <c r="U10" i="1"/>
  <c r="G192" i="4" s="1"/>
  <c r="U11" i="1"/>
  <c r="G189" i="4" s="1"/>
  <c r="U12" i="1"/>
  <c r="U13" i="1"/>
  <c r="G185" i="4" s="1"/>
  <c r="U14" i="1"/>
  <c r="U15" i="1"/>
  <c r="U16" i="1"/>
  <c r="U17" i="1"/>
  <c r="G169" i="4" s="1"/>
  <c r="U18" i="1"/>
  <c r="U19" i="1"/>
  <c r="G165" i="4" s="1"/>
  <c r="U20" i="1"/>
  <c r="G160" i="4" s="1"/>
  <c r="U21" i="1"/>
  <c r="G145" i="4" s="1"/>
  <c r="U22" i="1"/>
  <c r="U23" i="1"/>
  <c r="G142" i="4" s="1"/>
  <c r="U24" i="1"/>
  <c r="U25" i="1"/>
  <c r="G121" i="4" s="1"/>
  <c r="U26" i="1"/>
  <c r="G144" i="4" s="1"/>
  <c r="U27" i="1"/>
  <c r="G124" i="4" s="1"/>
  <c r="U28" i="1"/>
  <c r="U29" i="1"/>
  <c r="U30" i="1"/>
  <c r="U31" i="1"/>
  <c r="U32" i="1"/>
  <c r="G109" i="4" s="1"/>
  <c r="U33" i="1"/>
  <c r="G147" i="4" s="1"/>
  <c r="U34" i="1"/>
  <c r="G139" i="4" s="1"/>
  <c r="U35" i="1"/>
  <c r="G123" i="4" s="1"/>
  <c r="U36" i="1"/>
  <c r="G125" i="4" s="1"/>
  <c r="U37" i="1"/>
  <c r="G170" i="4" s="1"/>
  <c r="U38" i="1"/>
  <c r="G193" i="4" s="1"/>
  <c r="U39" i="1"/>
  <c r="G149" i="4" s="1"/>
  <c r="U40" i="1"/>
  <c r="U41" i="1"/>
  <c r="U42" i="1"/>
  <c r="U43" i="1"/>
  <c r="U44" i="1"/>
  <c r="G161" i="4" s="1"/>
  <c r="U45" i="1"/>
  <c r="G118" i="4" s="1"/>
  <c r="U46" i="1"/>
  <c r="G119" i="4" s="1"/>
  <c r="U47" i="1"/>
  <c r="U48" i="1"/>
  <c r="G162" i="4" s="1"/>
  <c r="U49" i="1"/>
  <c r="G105" i="4" s="1"/>
  <c r="U50" i="1"/>
  <c r="G146" i="4" s="1"/>
  <c r="U51" i="1"/>
  <c r="G181" i="4" s="1"/>
  <c r="U52" i="1"/>
  <c r="U53" i="1"/>
  <c r="U54" i="1"/>
  <c r="U55" i="1"/>
  <c r="U56" i="1"/>
  <c r="G175" i="4" s="1"/>
  <c r="U57" i="1"/>
  <c r="G163" i="4" s="1"/>
  <c r="U58" i="1"/>
  <c r="G133" i="4" s="1"/>
  <c r="U59" i="1"/>
  <c r="G154" i="4" s="1"/>
  <c r="U60" i="1"/>
  <c r="G113" i="4" s="1"/>
  <c r="U61" i="1"/>
  <c r="G100" i="4" s="1"/>
  <c r="U62" i="1"/>
  <c r="G111" i="4" s="1"/>
  <c r="U63" i="1"/>
  <c r="G93" i="4" s="1"/>
  <c r="U64" i="1"/>
  <c r="U65" i="1"/>
  <c r="U66" i="1"/>
  <c r="U67" i="1"/>
  <c r="U68" i="1"/>
  <c r="G117" i="4" s="1"/>
  <c r="U69" i="1"/>
  <c r="G101" i="4" s="1"/>
  <c r="U70" i="1"/>
  <c r="U71" i="1"/>
  <c r="F132" i="6" s="1"/>
  <c r="U72" i="1"/>
  <c r="F112" i="6" s="1"/>
  <c r="U73" i="1"/>
  <c r="G159" i="4" s="1"/>
  <c r="U74" i="1"/>
  <c r="F109" i="6" s="1"/>
  <c r="U75" i="1"/>
  <c r="F105" i="6" s="1"/>
  <c r="U76" i="1"/>
  <c r="U77" i="1"/>
  <c r="U78" i="1"/>
  <c r="U79" i="1"/>
  <c r="G85" i="4" s="1"/>
  <c r="U80" i="1"/>
  <c r="F101" i="6" s="1"/>
  <c r="U81" i="1"/>
  <c r="G134" i="4" s="1"/>
  <c r="U82" i="1"/>
  <c r="U83" i="1"/>
  <c r="F135" i="6" s="1"/>
  <c r="U84" i="1"/>
  <c r="G106" i="4" s="1"/>
  <c r="U85" i="1"/>
  <c r="F107" i="6" s="1"/>
  <c r="U86" i="1"/>
  <c r="G179" i="4" s="1"/>
  <c r="U87" i="1"/>
  <c r="F122" i="6" s="1"/>
  <c r="I122" i="6" s="1"/>
  <c r="U88" i="1"/>
  <c r="U89" i="1"/>
  <c r="U90" i="1"/>
  <c r="U91" i="1"/>
  <c r="U92" i="1"/>
  <c r="G156" i="4" s="1"/>
  <c r="U93" i="1"/>
  <c r="F129" i="6" s="1"/>
  <c r="U94" i="1"/>
  <c r="F131" i="6" s="1"/>
  <c r="U95" i="1"/>
  <c r="F118" i="6" s="1"/>
  <c r="U96" i="1"/>
  <c r="G128" i="4" s="1"/>
  <c r="U97" i="1"/>
  <c r="G97" i="4" s="1"/>
  <c r="U98" i="1"/>
  <c r="F119" i="6" s="1"/>
  <c r="U99" i="1"/>
  <c r="G95" i="4" s="1"/>
  <c r="U100" i="1"/>
  <c r="U101" i="1"/>
  <c r="F111" i="6" s="1"/>
  <c r="U102" i="1"/>
  <c r="U103" i="1"/>
  <c r="U104" i="1"/>
  <c r="G83" i="4" s="1"/>
  <c r="U105" i="1"/>
  <c r="F96" i="6" s="1"/>
  <c r="U106" i="1"/>
  <c r="G96" i="4" s="1"/>
  <c r="U107" i="1"/>
  <c r="F127" i="6" s="1"/>
  <c r="U108" i="1"/>
  <c r="G81" i="4" s="1"/>
  <c r="U109" i="1"/>
  <c r="G107" i="4" s="1"/>
  <c r="U110" i="1"/>
  <c r="G157" i="4" s="1"/>
  <c r="U111" i="1"/>
  <c r="G84" i="4" s="1"/>
  <c r="U112" i="1"/>
  <c r="U113" i="1"/>
  <c r="F90" i="6" s="1"/>
  <c r="U114" i="1"/>
  <c r="U115" i="1"/>
  <c r="U116" i="1"/>
  <c r="G122" i="4" s="1"/>
  <c r="U117" i="1"/>
  <c r="F104" i="6" s="1"/>
  <c r="U118" i="1"/>
  <c r="U119" i="1"/>
  <c r="F103" i="6" s="1"/>
  <c r="U120" i="1"/>
  <c r="F89" i="6" s="1"/>
  <c r="U121" i="1"/>
  <c r="G80" i="4" s="1"/>
  <c r="U122" i="1"/>
  <c r="G94" i="4" s="1"/>
  <c r="U123" i="1"/>
  <c r="G103" i="4" s="1"/>
  <c r="U124" i="1"/>
  <c r="U125" i="1"/>
  <c r="U126" i="1"/>
  <c r="U127" i="1"/>
  <c r="U128" i="1"/>
  <c r="F74" i="6" s="1"/>
  <c r="U129" i="1"/>
  <c r="F79" i="6" s="1"/>
  <c r="U130" i="1"/>
  <c r="G115" i="4" s="1"/>
  <c r="U131" i="1"/>
  <c r="F85" i="6" s="1"/>
  <c r="U132" i="1"/>
  <c r="G63" i="4" s="1"/>
  <c r="U133" i="1"/>
  <c r="F78" i="6" s="1"/>
  <c r="U134" i="1"/>
  <c r="G72" i="4" s="1"/>
  <c r="U135" i="1"/>
  <c r="G67" i="4" s="1"/>
  <c r="U136" i="1"/>
  <c r="U137" i="1"/>
  <c r="F140" i="6" s="1"/>
  <c r="U138" i="1"/>
  <c r="U139" i="1"/>
  <c r="G29" i="4" s="1"/>
  <c r="U140" i="1"/>
  <c r="G35" i="4" s="1"/>
  <c r="U141" i="1"/>
  <c r="G42" i="4" s="1"/>
  <c r="U142" i="1"/>
  <c r="G31" i="4" s="1"/>
  <c r="U143" i="1"/>
  <c r="F71" i="6" s="1"/>
  <c r="U144" i="1"/>
  <c r="G46" i="4" s="1"/>
  <c r="U145" i="1"/>
  <c r="U146" i="1"/>
  <c r="G33" i="4" s="1"/>
  <c r="U147" i="1"/>
  <c r="F69" i="6" s="1"/>
  <c r="U148" i="1"/>
  <c r="U149" i="1"/>
  <c r="U150" i="1"/>
  <c r="U151" i="1"/>
  <c r="U152" i="1"/>
  <c r="G55" i="4" s="1"/>
  <c r="U153" i="1"/>
  <c r="G195" i="4" s="1"/>
  <c r="U154" i="1"/>
  <c r="G52" i="4" s="1"/>
  <c r="U155" i="1"/>
  <c r="G136" i="4" s="1"/>
  <c r="U156" i="1"/>
  <c r="G51" i="4" s="1"/>
  <c r="U157" i="1"/>
  <c r="G45" i="4" s="1"/>
  <c r="U158" i="1"/>
  <c r="G196" i="4" s="1"/>
  <c r="U159" i="1"/>
  <c r="G56" i="4" s="1"/>
  <c r="U160" i="1"/>
  <c r="U161" i="1"/>
  <c r="G57" i="4" s="1"/>
  <c r="U162" i="1"/>
  <c r="U163" i="1"/>
  <c r="U164" i="1"/>
  <c r="G197" i="4" s="1"/>
  <c r="U165" i="1"/>
  <c r="U166" i="1"/>
  <c r="U167" i="1"/>
  <c r="G15" i="4" s="1"/>
  <c r="U168" i="1"/>
  <c r="G44" i="4" s="1"/>
  <c r="U169" i="1"/>
  <c r="G76" i="4" s="1"/>
  <c r="U170" i="1"/>
  <c r="G60" i="4" s="1"/>
  <c r="U171" i="1"/>
  <c r="G140" i="4" s="1"/>
  <c r="U172" i="1"/>
  <c r="U173" i="1"/>
  <c r="G41" i="4" s="1"/>
  <c r="U174" i="1"/>
  <c r="U175" i="1"/>
  <c r="G38" i="4" s="1"/>
  <c r="U176" i="1"/>
  <c r="G37" i="4" s="1"/>
  <c r="U177" i="1"/>
  <c r="G68" i="4" s="1"/>
  <c r="U178" i="1"/>
  <c r="G36" i="4" s="1"/>
  <c r="U179" i="1"/>
  <c r="G30" i="4" s="1"/>
  <c r="U180" i="1"/>
  <c r="G40" i="4" s="1"/>
  <c r="U181" i="1"/>
  <c r="G50" i="4" s="1"/>
  <c r="U182" i="1"/>
  <c r="G22" i="4" s="1"/>
  <c r="U183" i="1"/>
  <c r="G24" i="4" s="1"/>
  <c r="U184" i="1"/>
  <c r="U185" i="1"/>
  <c r="G59" i="4" s="1"/>
  <c r="U186" i="1"/>
  <c r="U187" i="1"/>
  <c r="G27" i="4" s="1"/>
  <c r="U188" i="1"/>
  <c r="G126" i="4" s="1"/>
  <c r="U189" i="1"/>
  <c r="U190" i="1"/>
  <c r="G48" i="4" s="1"/>
  <c r="U191" i="1"/>
  <c r="G25" i="4" s="1"/>
  <c r="U192" i="1"/>
  <c r="G21" i="4" s="1"/>
  <c r="U193" i="1"/>
  <c r="G20" i="4" s="1"/>
  <c r="U194" i="1"/>
  <c r="G16" i="4" s="1"/>
  <c r="U195" i="1"/>
  <c r="U196" i="1"/>
  <c r="U197" i="1"/>
  <c r="U198" i="1"/>
  <c r="U199" i="1"/>
  <c r="G17" i="4" s="1"/>
  <c r="U200" i="1"/>
  <c r="U201" i="1"/>
  <c r="G18" i="4" s="1"/>
  <c r="U202" i="1"/>
  <c r="U203" i="1"/>
  <c r="G182" i="4" s="1"/>
  <c r="U204" i="1"/>
  <c r="G180" i="4" s="1"/>
  <c r="U205" i="1"/>
  <c r="G177" i="4" s="1"/>
  <c r="U206" i="1"/>
  <c r="G199" i="4" s="1"/>
  <c r="U207" i="1"/>
  <c r="G174" i="4" s="1"/>
  <c r="U208" i="1"/>
  <c r="U209" i="1"/>
  <c r="G130" i="4"/>
  <c r="G91" i="4"/>
  <c r="F102" i="6"/>
  <c r="F124" i="6"/>
  <c r="G74" i="4"/>
  <c r="F114" i="6"/>
  <c r="F100" i="6"/>
  <c r="F83" i="6"/>
  <c r="G19" i="4"/>
  <c r="U3" i="1"/>
  <c r="G191" i="4" s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3" i="1"/>
  <c r="H140" i="6"/>
  <c r="G140" i="6"/>
  <c r="E140" i="6"/>
  <c r="D140" i="6"/>
  <c r="C140" i="6"/>
  <c r="B140" i="6"/>
  <c r="H139" i="6"/>
  <c r="G139" i="6"/>
  <c r="E139" i="6"/>
  <c r="D139" i="6"/>
  <c r="C139" i="6"/>
  <c r="B139" i="6"/>
  <c r="H138" i="6"/>
  <c r="G138" i="6"/>
  <c r="F138" i="6"/>
  <c r="E138" i="6"/>
  <c r="D138" i="6"/>
  <c r="C138" i="6"/>
  <c r="B138" i="6"/>
  <c r="H137" i="6"/>
  <c r="G137" i="6"/>
  <c r="E137" i="6"/>
  <c r="D137" i="6"/>
  <c r="C137" i="6"/>
  <c r="B137" i="6"/>
  <c r="H136" i="6"/>
  <c r="G136" i="6"/>
  <c r="F136" i="6"/>
  <c r="E136" i="6"/>
  <c r="D136" i="6"/>
  <c r="C136" i="6"/>
  <c r="B136" i="6"/>
  <c r="H135" i="6"/>
  <c r="G135" i="6"/>
  <c r="E135" i="6"/>
  <c r="D135" i="6"/>
  <c r="C135" i="6"/>
  <c r="B135" i="6"/>
  <c r="H134" i="6"/>
  <c r="G134" i="6"/>
  <c r="E134" i="6"/>
  <c r="D134" i="6"/>
  <c r="C134" i="6"/>
  <c r="B134" i="6"/>
  <c r="H133" i="6"/>
  <c r="G133" i="6"/>
  <c r="E133" i="6"/>
  <c r="D133" i="6"/>
  <c r="C133" i="6"/>
  <c r="B133" i="6"/>
  <c r="H132" i="6"/>
  <c r="G132" i="6"/>
  <c r="E132" i="6"/>
  <c r="D132" i="6"/>
  <c r="C132" i="6"/>
  <c r="B132" i="6"/>
  <c r="H131" i="6"/>
  <c r="G131" i="6"/>
  <c r="E131" i="6"/>
  <c r="D131" i="6"/>
  <c r="C131" i="6"/>
  <c r="B131" i="6"/>
  <c r="H130" i="6"/>
  <c r="G130" i="6"/>
  <c r="F130" i="6"/>
  <c r="E130" i="6"/>
  <c r="D130" i="6"/>
  <c r="C130" i="6"/>
  <c r="B130" i="6"/>
  <c r="H129" i="6"/>
  <c r="G129" i="6"/>
  <c r="E129" i="6"/>
  <c r="D129" i="6"/>
  <c r="C129" i="6"/>
  <c r="B129" i="6"/>
  <c r="H128" i="6"/>
  <c r="G128" i="6"/>
  <c r="E128" i="6"/>
  <c r="D128" i="6"/>
  <c r="C128" i="6"/>
  <c r="B128" i="6"/>
  <c r="H127" i="6"/>
  <c r="G127" i="6"/>
  <c r="E127" i="6"/>
  <c r="D127" i="6"/>
  <c r="C127" i="6"/>
  <c r="B127" i="6"/>
  <c r="H126" i="6"/>
  <c r="G126" i="6"/>
  <c r="E126" i="6"/>
  <c r="D126" i="6"/>
  <c r="C126" i="6"/>
  <c r="B126" i="6"/>
  <c r="H125" i="6"/>
  <c r="G125" i="6"/>
  <c r="E125" i="6"/>
  <c r="D125" i="6"/>
  <c r="C125" i="6"/>
  <c r="B125" i="6"/>
  <c r="H124" i="6"/>
  <c r="G124" i="6"/>
  <c r="E124" i="6"/>
  <c r="D124" i="6"/>
  <c r="C124" i="6"/>
  <c r="B124" i="6"/>
  <c r="H123" i="6"/>
  <c r="G123" i="6"/>
  <c r="F123" i="6"/>
  <c r="E123" i="6"/>
  <c r="D123" i="6"/>
  <c r="C123" i="6"/>
  <c r="B123" i="6"/>
  <c r="H122" i="6"/>
  <c r="G122" i="6"/>
  <c r="E122" i="6"/>
  <c r="D122" i="6"/>
  <c r="C122" i="6"/>
  <c r="B122" i="6"/>
  <c r="H121" i="6"/>
  <c r="G121" i="6"/>
  <c r="F121" i="6"/>
  <c r="E121" i="6"/>
  <c r="D121" i="6"/>
  <c r="C121" i="6"/>
  <c r="B121" i="6"/>
  <c r="H120" i="6"/>
  <c r="G120" i="6"/>
  <c r="E120" i="6"/>
  <c r="D120" i="6"/>
  <c r="C120" i="6"/>
  <c r="B120" i="6"/>
  <c r="H119" i="6"/>
  <c r="G119" i="6"/>
  <c r="E119" i="6"/>
  <c r="D119" i="6"/>
  <c r="C119" i="6"/>
  <c r="B119" i="6"/>
  <c r="H118" i="6"/>
  <c r="G118" i="6"/>
  <c r="E118" i="6"/>
  <c r="D118" i="6"/>
  <c r="C118" i="6"/>
  <c r="B118" i="6"/>
  <c r="H117" i="6"/>
  <c r="G117" i="6"/>
  <c r="F117" i="6"/>
  <c r="E117" i="6"/>
  <c r="D117" i="6"/>
  <c r="C117" i="6"/>
  <c r="B117" i="6"/>
  <c r="H116" i="6"/>
  <c r="G116" i="6"/>
  <c r="E116" i="6"/>
  <c r="D116" i="6"/>
  <c r="C116" i="6"/>
  <c r="B116" i="6"/>
  <c r="H115" i="6"/>
  <c r="G115" i="6"/>
  <c r="E115" i="6"/>
  <c r="D115" i="6"/>
  <c r="C115" i="6"/>
  <c r="B115" i="6"/>
  <c r="H114" i="6"/>
  <c r="G114" i="6"/>
  <c r="E114" i="6"/>
  <c r="D114" i="6"/>
  <c r="C114" i="6"/>
  <c r="B114" i="6"/>
  <c r="H113" i="6"/>
  <c r="G113" i="6"/>
  <c r="E113" i="6"/>
  <c r="D113" i="6"/>
  <c r="C113" i="6"/>
  <c r="B113" i="6"/>
  <c r="H112" i="6"/>
  <c r="G112" i="6"/>
  <c r="E112" i="6"/>
  <c r="D112" i="6"/>
  <c r="C112" i="6"/>
  <c r="B112" i="6"/>
  <c r="H111" i="6"/>
  <c r="G111" i="6"/>
  <c r="E111" i="6"/>
  <c r="D111" i="6"/>
  <c r="C111" i="6"/>
  <c r="B111" i="6"/>
  <c r="H110" i="6"/>
  <c r="G110" i="6"/>
  <c r="E110" i="6"/>
  <c r="D110" i="6"/>
  <c r="C110" i="6"/>
  <c r="B110" i="6"/>
  <c r="H109" i="6"/>
  <c r="G109" i="6"/>
  <c r="E109" i="6"/>
  <c r="D109" i="6"/>
  <c r="C109" i="6"/>
  <c r="B109" i="6"/>
  <c r="H108" i="6"/>
  <c r="G108" i="6"/>
  <c r="E108" i="6"/>
  <c r="D108" i="6"/>
  <c r="C108" i="6"/>
  <c r="B108" i="6"/>
  <c r="H107" i="6"/>
  <c r="G107" i="6"/>
  <c r="E107" i="6"/>
  <c r="D107" i="6"/>
  <c r="C107" i="6"/>
  <c r="B107" i="6"/>
  <c r="H106" i="6"/>
  <c r="G106" i="6"/>
  <c r="F106" i="6"/>
  <c r="E106" i="6"/>
  <c r="D106" i="6"/>
  <c r="C106" i="6"/>
  <c r="B106" i="6"/>
  <c r="H105" i="6"/>
  <c r="G105" i="6"/>
  <c r="E105" i="6"/>
  <c r="D105" i="6"/>
  <c r="C105" i="6"/>
  <c r="B105" i="6"/>
  <c r="H104" i="6"/>
  <c r="G104" i="6"/>
  <c r="E104" i="6"/>
  <c r="D104" i="6"/>
  <c r="C104" i="6"/>
  <c r="B104" i="6"/>
  <c r="H103" i="6"/>
  <c r="G103" i="6"/>
  <c r="E103" i="6"/>
  <c r="D103" i="6"/>
  <c r="C103" i="6"/>
  <c r="B103" i="6"/>
  <c r="H102" i="6"/>
  <c r="G102" i="6"/>
  <c r="E102" i="6"/>
  <c r="D102" i="6"/>
  <c r="C102" i="6"/>
  <c r="B102" i="6"/>
  <c r="H101" i="6"/>
  <c r="G101" i="6"/>
  <c r="E101" i="6"/>
  <c r="D101" i="6"/>
  <c r="C101" i="6"/>
  <c r="B101" i="6"/>
  <c r="H100" i="6"/>
  <c r="G100" i="6"/>
  <c r="E100" i="6"/>
  <c r="D100" i="6"/>
  <c r="C100" i="6"/>
  <c r="B100" i="6"/>
  <c r="H99" i="6"/>
  <c r="G99" i="6"/>
  <c r="F99" i="6"/>
  <c r="E99" i="6"/>
  <c r="D99" i="6"/>
  <c r="C99" i="6"/>
  <c r="B99" i="6"/>
  <c r="H98" i="6"/>
  <c r="G98" i="6"/>
  <c r="E98" i="6"/>
  <c r="D98" i="6"/>
  <c r="C98" i="6"/>
  <c r="B98" i="6"/>
  <c r="H97" i="6"/>
  <c r="G97" i="6"/>
  <c r="F97" i="6"/>
  <c r="E97" i="6"/>
  <c r="D97" i="6"/>
  <c r="C97" i="6"/>
  <c r="B97" i="6"/>
  <c r="H96" i="6"/>
  <c r="G96" i="6"/>
  <c r="E96" i="6"/>
  <c r="D96" i="6"/>
  <c r="C96" i="6"/>
  <c r="B96" i="6"/>
  <c r="H95" i="6"/>
  <c r="G95" i="6"/>
  <c r="E95" i="6"/>
  <c r="D95" i="6"/>
  <c r="C95" i="6"/>
  <c r="B95" i="6"/>
  <c r="H94" i="6"/>
  <c r="G94" i="6"/>
  <c r="F94" i="6"/>
  <c r="E94" i="6"/>
  <c r="D94" i="6"/>
  <c r="C94" i="6"/>
  <c r="B94" i="6"/>
  <c r="H93" i="6"/>
  <c r="G93" i="6"/>
  <c r="F93" i="6"/>
  <c r="E93" i="6"/>
  <c r="D93" i="6"/>
  <c r="C93" i="6"/>
  <c r="B93" i="6"/>
  <c r="H92" i="6"/>
  <c r="G92" i="6"/>
  <c r="E92" i="6"/>
  <c r="D92" i="6"/>
  <c r="C92" i="6"/>
  <c r="B92" i="6"/>
  <c r="H91" i="6"/>
  <c r="G91" i="6"/>
  <c r="E91" i="6"/>
  <c r="D91" i="6"/>
  <c r="C91" i="6"/>
  <c r="B91" i="6"/>
  <c r="H90" i="6"/>
  <c r="G90" i="6"/>
  <c r="E90" i="6"/>
  <c r="D90" i="6"/>
  <c r="C90" i="6"/>
  <c r="B90" i="6"/>
  <c r="H89" i="6"/>
  <c r="G89" i="6"/>
  <c r="E89" i="6"/>
  <c r="D89" i="6"/>
  <c r="C89" i="6"/>
  <c r="B89" i="6"/>
  <c r="H88" i="6"/>
  <c r="G88" i="6"/>
  <c r="E88" i="6"/>
  <c r="D88" i="6"/>
  <c r="C88" i="6"/>
  <c r="B88" i="6"/>
  <c r="H87" i="6"/>
  <c r="G87" i="6"/>
  <c r="E87" i="6"/>
  <c r="D87" i="6"/>
  <c r="C87" i="6"/>
  <c r="B87" i="6"/>
  <c r="H86" i="6"/>
  <c r="G86" i="6"/>
  <c r="F86" i="6"/>
  <c r="E86" i="6"/>
  <c r="D86" i="6"/>
  <c r="C86" i="6"/>
  <c r="B86" i="6"/>
  <c r="H85" i="6"/>
  <c r="G85" i="6"/>
  <c r="E85" i="6"/>
  <c r="D85" i="6"/>
  <c r="C85" i="6"/>
  <c r="B85" i="6"/>
  <c r="H84" i="6"/>
  <c r="G84" i="6"/>
  <c r="F84" i="6"/>
  <c r="E84" i="6"/>
  <c r="D84" i="6"/>
  <c r="C84" i="6"/>
  <c r="B84" i="6"/>
  <c r="H83" i="6"/>
  <c r="G83" i="6"/>
  <c r="E83" i="6"/>
  <c r="D83" i="6"/>
  <c r="C83" i="6"/>
  <c r="B83" i="6"/>
  <c r="H82" i="6"/>
  <c r="G82" i="6"/>
  <c r="F82" i="6"/>
  <c r="E82" i="6"/>
  <c r="D82" i="6"/>
  <c r="C82" i="6"/>
  <c r="B82" i="6"/>
  <c r="H81" i="6"/>
  <c r="G81" i="6"/>
  <c r="E81" i="6"/>
  <c r="D81" i="6"/>
  <c r="C81" i="6"/>
  <c r="B81" i="6"/>
  <c r="H80" i="6"/>
  <c r="G80" i="6"/>
  <c r="F80" i="6"/>
  <c r="E80" i="6"/>
  <c r="D80" i="6"/>
  <c r="C80" i="6"/>
  <c r="B80" i="6"/>
  <c r="H79" i="6"/>
  <c r="G79" i="6"/>
  <c r="E79" i="6"/>
  <c r="D79" i="6"/>
  <c r="C79" i="6"/>
  <c r="B79" i="6"/>
  <c r="H78" i="6"/>
  <c r="G78" i="6"/>
  <c r="E78" i="6"/>
  <c r="D78" i="6"/>
  <c r="C78" i="6"/>
  <c r="B78" i="6"/>
  <c r="H77" i="6"/>
  <c r="G77" i="6"/>
  <c r="E77" i="6"/>
  <c r="D77" i="6"/>
  <c r="C77" i="6"/>
  <c r="B77" i="6"/>
  <c r="H76" i="6"/>
  <c r="G76" i="6"/>
  <c r="E76" i="6"/>
  <c r="D76" i="6"/>
  <c r="C76" i="6"/>
  <c r="B76" i="6"/>
  <c r="H75" i="6"/>
  <c r="G75" i="6"/>
  <c r="F75" i="6"/>
  <c r="E75" i="6"/>
  <c r="D75" i="6"/>
  <c r="C75" i="6"/>
  <c r="B75" i="6"/>
  <c r="H74" i="6"/>
  <c r="G74" i="6"/>
  <c r="E74" i="6"/>
  <c r="D74" i="6"/>
  <c r="C74" i="6"/>
  <c r="B74" i="6"/>
  <c r="H73" i="6"/>
  <c r="G73" i="6"/>
  <c r="E73" i="6"/>
  <c r="D73" i="6"/>
  <c r="C73" i="6"/>
  <c r="B73" i="6"/>
  <c r="H72" i="6"/>
  <c r="G72" i="6"/>
  <c r="F72" i="6"/>
  <c r="E72" i="6"/>
  <c r="D72" i="6"/>
  <c r="C72" i="6"/>
  <c r="B72" i="6"/>
  <c r="H71" i="6"/>
  <c r="G71" i="6"/>
  <c r="E71" i="6"/>
  <c r="D71" i="6"/>
  <c r="C71" i="6"/>
  <c r="B71" i="6"/>
  <c r="H70" i="6"/>
  <c r="G70" i="6"/>
  <c r="E70" i="6"/>
  <c r="D70" i="6"/>
  <c r="C70" i="6"/>
  <c r="B70" i="6"/>
  <c r="H69" i="6"/>
  <c r="G69" i="6"/>
  <c r="E69" i="6"/>
  <c r="D69" i="6"/>
  <c r="C69" i="6"/>
  <c r="B69" i="6"/>
  <c r="H68" i="6"/>
  <c r="G68" i="6"/>
  <c r="E68" i="6"/>
  <c r="D68" i="6"/>
  <c r="C68" i="6"/>
  <c r="B68" i="6"/>
  <c r="H67" i="6"/>
  <c r="G67" i="6"/>
  <c r="E67" i="6"/>
  <c r="D67" i="6"/>
  <c r="C67" i="6"/>
  <c r="B67" i="6"/>
  <c r="H62" i="6"/>
  <c r="F62" i="6"/>
  <c r="E62" i="6"/>
  <c r="D62" i="6"/>
  <c r="C62" i="6"/>
  <c r="B62" i="6"/>
  <c r="H61" i="6"/>
  <c r="F61" i="6"/>
  <c r="E61" i="6"/>
  <c r="D61" i="6"/>
  <c r="C61" i="6"/>
  <c r="B61" i="6"/>
  <c r="H60" i="6"/>
  <c r="F60" i="6"/>
  <c r="E60" i="6"/>
  <c r="D60" i="6"/>
  <c r="C60" i="6"/>
  <c r="B60" i="6"/>
  <c r="H59" i="6"/>
  <c r="F59" i="6"/>
  <c r="E59" i="6"/>
  <c r="D59" i="6"/>
  <c r="C59" i="6"/>
  <c r="B59" i="6"/>
  <c r="H58" i="6"/>
  <c r="F58" i="6"/>
  <c r="E58" i="6"/>
  <c r="D58" i="6"/>
  <c r="C58" i="6"/>
  <c r="B58" i="6"/>
  <c r="H57" i="6"/>
  <c r="F57" i="6"/>
  <c r="E57" i="6"/>
  <c r="D57" i="6"/>
  <c r="C57" i="6"/>
  <c r="B57" i="6"/>
  <c r="H56" i="6"/>
  <c r="F56" i="6"/>
  <c r="E56" i="6"/>
  <c r="G56" i="6" s="1"/>
  <c r="D56" i="6"/>
  <c r="C56" i="6"/>
  <c r="B56" i="6"/>
  <c r="H55" i="6"/>
  <c r="F55" i="6"/>
  <c r="E55" i="6"/>
  <c r="D55" i="6"/>
  <c r="C55" i="6"/>
  <c r="B55" i="6"/>
  <c r="H54" i="6"/>
  <c r="F54" i="6"/>
  <c r="E54" i="6"/>
  <c r="D54" i="6"/>
  <c r="C54" i="6"/>
  <c r="B54" i="6"/>
  <c r="H53" i="6"/>
  <c r="F53" i="6"/>
  <c r="E53" i="6"/>
  <c r="D53" i="6"/>
  <c r="C53" i="6"/>
  <c r="B53" i="6"/>
  <c r="H52" i="6"/>
  <c r="F52" i="6"/>
  <c r="E52" i="6"/>
  <c r="D52" i="6"/>
  <c r="C52" i="6"/>
  <c r="B52" i="6"/>
  <c r="H51" i="6"/>
  <c r="F51" i="6"/>
  <c r="E51" i="6"/>
  <c r="D51" i="6"/>
  <c r="C51" i="6"/>
  <c r="B51" i="6"/>
  <c r="H50" i="6"/>
  <c r="F50" i="6"/>
  <c r="E50" i="6"/>
  <c r="D50" i="6"/>
  <c r="C50" i="6"/>
  <c r="B50" i="6"/>
  <c r="H49" i="6"/>
  <c r="F49" i="6"/>
  <c r="E49" i="6"/>
  <c r="D49" i="6"/>
  <c r="C49" i="6"/>
  <c r="B49" i="6"/>
  <c r="H48" i="6"/>
  <c r="F48" i="6"/>
  <c r="E48" i="6"/>
  <c r="D48" i="6"/>
  <c r="C48" i="6"/>
  <c r="B48" i="6"/>
  <c r="H47" i="6"/>
  <c r="F47" i="6"/>
  <c r="E47" i="6"/>
  <c r="D47" i="6"/>
  <c r="C47" i="6"/>
  <c r="B47" i="6"/>
  <c r="H46" i="6"/>
  <c r="F46" i="6"/>
  <c r="E46" i="6"/>
  <c r="D46" i="6"/>
  <c r="C46" i="6"/>
  <c r="B46" i="6"/>
  <c r="H45" i="6"/>
  <c r="F45" i="6"/>
  <c r="E45" i="6"/>
  <c r="G45" i="6" s="1"/>
  <c r="D45" i="6"/>
  <c r="C45" i="6"/>
  <c r="B45" i="6"/>
  <c r="H44" i="6"/>
  <c r="F44" i="6"/>
  <c r="E44" i="6"/>
  <c r="D44" i="6"/>
  <c r="C44" i="6"/>
  <c r="B44" i="6"/>
  <c r="H43" i="6"/>
  <c r="F43" i="6"/>
  <c r="E43" i="6"/>
  <c r="D43" i="6"/>
  <c r="C43" i="6"/>
  <c r="B43" i="6"/>
  <c r="H42" i="6"/>
  <c r="F42" i="6"/>
  <c r="E42" i="6"/>
  <c r="D42" i="6"/>
  <c r="C42" i="6"/>
  <c r="B42" i="6"/>
  <c r="H41" i="6"/>
  <c r="F41" i="6"/>
  <c r="E41" i="6"/>
  <c r="D41" i="6"/>
  <c r="C41" i="6"/>
  <c r="B41" i="6"/>
  <c r="H40" i="6"/>
  <c r="F40" i="6"/>
  <c r="E40" i="6"/>
  <c r="D40" i="6"/>
  <c r="C40" i="6"/>
  <c r="B40" i="6"/>
  <c r="H39" i="6"/>
  <c r="F39" i="6"/>
  <c r="E39" i="6"/>
  <c r="D39" i="6"/>
  <c r="C39" i="6"/>
  <c r="B39" i="6"/>
  <c r="H38" i="6"/>
  <c r="F38" i="6"/>
  <c r="E38" i="6"/>
  <c r="D38" i="6"/>
  <c r="C38" i="6"/>
  <c r="B38" i="6"/>
  <c r="H37" i="6"/>
  <c r="F37" i="6"/>
  <c r="E37" i="6"/>
  <c r="D37" i="6"/>
  <c r="C37" i="6"/>
  <c r="B37" i="6"/>
  <c r="H36" i="6"/>
  <c r="F36" i="6"/>
  <c r="E36" i="6"/>
  <c r="D36" i="6"/>
  <c r="C36" i="6"/>
  <c r="B36" i="6"/>
  <c r="H35" i="6"/>
  <c r="F35" i="6"/>
  <c r="E35" i="6"/>
  <c r="D35" i="6"/>
  <c r="C35" i="6"/>
  <c r="B35" i="6"/>
  <c r="H34" i="6"/>
  <c r="F34" i="6"/>
  <c r="E34" i="6"/>
  <c r="D34" i="6"/>
  <c r="C34" i="6"/>
  <c r="B34" i="6"/>
  <c r="H33" i="6"/>
  <c r="F33" i="6"/>
  <c r="E33" i="6"/>
  <c r="G33" i="6" s="1"/>
  <c r="D33" i="6"/>
  <c r="C33" i="6"/>
  <c r="B33" i="6"/>
  <c r="H32" i="6"/>
  <c r="F32" i="6"/>
  <c r="E32" i="6"/>
  <c r="D32" i="6"/>
  <c r="C32" i="6"/>
  <c r="B32" i="6"/>
  <c r="H31" i="6"/>
  <c r="F31" i="6"/>
  <c r="E31" i="6"/>
  <c r="D31" i="6"/>
  <c r="C31" i="6"/>
  <c r="B31" i="6"/>
  <c r="H30" i="6"/>
  <c r="F30" i="6"/>
  <c r="E30" i="6"/>
  <c r="D30" i="6"/>
  <c r="C30" i="6"/>
  <c r="B30" i="6"/>
  <c r="H29" i="6"/>
  <c r="F29" i="6"/>
  <c r="E29" i="6"/>
  <c r="D29" i="6"/>
  <c r="C29" i="6"/>
  <c r="B29" i="6"/>
  <c r="H28" i="6"/>
  <c r="F28" i="6"/>
  <c r="E28" i="6"/>
  <c r="D28" i="6"/>
  <c r="C28" i="6"/>
  <c r="B28" i="6"/>
  <c r="H27" i="6"/>
  <c r="F27" i="6"/>
  <c r="E27" i="6"/>
  <c r="D27" i="6"/>
  <c r="C27" i="6"/>
  <c r="B27" i="6"/>
  <c r="H26" i="6"/>
  <c r="F26" i="6"/>
  <c r="E26" i="6"/>
  <c r="D26" i="6"/>
  <c r="C26" i="6"/>
  <c r="B26" i="6"/>
  <c r="H25" i="6"/>
  <c r="F25" i="6"/>
  <c r="E25" i="6"/>
  <c r="D25" i="6"/>
  <c r="C25" i="6"/>
  <c r="B25" i="6"/>
  <c r="H24" i="6"/>
  <c r="F24" i="6"/>
  <c r="E24" i="6"/>
  <c r="D24" i="6"/>
  <c r="C24" i="6"/>
  <c r="B24" i="6"/>
  <c r="H23" i="6"/>
  <c r="F23" i="6"/>
  <c r="E23" i="6"/>
  <c r="D23" i="6"/>
  <c r="C23" i="6"/>
  <c r="B23" i="6"/>
  <c r="H22" i="6"/>
  <c r="F22" i="6"/>
  <c r="E22" i="6"/>
  <c r="D22" i="6"/>
  <c r="C22" i="6"/>
  <c r="B22" i="6"/>
  <c r="H21" i="6"/>
  <c r="F21" i="6"/>
  <c r="E21" i="6"/>
  <c r="D21" i="6"/>
  <c r="C21" i="6"/>
  <c r="B21" i="6"/>
  <c r="H20" i="6"/>
  <c r="F20" i="6"/>
  <c r="E20" i="6"/>
  <c r="D20" i="6"/>
  <c r="C20" i="6"/>
  <c r="B20" i="6"/>
  <c r="H19" i="6"/>
  <c r="F19" i="6"/>
  <c r="E19" i="6"/>
  <c r="D19" i="6"/>
  <c r="C19" i="6"/>
  <c r="B19" i="6"/>
  <c r="H18" i="6"/>
  <c r="F18" i="6"/>
  <c r="E18" i="6"/>
  <c r="D18" i="6"/>
  <c r="C18" i="6"/>
  <c r="B18" i="6"/>
  <c r="H17" i="6"/>
  <c r="F17" i="6"/>
  <c r="E17" i="6"/>
  <c r="D17" i="6"/>
  <c r="C17" i="6"/>
  <c r="B17" i="6"/>
  <c r="H16" i="6"/>
  <c r="F16" i="6"/>
  <c r="E16" i="6"/>
  <c r="D16" i="6"/>
  <c r="C16" i="6"/>
  <c r="B16" i="6"/>
  <c r="H15" i="6"/>
  <c r="F15" i="6"/>
  <c r="E15" i="6"/>
  <c r="D15" i="6"/>
  <c r="C15" i="6"/>
  <c r="B15" i="6"/>
  <c r="H14" i="6"/>
  <c r="F14" i="6"/>
  <c r="E14" i="6"/>
  <c r="D14" i="6"/>
  <c r="C14" i="6"/>
  <c r="B14" i="6"/>
  <c r="H13" i="6"/>
  <c r="F13" i="6"/>
  <c r="E13" i="6"/>
  <c r="D13" i="6"/>
  <c r="C13" i="6"/>
  <c r="B13" i="6"/>
  <c r="H12" i="6"/>
  <c r="F12" i="6"/>
  <c r="E12" i="6"/>
  <c r="D12" i="6"/>
  <c r="C12" i="6"/>
  <c r="B12" i="6"/>
  <c r="H11" i="6"/>
  <c r="F11" i="6"/>
  <c r="E11" i="6"/>
  <c r="D11" i="6"/>
  <c r="C11" i="6"/>
  <c r="B11" i="6"/>
  <c r="H10" i="6"/>
  <c r="F10" i="6"/>
  <c r="E10" i="6"/>
  <c r="D10" i="6"/>
  <c r="C10" i="6"/>
  <c r="B10" i="6"/>
  <c r="H9" i="6"/>
  <c r="F9" i="6"/>
  <c r="E9" i="6"/>
  <c r="D9" i="6"/>
  <c r="C9" i="6"/>
  <c r="B9" i="6"/>
  <c r="H8" i="6"/>
  <c r="F8" i="6"/>
  <c r="E8" i="6"/>
  <c r="D8" i="6"/>
  <c r="C8" i="6"/>
  <c r="B8" i="6"/>
  <c r="H7" i="6"/>
  <c r="F7" i="6"/>
  <c r="E7" i="6"/>
  <c r="D7" i="6"/>
  <c r="C7" i="6"/>
  <c r="B7" i="6"/>
  <c r="H6" i="6"/>
  <c r="F6" i="6"/>
  <c r="E6" i="6"/>
  <c r="D6" i="6"/>
  <c r="C6" i="6"/>
  <c r="B6" i="6"/>
  <c r="H5" i="6"/>
  <c r="F5" i="6"/>
  <c r="E5" i="6"/>
  <c r="D5" i="6"/>
  <c r="C5" i="6"/>
  <c r="B5" i="6"/>
  <c r="G43" i="5"/>
  <c r="E43" i="5"/>
  <c r="D43" i="5"/>
  <c r="C43" i="5"/>
  <c r="G42" i="5"/>
  <c r="E42" i="5"/>
  <c r="D42" i="5"/>
  <c r="F42" i="5" s="1"/>
  <c r="C42" i="5"/>
  <c r="G41" i="5"/>
  <c r="E41" i="5"/>
  <c r="D41" i="5"/>
  <c r="C41" i="5"/>
  <c r="G40" i="5"/>
  <c r="H40" i="5" s="1"/>
  <c r="E40" i="5"/>
  <c r="D40" i="5"/>
  <c r="C40" i="5"/>
  <c r="G39" i="5"/>
  <c r="E39" i="5"/>
  <c r="D39" i="5"/>
  <c r="C39" i="5"/>
  <c r="G38" i="5"/>
  <c r="E38" i="5"/>
  <c r="D38" i="5"/>
  <c r="C38" i="5"/>
  <c r="G37" i="5"/>
  <c r="E37" i="5"/>
  <c r="D37" i="5"/>
  <c r="C37" i="5"/>
  <c r="G36" i="5"/>
  <c r="E36" i="5"/>
  <c r="D36" i="5"/>
  <c r="C36" i="5"/>
  <c r="G35" i="5"/>
  <c r="E35" i="5"/>
  <c r="D35" i="5"/>
  <c r="C35" i="5"/>
  <c r="G34" i="5"/>
  <c r="E34" i="5"/>
  <c r="D34" i="5"/>
  <c r="C34" i="5"/>
  <c r="G33" i="5"/>
  <c r="E33" i="5"/>
  <c r="D33" i="5"/>
  <c r="C33" i="5"/>
  <c r="G32" i="5"/>
  <c r="E32" i="5"/>
  <c r="D32" i="5"/>
  <c r="C32" i="5"/>
  <c r="G31" i="5"/>
  <c r="E31" i="5"/>
  <c r="D31" i="5"/>
  <c r="C31" i="5"/>
  <c r="G30" i="5"/>
  <c r="E30" i="5"/>
  <c r="D30" i="5"/>
  <c r="C30" i="5"/>
  <c r="G29" i="5"/>
  <c r="E29" i="5"/>
  <c r="D29" i="5"/>
  <c r="C29" i="5"/>
  <c r="G28" i="5"/>
  <c r="E28" i="5"/>
  <c r="D28" i="5"/>
  <c r="F28" i="5" s="1"/>
  <c r="C28" i="5"/>
  <c r="G27" i="5"/>
  <c r="E27" i="5"/>
  <c r="D27" i="5"/>
  <c r="C27" i="5"/>
  <c r="G26" i="5"/>
  <c r="E26" i="5"/>
  <c r="D26" i="5"/>
  <c r="C26" i="5"/>
  <c r="G25" i="5"/>
  <c r="E25" i="5"/>
  <c r="D25" i="5"/>
  <c r="C25" i="5"/>
  <c r="G24" i="5"/>
  <c r="E24" i="5"/>
  <c r="D24" i="5"/>
  <c r="C24" i="5"/>
  <c r="G23" i="5"/>
  <c r="E23" i="5"/>
  <c r="D23" i="5"/>
  <c r="C23" i="5"/>
  <c r="G22" i="5"/>
  <c r="E22" i="5"/>
  <c r="D22" i="5"/>
  <c r="C22" i="5"/>
  <c r="G21" i="5"/>
  <c r="E21" i="5"/>
  <c r="D21" i="5"/>
  <c r="C21" i="5"/>
  <c r="G20" i="5"/>
  <c r="E20" i="5"/>
  <c r="D20" i="5"/>
  <c r="C20" i="5"/>
  <c r="G19" i="5"/>
  <c r="E19" i="5"/>
  <c r="D19" i="5"/>
  <c r="C19" i="5"/>
  <c r="G18" i="5"/>
  <c r="E18" i="5"/>
  <c r="D18" i="5"/>
  <c r="C18" i="5"/>
  <c r="G17" i="5"/>
  <c r="E17" i="5"/>
  <c r="D17" i="5"/>
  <c r="C17" i="5"/>
  <c r="G16" i="5"/>
  <c r="E16" i="5"/>
  <c r="D16" i="5"/>
  <c r="C16" i="5"/>
  <c r="G15" i="5"/>
  <c r="E15" i="5"/>
  <c r="D15" i="5"/>
  <c r="F15" i="5" s="1"/>
  <c r="C15" i="5"/>
  <c r="H199" i="4"/>
  <c r="F199" i="4"/>
  <c r="E199" i="4"/>
  <c r="D199" i="4"/>
  <c r="C199" i="4"/>
  <c r="H198" i="4"/>
  <c r="G198" i="4"/>
  <c r="F198" i="4"/>
  <c r="E198" i="4"/>
  <c r="D198" i="4"/>
  <c r="C198" i="4"/>
  <c r="H197" i="4"/>
  <c r="F197" i="4"/>
  <c r="E197" i="4"/>
  <c r="D197" i="4"/>
  <c r="C197" i="4"/>
  <c r="H196" i="4"/>
  <c r="F196" i="4"/>
  <c r="E196" i="4"/>
  <c r="D196" i="4"/>
  <c r="C196" i="4"/>
  <c r="H195" i="4"/>
  <c r="F195" i="4"/>
  <c r="E195" i="4"/>
  <c r="D195" i="4"/>
  <c r="C195" i="4"/>
  <c r="H194" i="4"/>
  <c r="G194" i="4"/>
  <c r="F194" i="4"/>
  <c r="E194" i="4"/>
  <c r="D194" i="4"/>
  <c r="C194" i="4"/>
  <c r="H193" i="4"/>
  <c r="F193" i="4"/>
  <c r="E193" i="4"/>
  <c r="D193" i="4"/>
  <c r="C193" i="4"/>
  <c r="H192" i="4"/>
  <c r="F192" i="4"/>
  <c r="E192" i="4"/>
  <c r="D192" i="4"/>
  <c r="C192" i="4"/>
  <c r="H191" i="4"/>
  <c r="F191" i="4"/>
  <c r="E191" i="4"/>
  <c r="D191" i="4"/>
  <c r="C191" i="4"/>
  <c r="H190" i="4"/>
  <c r="F190" i="4"/>
  <c r="E190" i="4"/>
  <c r="D190" i="4"/>
  <c r="C190" i="4"/>
  <c r="H189" i="4"/>
  <c r="F189" i="4"/>
  <c r="E189" i="4"/>
  <c r="D189" i="4"/>
  <c r="C189" i="4"/>
  <c r="H188" i="4"/>
  <c r="F188" i="4"/>
  <c r="E188" i="4"/>
  <c r="D188" i="4"/>
  <c r="C188" i="4"/>
  <c r="H187" i="4"/>
  <c r="G187" i="4"/>
  <c r="F187" i="4"/>
  <c r="E187" i="4"/>
  <c r="D187" i="4"/>
  <c r="C187" i="4"/>
  <c r="H186" i="4"/>
  <c r="G186" i="4"/>
  <c r="F186" i="4"/>
  <c r="E186" i="4"/>
  <c r="D186" i="4"/>
  <c r="C186" i="4"/>
  <c r="H185" i="4"/>
  <c r="F185" i="4"/>
  <c r="E185" i="4"/>
  <c r="D185" i="4"/>
  <c r="C185" i="4"/>
  <c r="H184" i="4"/>
  <c r="G184" i="4"/>
  <c r="F184" i="4"/>
  <c r="E184" i="4"/>
  <c r="D184" i="4"/>
  <c r="C184" i="4"/>
  <c r="H183" i="4"/>
  <c r="G183" i="4"/>
  <c r="F183" i="4"/>
  <c r="E183" i="4"/>
  <c r="D183" i="4"/>
  <c r="C183" i="4"/>
  <c r="H182" i="4"/>
  <c r="F182" i="4"/>
  <c r="E182" i="4"/>
  <c r="D182" i="4"/>
  <c r="C182" i="4"/>
  <c r="H181" i="4"/>
  <c r="F181" i="4"/>
  <c r="E181" i="4"/>
  <c r="D181" i="4"/>
  <c r="C181" i="4"/>
  <c r="H180" i="4"/>
  <c r="F180" i="4"/>
  <c r="E180" i="4"/>
  <c r="D180" i="4"/>
  <c r="C180" i="4"/>
  <c r="H179" i="4"/>
  <c r="F179" i="4"/>
  <c r="E179" i="4"/>
  <c r="D179" i="4"/>
  <c r="C179" i="4"/>
  <c r="H178" i="4"/>
  <c r="G178" i="4"/>
  <c r="F178" i="4"/>
  <c r="E178" i="4"/>
  <c r="D178" i="4"/>
  <c r="C178" i="4"/>
  <c r="H177" i="4"/>
  <c r="F177" i="4"/>
  <c r="E177" i="4"/>
  <c r="D177" i="4"/>
  <c r="C177" i="4"/>
  <c r="H176" i="4"/>
  <c r="G176" i="4"/>
  <c r="F176" i="4"/>
  <c r="E176" i="4"/>
  <c r="D176" i="4"/>
  <c r="C176" i="4"/>
  <c r="H175" i="4"/>
  <c r="F175" i="4"/>
  <c r="E175" i="4"/>
  <c r="D175" i="4"/>
  <c r="C175" i="4"/>
  <c r="H174" i="4"/>
  <c r="F174" i="4"/>
  <c r="E174" i="4"/>
  <c r="D174" i="4"/>
  <c r="C174" i="4"/>
  <c r="H173" i="4"/>
  <c r="G173" i="4"/>
  <c r="F173" i="4"/>
  <c r="E173" i="4"/>
  <c r="D173" i="4"/>
  <c r="C173" i="4"/>
  <c r="H172" i="4"/>
  <c r="F172" i="4"/>
  <c r="E172" i="4"/>
  <c r="D172" i="4"/>
  <c r="C172" i="4"/>
  <c r="H171" i="4"/>
  <c r="G171" i="4"/>
  <c r="F171" i="4"/>
  <c r="E171" i="4"/>
  <c r="D171" i="4"/>
  <c r="C171" i="4"/>
  <c r="H170" i="4"/>
  <c r="F170" i="4"/>
  <c r="E170" i="4"/>
  <c r="D170" i="4"/>
  <c r="C170" i="4"/>
  <c r="H169" i="4"/>
  <c r="F169" i="4"/>
  <c r="E169" i="4"/>
  <c r="D169" i="4"/>
  <c r="C169" i="4"/>
  <c r="H168" i="4"/>
  <c r="G168" i="4"/>
  <c r="F168" i="4"/>
  <c r="E168" i="4"/>
  <c r="D168" i="4"/>
  <c r="C168" i="4"/>
  <c r="H167" i="4"/>
  <c r="F167" i="4"/>
  <c r="E167" i="4"/>
  <c r="D167" i="4"/>
  <c r="C167" i="4"/>
  <c r="H166" i="4"/>
  <c r="F166" i="4"/>
  <c r="E166" i="4"/>
  <c r="D166" i="4"/>
  <c r="C166" i="4"/>
  <c r="H165" i="4"/>
  <c r="F165" i="4"/>
  <c r="E165" i="4"/>
  <c r="D165" i="4"/>
  <c r="C165" i="4"/>
  <c r="H164" i="4"/>
  <c r="F164" i="4"/>
  <c r="E164" i="4"/>
  <c r="D164" i="4"/>
  <c r="C164" i="4"/>
  <c r="H163" i="4"/>
  <c r="F163" i="4"/>
  <c r="E163" i="4"/>
  <c r="D163" i="4"/>
  <c r="C163" i="4"/>
  <c r="H162" i="4"/>
  <c r="F162" i="4"/>
  <c r="E162" i="4"/>
  <c r="D162" i="4"/>
  <c r="C162" i="4"/>
  <c r="H161" i="4"/>
  <c r="F161" i="4"/>
  <c r="E161" i="4"/>
  <c r="D161" i="4"/>
  <c r="C161" i="4"/>
  <c r="H160" i="4"/>
  <c r="F160" i="4"/>
  <c r="E160" i="4"/>
  <c r="D160" i="4"/>
  <c r="C160" i="4"/>
  <c r="H159" i="4"/>
  <c r="F159" i="4"/>
  <c r="E159" i="4"/>
  <c r="D159" i="4"/>
  <c r="C159" i="4"/>
  <c r="H158" i="4"/>
  <c r="G158" i="4"/>
  <c r="F158" i="4"/>
  <c r="E158" i="4"/>
  <c r="D158" i="4"/>
  <c r="C158" i="4"/>
  <c r="H157" i="4"/>
  <c r="F157" i="4"/>
  <c r="E157" i="4"/>
  <c r="D157" i="4"/>
  <c r="C157" i="4"/>
  <c r="H156" i="4"/>
  <c r="F156" i="4"/>
  <c r="E156" i="4"/>
  <c r="D156" i="4"/>
  <c r="C156" i="4"/>
  <c r="H155" i="4"/>
  <c r="F155" i="4"/>
  <c r="E155" i="4"/>
  <c r="D155" i="4"/>
  <c r="C155" i="4"/>
  <c r="H154" i="4"/>
  <c r="F154" i="4"/>
  <c r="E154" i="4"/>
  <c r="D154" i="4"/>
  <c r="C154" i="4"/>
  <c r="H153" i="4"/>
  <c r="F153" i="4"/>
  <c r="E153" i="4"/>
  <c r="D153" i="4"/>
  <c r="C153" i="4"/>
  <c r="H152" i="4"/>
  <c r="G152" i="4"/>
  <c r="F152" i="4"/>
  <c r="E152" i="4"/>
  <c r="D152" i="4"/>
  <c r="C152" i="4"/>
  <c r="H151" i="4"/>
  <c r="F151" i="4"/>
  <c r="E151" i="4"/>
  <c r="D151" i="4"/>
  <c r="C151" i="4"/>
  <c r="H150" i="4"/>
  <c r="G150" i="4"/>
  <c r="F150" i="4"/>
  <c r="E150" i="4"/>
  <c r="D150" i="4"/>
  <c r="C150" i="4"/>
  <c r="H149" i="4"/>
  <c r="F149" i="4"/>
  <c r="E149" i="4"/>
  <c r="D149" i="4"/>
  <c r="C149" i="4"/>
  <c r="H148" i="4"/>
  <c r="G148" i="4"/>
  <c r="F148" i="4"/>
  <c r="E148" i="4"/>
  <c r="D148" i="4"/>
  <c r="C148" i="4"/>
  <c r="H147" i="4"/>
  <c r="F147" i="4"/>
  <c r="E147" i="4"/>
  <c r="D147" i="4"/>
  <c r="C147" i="4"/>
  <c r="H146" i="4"/>
  <c r="F146" i="4"/>
  <c r="E146" i="4"/>
  <c r="D146" i="4"/>
  <c r="C146" i="4"/>
  <c r="H145" i="4"/>
  <c r="F145" i="4"/>
  <c r="E145" i="4"/>
  <c r="D145" i="4"/>
  <c r="C145" i="4"/>
  <c r="H144" i="4"/>
  <c r="F144" i="4"/>
  <c r="E144" i="4"/>
  <c r="D144" i="4"/>
  <c r="C144" i="4"/>
  <c r="H143" i="4"/>
  <c r="G143" i="4"/>
  <c r="F143" i="4"/>
  <c r="E143" i="4"/>
  <c r="D143" i="4"/>
  <c r="C143" i="4"/>
  <c r="H142" i="4"/>
  <c r="F142" i="4"/>
  <c r="E142" i="4"/>
  <c r="D142" i="4"/>
  <c r="C142" i="4"/>
  <c r="H141" i="4"/>
  <c r="G141" i="4"/>
  <c r="F141" i="4"/>
  <c r="E141" i="4"/>
  <c r="D141" i="4"/>
  <c r="C141" i="4"/>
  <c r="H140" i="4"/>
  <c r="F140" i="4"/>
  <c r="E140" i="4"/>
  <c r="D140" i="4"/>
  <c r="C140" i="4"/>
  <c r="H139" i="4"/>
  <c r="F139" i="4"/>
  <c r="E139" i="4"/>
  <c r="D139" i="4"/>
  <c r="C139" i="4"/>
  <c r="H138" i="4"/>
  <c r="F138" i="4"/>
  <c r="E138" i="4"/>
  <c r="D138" i="4"/>
  <c r="C138" i="4"/>
  <c r="H137" i="4"/>
  <c r="G137" i="4"/>
  <c r="F137" i="4"/>
  <c r="E137" i="4"/>
  <c r="D137" i="4"/>
  <c r="C137" i="4"/>
  <c r="H136" i="4"/>
  <c r="F136" i="4"/>
  <c r="E136" i="4"/>
  <c r="D136" i="4"/>
  <c r="C136" i="4"/>
  <c r="H135" i="4"/>
  <c r="F135" i="4"/>
  <c r="E135" i="4"/>
  <c r="D135" i="4"/>
  <c r="C135" i="4"/>
  <c r="H134" i="4"/>
  <c r="F134" i="4"/>
  <c r="E134" i="4"/>
  <c r="D134" i="4"/>
  <c r="C134" i="4"/>
  <c r="H133" i="4"/>
  <c r="F133" i="4"/>
  <c r="E133" i="4"/>
  <c r="D133" i="4"/>
  <c r="C133" i="4"/>
  <c r="H132" i="4"/>
  <c r="G132" i="4"/>
  <c r="F132" i="4"/>
  <c r="E132" i="4"/>
  <c r="D132" i="4"/>
  <c r="C132" i="4"/>
  <c r="H131" i="4"/>
  <c r="F131" i="4"/>
  <c r="E131" i="4"/>
  <c r="D131" i="4"/>
  <c r="C131" i="4"/>
  <c r="H130" i="4"/>
  <c r="F130" i="4"/>
  <c r="E130" i="4"/>
  <c r="D130" i="4"/>
  <c r="C130" i="4"/>
  <c r="H129" i="4"/>
  <c r="F129" i="4"/>
  <c r="E129" i="4"/>
  <c r="D129" i="4"/>
  <c r="C129" i="4"/>
  <c r="H128" i="4"/>
  <c r="F128" i="4"/>
  <c r="E128" i="4"/>
  <c r="D128" i="4"/>
  <c r="C128" i="4"/>
  <c r="H127" i="4"/>
  <c r="G127" i="4"/>
  <c r="F127" i="4"/>
  <c r="E127" i="4"/>
  <c r="D127" i="4"/>
  <c r="C127" i="4"/>
  <c r="H126" i="4"/>
  <c r="F126" i="4"/>
  <c r="E126" i="4"/>
  <c r="D126" i="4"/>
  <c r="C126" i="4"/>
  <c r="H125" i="4"/>
  <c r="F125" i="4"/>
  <c r="E125" i="4"/>
  <c r="D125" i="4"/>
  <c r="C125" i="4"/>
  <c r="H124" i="4"/>
  <c r="F124" i="4"/>
  <c r="E124" i="4"/>
  <c r="D124" i="4"/>
  <c r="C124" i="4"/>
  <c r="H123" i="4"/>
  <c r="F123" i="4"/>
  <c r="E123" i="4"/>
  <c r="D123" i="4"/>
  <c r="C123" i="4"/>
  <c r="H122" i="4"/>
  <c r="F122" i="4"/>
  <c r="E122" i="4"/>
  <c r="D122" i="4"/>
  <c r="C122" i="4"/>
  <c r="H121" i="4"/>
  <c r="F121" i="4"/>
  <c r="E121" i="4"/>
  <c r="D121" i="4"/>
  <c r="C121" i="4"/>
  <c r="H120" i="4"/>
  <c r="G120" i="4"/>
  <c r="F120" i="4"/>
  <c r="E120" i="4"/>
  <c r="D120" i="4"/>
  <c r="C120" i="4"/>
  <c r="H119" i="4"/>
  <c r="F119" i="4"/>
  <c r="E119" i="4"/>
  <c r="D119" i="4"/>
  <c r="C119" i="4"/>
  <c r="H118" i="4"/>
  <c r="F118" i="4"/>
  <c r="E118" i="4"/>
  <c r="D118" i="4"/>
  <c r="C118" i="4"/>
  <c r="H117" i="4"/>
  <c r="F117" i="4"/>
  <c r="E117" i="4"/>
  <c r="D117" i="4"/>
  <c r="C117" i="4"/>
  <c r="H116" i="4"/>
  <c r="F116" i="4"/>
  <c r="E116" i="4"/>
  <c r="D116" i="4"/>
  <c r="C116" i="4"/>
  <c r="H115" i="4"/>
  <c r="F115" i="4"/>
  <c r="E115" i="4"/>
  <c r="D115" i="4"/>
  <c r="C115" i="4"/>
  <c r="H114" i="4"/>
  <c r="G114" i="4"/>
  <c r="F114" i="4"/>
  <c r="E114" i="4"/>
  <c r="D114" i="4"/>
  <c r="C114" i="4"/>
  <c r="H113" i="4"/>
  <c r="F113" i="4"/>
  <c r="E113" i="4"/>
  <c r="D113" i="4"/>
  <c r="C113" i="4"/>
  <c r="H112" i="4"/>
  <c r="G112" i="4"/>
  <c r="F112" i="4"/>
  <c r="E112" i="4"/>
  <c r="D112" i="4"/>
  <c r="C112" i="4"/>
  <c r="H111" i="4"/>
  <c r="F111" i="4"/>
  <c r="E111" i="4"/>
  <c r="D111" i="4"/>
  <c r="C111" i="4"/>
  <c r="H110" i="4"/>
  <c r="G110" i="4"/>
  <c r="F110" i="4"/>
  <c r="E110" i="4"/>
  <c r="D110" i="4"/>
  <c r="C110" i="4"/>
  <c r="H109" i="4"/>
  <c r="F109" i="4"/>
  <c r="E109" i="4"/>
  <c r="D109" i="4"/>
  <c r="C109" i="4"/>
  <c r="H108" i="4"/>
  <c r="G108" i="4"/>
  <c r="F108" i="4"/>
  <c r="E108" i="4"/>
  <c r="D108" i="4"/>
  <c r="C108" i="4"/>
  <c r="H107" i="4"/>
  <c r="F107" i="4"/>
  <c r="E107" i="4"/>
  <c r="D107" i="4"/>
  <c r="C107" i="4"/>
  <c r="H106" i="4"/>
  <c r="F106" i="4"/>
  <c r="E106" i="4"/>
  <c r="D106" i="4"/>
  <c r="C106" i="4"/>
  <c r="H105" i="4"/>
  <c r="F105" i="4"/>
  <c r="E105" i="4"/>
  <c r="D105" i="4"/>
  <c r="C105" i="4"/>
  <c r="H104" i="4"/>
  <c r="G104" i="4"/>
  <c r="F104" i="4"/>
  <c r="E104" i="4"/>
  <c r="D104" i="4"/>
  <c r="C104" i="4"/>
  <c r="H103" i="4"/>
  <c r="F103" i="4"/>
  <c r="E103" i="4"/>
  <c r="D103" i="4"/>
  <c r="C103" i="4"/>
  <c r="H102" i="4"/>
  <c r="G102" i="4"/>
  <c r="F102" i="4"/>
  <c r="E102" i="4"/>
  <c r="D102" i="4"/>
  <c r="C102" i="4"/>
  <c r="H101" i="4"/>
  <c r="F101" i="4"/>
  <c r="E101" i="4"/>
  <c r="D101" i="4"/>
  <c r="C101" i="4"/>
  <c r="H100" i="4"/>
  <c r="F100" i="4"/>
  <c r="E100" i="4"/>
  <c r="D100" i="4"/>
  <c r="C100" i="4"/>
  <c r="H99" i="4"/>
  <c r="G99" i="4"/>
  <c r="F99" i="4"/>
  <c r="E99" i="4"/>
  <c r="D99" i="4"/>
  <c r="C99" i="4"/>
  <c r="H98" i="4"/>
  <c r="G98" i="4"/>
  <c r="F98" i="4"/>
  <c r="E98" i="4"/>
  <c r="D98" i="4"/>
  <c r="C98" i="4"/>
  <c r="H97" i="4"/>
  <c r="F97" i="4"/>
  <c r="E97" i="4"/>
  <c r="D97" i="4"/>
  <c r="C97" i="4"/>
  <c r="H96" i="4"/>
  <c r="F96" i="4"/>
  <c r="E96" i="4"/>
  <c r="D96" i="4"/>
  <c r="C96" i="4"/>
  <c r="H95" i="4"/>
  <c r="F95" i="4"/>
  <c r="E95" i="4"/>
  <c r="D95" i="4"/>
  <c r="C95" i="4"/>
  <c r="H94" i="4"/>
  <c r="F94" i="4"/>
  <c r="E94" i="4"/>
  <c r="D94" i="4"/>
  <c r="C94" i="4"/>
  <c r="H93" i="4"/>
  <c r="F93" i="4"/>
  <c r="E93" i="4"/>
  <c r="D93" i="4"/>
  <c r="C93" i="4"/>
  <c r="H92" i="4"/>
  <c r="G92" i="4"/>
  <c r="F92" i="4"/>
  <c r="E92" i="4"/>
  <c r="D92" i="4"/>
  <c r="C92" i="4"/>
  <c r="H91" i="4"/>
  <c r="F91" i="4"/>
  <c r="E91" i="4"/>
  <c r="D91" i="4"/>
  <c r="C91" i="4"/>
  <c r="H90" i="4"/>
  <c r="G90" i="4"/>
  <c r="F90" i="4"/>
  <c r="E90" i="4"/>
  <c r="D90" i="4"/>
  <c r="C90" i="4"/>
  <c r="H89" i="4"/>
  <c r="G89" i="4"/>
  <c r="F89" i="4"/>
  <c r="E89" i="4"/>
  <c r="D89" i="4"/>
  <c r="C89" i="4"/>
  <c r="H88" i="4"/>
  <c r="F88" i="4"/>
  <c r="E88" i="4"/>
  <c r="D88" i="4"/>
  <c r="C88" i="4"/>
  <c r="H87" i="4"/>
  <c r="F87" i="4"/>
  <c r="E87" i="4"/>
  <c r="D87" i="4"/>
  <c r="C87" i="4"/>
  <c r="H86" i="4"/>
  <c r="G86" i="4"/>
  <c r="F86" i="4"/>
  <c r="E86" i="4"/>
  <c r="D86" i="4"/>
  <c r="C86" i="4"/>
  <c r="H85" i="4"/>
  <c r="F85" i="4"/>
  <c r="E85" i="4"/>
  <c r="D85" i="4"/>
  <c r="C85" i="4"/>
  <c r="H84" i="4"/>
  <c r="F84" i="4"/>
  <c r="E84" i="4"/>
  <c r="D84" i="4"/>
  <c r="C84" i="4"/>
  <c r="H83" i="4"/>
  <c r="F83" i="4"/>
  <c r="E83" i="4"/>
  <c r="D83" i="4"/>
  <c r="C83" i="4"/>
  <c r="H82" i="4"/>
  <c r="F82" i="4"/>
  <c r="E82" i="4"/>
  <c r="D82" i="4"/>
  <c r="C82" i="4"/>
  <c r="H81" i="4"/>
  <c r="F81" i="4"/>
  <c r="E81" i="4"/>
  <c r="D81" i="4"/>
  <c r="C81" i="4"/>
  <c r="H80" i="4"/>
  <c r="F80" i="4"/>
  <c r="E80" i="4"/>
  <c r="D80" i="4"/>
  <c r="C80" i="4"/>
  <c r="H79" i="4"/>
  <c r="G79" i="4"/>
  <c r="F79" i="4"/>
  <c r="E79" i="4"/>
  <c r="D79" i="4"/>
  <c r="C79" i="4"/>
  <c r="H78" i="4"/>
  <c r="G78" i="4"/>
  <c r="F78" i="4"/>
  <c r="E78" i="4"/>
  <c r="D78" i="4"/>
  <c r="C78" i="4"/>
  <c r="H77" i="4"/>
  <c r="G77" i="4"/>
  <c r="F77" i="4"/>
  <c r="E77" i="4"/>
  <c r="D77" i="4"/>
  <c r="C77" i="4"/>
  <c r="H76" i="4"/>
  <c r="F76" i="4"/>
  <c r="E76" i="4"/>
  <c r="D76" i="4"/>
  <c r="C76" i="4"/>
  <c r="H75" i="4"/>
  <c r="F75" i="4"/>
  <c r="E75" i="4"/>
  <c r="D75" i="4"/>
  <c r="C75" i="4"/>
  <c r="H74" i="4"/>
  <c r="F74" i="4"/>
  <c r="E74" i="4"/>
  <c r="D74" i="4"/>
  <c r="C74" i="4"/>
  <c r="H73" i="4"/>
  <c r="G73" i="4"/>
  <c r="F73" i="4"/>
  <c r="E73" i="4"/>
  <c r="D73" i="4"/>
  <c r="C73" i="4"/>
  <c r="H72" i="4"/>
  <c r="F72" i="4"/>
  <c r="E72" i="4"/>
  <c r="D72" i="4"/>
  <c r="C72" i="4"/>
  <c r="H71" i="4"/>
  <c r="F71" i="4"/>
  <c r="E71" i="4"/>
  <c r="D71" i="4"/>
  <c r="C71" i="4"/>
  <c r="H70" i="4"/>
  <c r="F70" i="4"/>
  <c r="E70" i="4"/>
  <c r="D70" i="4"/>
  <c r="C70" i="4"/>
  <c r="H69" i="4"/>
  <c r="G69" i="4"/>
  <c r="F69" i="4"/>
  <c r="E69" i="4"/>
  <c r="D69" i="4"/>
  <c r="C69" i="4"/>
  <c r="H68" i="4"/>
  <c r="F68" i="4"/>
  <c r="E68" i="4"/>
  <c r="D68" i="4"/>
  <c r="C68" i="4"/>
  <c r="H67" i="4"/>
  <c r="F67" i="4"/>
  <c r="E67" i="4"/>
  <c r="D67" i="4"/>
  <c r="C67" i="4"/>
  <c r="H66" i="4"/>
  <c r="F66" i="4"/>
  <c r="E66" i="4"/>
  <c r="D66" i="4"/>
  <c r="C66" i="4"/>
  <c r="H65" i="4"/>
  <c r="F65" i="4"/>
  <c r="E65" i="4"/>
  <c r="D65" i="4"/>
  <c r="C65" i="4"/>
  <c r="H64" i="4"/>
  <c r="F64" i="4"/>
  <c r="E64" i="4"/>
  <c r="D64" i="4"/>
  <c r="C64" i="4"/>
  <c r="H63" i="4"/>
  <c r="F63" i="4"/>
  <c r="E63" i="4"/>
  <c r="D63" i="4"/>
  <c r="C63" i="4"/>
  <c r="H62" i="4"/>
  <c r="G62" i="4"/>
  <c r="F62" i="4"/>
  <c r="E62" i="4"/>
  <c r="D62" i="4"/>
  <c r="C62" i="4"/>
  <c r="H61" i="4"/>
  <c r="G61" i="4"/>
  <c r="F61" i="4"/>
  <c r="E61" i="4"/>
  <c r="D61" i="4"/>
  <c r="C61" i="4"/>
  <c r="H60" i="4"/>
  <c r="F60" i="4"/>
  <c r="E60" i="4"/>
  <c r="D60" i="4"/>
  <c r="C60" i="4"/>
  <c r="H59" i="4"/>
  <c r="F59" i="4"/>
  <c r="E59" i="4"/>
  <c r="D59" i="4"/>
  <c r="C59" i="4"/>
  <c r="H58" i="4"/>
  <c r="G58" i="4"/>
  <c r="F58" i="4"/>
  <c r="E58" i="4"/>
  <c r="D58" i="4"/>
  <c r="C58" i="4"/>
  <c r="H57" i="4"/>
  <c r="F57" i="4"/>
  <c r="E57" i="4"/>
  <c r="D57" i="4"/>
  <c r="C57" i="4"/>
  <c r="H56" i="4"/>
  <c r="F56" i="4"/>
  <c r="E56" i="4"/>
  <c r="D56" i="4"/>
  <c r="C56" i="4"/>
  <c r="H55" i="4"/>
  <c r="F55" i="4"/>
  <c r="E55" i="4"/>
  <c r="D55" i="4"/>
  <c r="C55" i="4"/>
  <c r="H54" i="4"/>
  <c r="G54" i="4"/>
  <c r="F54" i="4"/>
  <c r="E54" i="4"/>
  <c r="D54" i="4"/>
  <c r="C54" i="4"/>
  <c r="H53" i="4"/>
  <c r="G53" i="4"/>
  <c r="F53" i="4"/>
  <c r="E53" i="4"/>
  <c r="D53" i="4"/>
  <c r="C53" i="4"/>
  <c r="H52" i="4"/>
  <c r="F52" i="4"/>
  <c r="E52" i="4"/>
  <c r="D52" i="4"/>
  <c r="C52" i="4"/>
  <c r="H51" i="4"/>
  <c r="F51" i="4"/>
  <c r="E51" i="4"/>
  <c r="D51" i="4"/>
  <c r="C51" i="4"/>
  <c r="H50" i="4"/>
  <c r="F50" i="4"/>
  <c r="E50" i="4"/>
  <c r="D50" i="4"/>
  <c r="C50" i="4"/>
  <c r="H49" i="4"/>
  <c r="G49" i="4"/>
  <c r="F49" i="4"/>
  <c r="E49" i="4"/>
  <c r="D49" i="4"/>
  <c r="C49" i="4"/>
  <c r="H48" i="4"/>
  <c r="F48" i="4"/>
  <c r="E48" i="4"/>
  <c r="D48" i="4"/>
  <c r="C48" i="4"/>
  <c r="H47" i="4"/>
  <c r="G47" i="4"/>
  <c r="F47" i="4"/>
  <c r="E47" i="4"/>
  <c r="D47" i="4"/>
  <c r="C47" i="4"/>
  <c r="H46" i="4"/>
  <c r="F46" i="4"/>
  <c r="E46" i="4"/>
  <c r="D46" i="4"/>
  <c r="C46" i="4"/>
  <c r="H45" i="4"/>
  <c r="F45" i="4"/>
  <c r="E45" i="4"/>
  <c r="D45" i="4"/>
  <c r="C45" i="4"/>
  <c r="H44" i="4"/>
  <c r="F44" i="4"/>
  <c r="E44" i="4"/>
  <c r="D44" i="4"/>
  <c r="C44" i="4"/>
  <c r="H43" i="4"/>
  <c r="G43" i="4"/>
  <c r="F43" i="4"/>
  <c r="E43" i="4"/>
  <c r="D43" i="4"/>
  <c r="C43" i="4"/>
  <c r="H42" i="4"/>
  <c r="F42" i="4"/>
  <c r="E42" i="4"/>
  <c r="D42" i="4"/>
  <c r="C42" i="4"/>
  <c r="H41" i="4"/>
  <c r="F41" i="4"/>
  <c r="E41" i="4"/>
  <c r="D41" i="4"/>
  <c r="C41" i="4"/>
  <c r="H40" i="4"/>
  <c r="F40" i="4"/>
  <c r="E40" i="4"/>
  <c r="D40" i="4"/>
  <c r="C40" i="4"/>
  <c r="H39" i="4"/>
  <c r="G39" i="4"/>
  <c r="F39" i="4"/>
  <c r="E39" i="4"/>
  <c r="D39" i="4"/>
  <c r="C39" i="4"/>
  <c r="H38" i="4"/>
  <c r="F38" i="4"/>
  <c r="E38" i="4"/>
  <c r="D38" i="4"/>
  <c r="C38" i="4"/>
  <c r="H37" i="4"/>
  <c r="F37" i="4"/>
  <c r="E37" i="4"/>
  <c r="D37" i="4"/>
  <c r="C37" i="4"/>
  <c r="H36" i="4"/>
  <c r="F36" i="4"/>
  <c r="E36" i="4"/>
  <c r="D36" i="4"/>
  <c r="C36" i="4"/>
  <c r="H35" i="4"/>
  <c r="F35" i="4"/>
  <c r="E35" i="4"/>
  <c r="D35" i="4"/>
  <c r="C35" i="4"/>
  <c r="H34" i="4"/>
  <c r="F34" i="4"/>
  <c r="E34" i="4"/>
  <c r="D34" i="4"/>
  <c r="C34" i="4"/>
  <c r="H33" i="4"/>
  <c r="F33" i="4"/>
  <c r="E33" i="4"/>
  <c r="D33" i="4"/>
  <c r="C33" i="4"/>
  <c r="H32" i="4"/>
  <c r="F32" i="4"/>
  <c r="E32" i="4"/>
  <c r="D32" i="4"/>
  <c r="C32" i="4"/>
  <c r="H31" i="4"/>
  <c r="F31" i="4"/>
  <c r="E31" i="4"/>
  <c r="D31" i="4"/>
  <c r="C31" i="4"/>
  <c r="H30" i="4"/>
  <c r="F30" i="4"/>
  <c r="E30" i="4"/>
  <c r="D30" i="4"/>
  <c r="C30" i="4"/>
  <c r="H29" i="4"/>
  <c r="F29" i="4"/>
  <c r="E29" i="4"/>
  <c r="D29" i="4"/>
  <c r="C29" i="4"/>
  <c r="H28" i="4"/>
  <c r="G28" i="4"/>
  <c r="F28" i="4"/>
  <c r="E28" i="4"/>
  <c r="D28" i="4"/>
  <c r="C28" i="4"/>
  <c r="H27" i="4"/>
  <c r="F27" i="4"/>
  <c r="E27" i="4"/>
  <c r="D27" i="4"/>
  <c r="C27" i="4"/>
  <c r="H26" i="4"/>
  <c r="G26" i="4"/>
  <c r="F26" i="4"/>
  <c r="E26" i="4"/>
  <c r="D26" i="4"/>
  <c r="C26" i="4"/>
  <c r="H25" i="4"/>
  <c r="F25" i="4"/>
  <c r="E25" i="4"/>
  <c r="D25" i="4"/>
  <c r="C25" i="4"/>
  <c r="H24" i="4"/>
  <c r="F24" i="4"/>
  <c r="E24" i="4"/>
  <c r="D24" i="4"/>
  <c r="C24" i="4"/>
  <c r="H23" i="4"/>
  <c r="G23" i="4"/>
  <c r="F23" i="4"/>
  <c r="E23" i="4"/>
  <c r="D23" i="4"/>
  <c r="C23" i="4"/>
  <c r="H22" i="4"/>
  <c r="F22" i="4"/>
  <c r="E22" i="4"/>
  <c r="D22" i="4"/>
  <c r="C22" i="4"/>
  <c r="H21" i="4"/>
  <c r="F21" i="4"/>
  <c r="E21" i="4"/>
  <c r="D21" i="4"/>
  <c r="C21" i="4"/>
  <c r="H20" i="4"/>
  <c r="F20" i="4"/>
  <c r="E20" i="4"/>
  <c r="D20" i="4"/>
  <c r="C20" i="4"/>
  <c r="H19" i="4"/>
  <c r="F19" i="4"/>
  <c r="E19" i="4"/>
  <c r="D19" i="4"/>
  <c r="C19" i="4"/>
  <c r="H18" i="4"/>
  <c r="F18" i="4"/>
  <c r="E18" i="4"/>
  <c r="D18" i="4"/>
  <c r="C18" i="4"/>
  <c r="H17" i="4"/>
  <c r="F17" i="4"/>
  <c r="E17" i="4"/>
  <c r="D17" i="4"/>
  <c r="C17" i="4"/>
  <c r="H16" i="4"/>
  <c r="F16" i="4"/>
  <c r="E16" i="4"/>
  <c r="D16" i="4"/>
  <c r="C16" i="4"/>
  <c r="H15" i="4"/>
  <c r="F15" i="4"/>
  <c r="E15" i="4"/>
  <c r="D15" i="4"/>
  <c r="C15" i="4"/>
  <c r="H202" i="3"/>
  <c r="G202" i="3"/>
  <c r="F202" i="3"/>
  <c r="E202" i="3"/>
  <c r="D202" i="3"/>
  <c r="C202" i="3"/>
  <c r="H201" i="3"/>
  <c r="G201" i="3"/>
  <c r="F201" i="3"/>
  <c r="E201" i="3"/>
  <c r="D201" i="3"/>
  <c r="C201" i="3"/>
  <c r="H200" i="3"/>
  <c r="G200" i="3"/>
  <c r="F200" i="3"/>
  <c r="E200" i="3"/>
  <c r="D200" i="3"/>
  <c r="C200" i="3"/>
  <c r="H199" i="3"/>
  <c r="G199" i="3"/>
  <c r="F199" i="3"/>
  <c r="E199" i="3"/>
  <c r="D199" i="3"/>
  <c r="C199" i="3"/>
  <c r="H198" i="3"/>
  <c r="G198" i="3"/>
  <c r="F198" i="3"/>
  <c r="E198" i="3"/>
  <c r="D198" i="3"/>
  <c r="C198" i="3"/>
  <c r="H197" i="3"/>
  <c r="G197" i="3"/>
  <c r="F197" i="3"/>
  <c r="E197" i="3"/>
  <c r="D197" i="3"/>
  <c r="C197" i="3"/>
  <c r="H196" i="3"/>
  <c r="G196" i="3"/>
  <c r="F196" i="3"/>
  <c r="E196" i="3"/>
  <c r="D196" i="3"/>
  <c r="C196" i="3"/>
  <c r="H195" i="3"/>
  <c r="G195" i="3"/>
  <c r="F195" i="3"/>
  <c r="E195" i="3"/>
  <c r="D195" i="3"/>
  <c r="C195" i="3"/>
  <c r="H194" i="3"/>
  <c r="G194" i="3"/>
  <c r="F194" i="3"/>
  <c r="E194" i="3"/>
  <c r="D194" i="3"/>
  <c r="C194" i="3"/>
  <c r="H193" i="3"/>
  <c r="G193" i="3"/>
  <c r="F193" i="3"/>
  <c r="E193" i="3"/>
  <c r="D193" i="3"/>
  <c r="C193" i="3"/>
  <c r="H192" i="3"/>
  <c r="G192" i="3"/>
  <c r="F192" i="3"/>
  <c r="E192" i="3"/>
  <c r="D192" i="3"/>
  <c r="C192" i="3"/>
  <c r="H191" i="3"/>
  <c r="G191" i="3"/>
  <c r="F191" i="3"/>
  <c r="E191" i="3"/>
  <c r="D191" i="3"/>
  <c r="C191" i="3"/>
  <c r="H190" i="3"/>
  <c r="G190" i="3"/>
  <c r="F190" i="3"/>
  <c r="E190" i="3"/>
  <c r="D190" i="3"/>
  <c r="C190" i="3"/>
  <c r="H189" i="3"/>
  <c r="G189" i="3"/>
  <c r="F189" i="3"/>
  <c r="E189" i="3"/>
  <c r="D189" i="3"/>
  <c r="C189" i="3"/>
  <c r="H188" i="3"/>
  <c r="G188" i="3"/>
  <c r="F188" i="3"/>
  <c r="E188" i="3"/>
  <c r="D188" i="3"/>
  <c r="C188" i="3"/>
  <c r="H187" i="3"/>
  <c r="G187" i="3"/>
  <c r="F187" i="3"/>
  <c r="E187" i="3"/>
  <c r="D187" i="3"/>
  <c r="C187" i="3"/>
  <c r="H186" i="3"/>
  <c r="G186" i="3"/>
  <c r="F186" i="3"/>
  <c r="E186" i="3"/>
  <c r="D186" i="3"/>
  <c r="C186" i="3"/>
  <c r="H185" i="3"/>
  <c r="G185" i="3"/>
  <c r="F185" i="3"/>
  <c r="E185" i="3"/>
  <c r="D185" i="3"/>
  <c r="C185" i="3"/>
  <c r="H184" i="3"/>
  <c r="G184" i="3"/>
  <c r="F184" i="3"/>
  <c r="E184" i="3"/>
  <c r="D184" i="3"/>
  <c r="C184" i="3"/>
  <c r="H183" i="3"/>
  <c r="G183" i="3"/>
  <c r="F183" i="3"/>
  <c r="E183" i="3"/>
  <c r="D183" i="3"/>
  <c r="C183" i="3"/>
  <c r="H182" i="3"/>
  <c r="G182" i="3"/>
  <c r="F182" i="3"/>
  <c r="E182" i="3"/>
  <c r="D182" i="3"/>
  <c r="C182" i="3"/>
  <c r="H181" i="3"/>
  <c r="G181" i="3"/>
  <c r="F181" i="3"/>
  <c r="E181" i="3"/>
  <c r="D181" i="3"/>
  <c r="C181" i="3"/>
  <c r="H180" i="3"/>
  <c r="G180" i="3"/>
  <c r="F180" i="3"/>
  <c r="E180" i="3"/>
  <c r="D180" i="3"/>
  <c r="C180" i="3"/>
  <c r="H179" i="3"/>
  <c r="G179" i="3"/>
  <c r="F179" i="3"/>
  <c r="E179" i="3"/>
  <c r="D179" i="3"/>
  <c r="C179" i="3"/>
  <c r="H178" i="3"/>
  <c r="G178" i="3"/>
  <c r="F178" i="3"/>
  <c r="E178" i="3"/>
  <c r="D178" i="3"/>
  <c r="C178" i="3"/>
  <c r="H177" i="3"/>
  <c r="G177" i="3"/>
  <c r="F177" i="3"/>
  <c r="E177" i="3"/>
  <c r="D177" i="3"/>
  <c r="C177" i="3"/>
  <c r="H176" i="3"/>
  <c r="G176" i="3"/>
  <c r="F176" i="3"/>
  <c r="E176" i="3"/>
  <c r="D176" i="3"/>
  <c r="C176" i="3"/>
  <c r="H175" i="3"/>
  <c r="G175" i="3"/>
  <c r="F175" i="3"/>
  <c r="E175" i="3"/>
  <c r="D175" i="3"/>
  <c r="C175" i="3"/>
  <c r="H174" i="3"/>
  <c r="G174" i="3"/>
  <c r="F174" i="3"/>
  <c r="E174" i="3"/>
  <c r="D174" i="3"/>
  <c r="C174" i="3"/>
  <c r="H173" i="3"/>
  <c r="G173" i="3"/>
  <c r="F173" i="3"/>
  <c r="E173" i="3"/>
  <c r="D173" i="3"/>
  <c r="C173" i="3"/>
  <c r="H172" i="3"/>
  <c r="G172" i="3"/>
  <c r="F172" i="3"/>
  <c r="E172" i="3"/>
  <c r="D172" i="3"/>
  <c r="C172" i="3"/>
  <c r="H171" i="3"/>
  <c r="G171" i="3"/>
  <c r="F171" i="3"/>
  <c r="E171" i="3"/>
  <c r="D171" i="3"/>
  <c r="C171" i="3"/>
  <c r="H170" i="3"/>
  <c r="G170" i="3"/>
  <c r="F170" i="3"/>
  <c r="E170" i="3"/>
  <c r="D170" i="3"/>
  <c r="C170" i="3"/>
  <c r="H169" i="3"/>
  <c r="G169" i="3"/>
  <c r="F169" i="3"/>
  <c r="E169" i="3"/>
  <c r="D169" i="3"/>
  <c r="C169" i="3"/>
  <c r="H168" i="3"/>
  <c r="G168" i="3"/>
  <c r="F168" i="3"/>
  <c r="E168" i="3"/>
  <c r="D168" i="3"/>
  <c r="C168" i="3"/>
  <c r="H167" i="3"/>
  <c r="G167" i="3"/>
  <c r="F167" i="3"/>
  <c r="E167" i="3"/>
  <c r="D167" i="3"/>
  <c r="C167" i="3"/>
  <c r="I166" i="3"/>
  <c r="H166" i="3"/>
  <c r="G166" i="3"/>
  <c r="F166" i="3"/>
  <c r="E166" i="3"/>
  <c r="D166" i="3"/>
  <c r="C166" i="3"/>
  <c r="H165" i="3"/>
  <c r="G165" i="3"/>
  <c r="F165" i="3"/>
  <c r="E165" i="3"/>
  <c r="D165" i="3"/>
  <c r="C165" i="3"/>
  <c r="H164" i="3"/>
  <c r="G164" i="3"/>
  <c r="F164" i="3"/>
  <c r="E164" i="3"/>
  <c r="D164" i="3"/>
  <c r="C164" i="3"/>
  <c r="H163" i="3"/>
  <c r="G163" i="3"/>
  <c r="F163" i="3"/>
  <c r="E163" i="3"/>
  <c r="D163" i="3"/>
  <c r="C163" i="3"/>
  <c r="H162" i="3"/>
  <c r="G162" i="3"/>
  <c r="F162" i="3"/>
  <c r="E162" i="3"/>
  <c r="D162" i="3"/>
  <c r="C162" i="3"/>
  <c r="H161" i="3"/>
  <c r="G161" i="3"/>
  <c r="F161" i="3"/>
  <c r="E161" i="3"/>
  <c r="D161" i="3"/>
  <c r="C161" i="3"/>
  <c r="H160" i="3"/>
  <c r="G160" i="3"/>
  <c r="F160" i="3"/>
  <c r="E160" i="3"/>
  <c r="D160" i="3"/>
  <c r="C160" i="3"/>
  <c r="H159" i="3"/>
  <c r="G159" i="3"/>
  <c r="F159" i="3"/>
  <c r="E159" i="3"/>
  <c r="D159" i="3"/>
  <c r="C159" i="3"/>
  <c r="H158" i="3"/>
  <c r="G158" i="3"/>
  <c r="F158" i="3"/>
  <c r="E158" i="3"/>
  <c r="D158" i="3"/>
  <c r="C158" i="3"/>
  <c r="H157" i="3"/>
  <c r="G157" i="3"/>
  <c r="F157" i="3"/>
  <c r="E157" i="3"/>
  <c r="D157" i="3"/>
  <c r="C157" i="3"/>
  <c r="H156" i="3"/>
  <c r="G156" i="3"/>
  <c r="F156" i="3"/>
  <c r="E156" i="3"/>
  <c r="D156" i="3"/>
  <c r="C156" i="3"/>
  <c r="H155" i="3"/>
  <c r="G155" i="3"/>
  <c r="F155" i="3"/>
  <c r="E155" i="3"/>
  <c r="D155" i="3"/>
  <c r="C155" i="3"/>
  <c r="H154" i="3"/>
  <c r="G154" i="3"/>
  <c r="F154" i="3"/>
  <c r="E154" i="3"/>
  <c r="D154" i="3"/>
  <c r="C154" i="3"/>
  <c r="H153" i="3"/>
  <c r="G153" i="3"/>
  <c r="F153" i="3"/>
  <c r="E153" i="3"/>
  <c r="D153" i="3"/>
  <c r="C153" i="3"/>
  <c r="H152" i="3"/>
  <c r="G152" i="3"/>
  <c r="F152" i="3"/>
  <c r="E152" i="3"/>
  <c r="D152" i="3"/>
  <c r="C152" i="3"/>
  <c r="H151" i="3"/>
  <c r="G151" i="3"/>
  <c r="F151" i="3"/>
  <c r="E151" i="3"/>
  <c r="D151" i="3"/>
  <c r="C151" i="3"/>
  <c r="H150" i="3"/>
  <c r="G150" i="3"/>
  <c r="F150" i="3"/>
  <c r="E150" i="3"/>
  <c r="D150" i="3"/>
  <c r="C150" i="3"/>
  <c r="H149" i="3"/>
  <c r="G149" i="3"/>
  <c r="F149" i="3"/>
  <c r="E149" i="3"/>
  <c r="D149" i="3"/>
  <c r="C149" i="3"/>
  <c r="H148" i="3"/>
  <c r="G148" i="3"/>
  <c r="F148" i="3"/>
  <c r="E148" i="3"/>
  <c r="D148" i="3"/>
  <c r="C148" i="3"/>
  <c r="H147" i="3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3" i="3"/>
  <c r="G143" i="3"/>
  <c r="F143" i="3"/>
  <c r="E143" i="3"/>
  <c r="D143" i="3"/>
  <c r="C143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I138" i="3"/>
  <c r="H138" i="3"/>
  <c r="G138" i="3"/>
  <c r="F138" i="3"/>
  <c r="E138" i="3"/>
  <c r="D138" i="3"/>
  <c r="C138" i="3"/>
  <c r="H137" i="3"/>
  <c r="G137" i="3"/>
  <c r="F137" i="3"/>
  <c r="E137" i="3"/>
  <c r="D137" i="3"/>
  <c r="C137" i="3"/>
  <c r="H135" i="3"/>
  <c r="G135" i="3"/>
  <c r="F135" i="3"/>
  <c r="E135" i="3"/>
  <c r="D135" i="3"/>
  <c r="C135" i="3"/>
  <c r="H134" i="3"/>
  <c r="G134" i="3"/>
  <c r="F134" i="3"/>
  <c r="E134" i="3"/>
  <c r="D134" i="3"/>
  <c r="C134" i="3"/>
  <c r="H133" i="3"/>
  <c r="G133" i="3"/>
  <c r="F133" i="3"/>
  <c r="E133" i="3"/>
  <c r="D133" i="3"/>
  <c r="C133" i="3"/>
  <c r="A133" i="3"/>
  <c r="H132" i="3"/>
  <c r="G132" i="3"/>
  <c r="F132" i="3"/>
  <c r="E132" i="3"/>
  <c r="D132" i="3"/>
  <c r="C132" i="3"/>
  <c r="H131" i="3"/>
  <c r="G131" i="3"/>
  <c r="F131" i="3"/>
  <c r="E131" i="3"/>
  <c r="D131" i="3"/>
  <c r="C131" i="3"/>
  <c r="H130" i="3"/>
  <c r="G130" i="3"/>
  <c r="F130" i="3"/>
  <c r="E130" i="3"/>
  <c r="D130" i="3"/>
  <c r="C130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19" i="3"/>
  <c r="G119" i="3"/>
  <c r="F119" i="3"/>
  <c r="E119" i="3"/>
  <c r="D119" i="3"/>
  <c r="C119" i="3"/>
  <c r="H118" i="3"/>
  <c r="G118" i="3"/>
  <c r="F118" i="3"/>
  <c r="E118" i="3"/>
  <c r="D118" i="3"/>
  <c r="C118" i="3"/>
  <c r="H117" i="3"/>
  <c r="G117" i="3"/>
  <c r="F117" i="3"/>
  <c r="E117" i="3"/>
  <c r="D117" i="3"/>
  <c r="C117" i="3"/>
  <c r="H116" i="3"/>
  <c r="G116" i="3"/>
  <c r="F116" i="3"/>
  <c r="E116" i="3"/>
  <c r="D116" i="3"/>
  <c r="C116" i="3"/>
  <c r="H115" i="3"/>
  <c r="G115" i="3"/>
  <c r="F115" i="3"/>
  <c r="E115" i="3"/>
  <c r="D115" i="3"/>
  <c r="C115" i="3"/>
  <c r="H114" i="3"/>
  <c r="G114" i="3"/>
  <c r="F114" i="3"/>
  <c r="E114" i="3"/>
  <c r="D114" i="3"/>
  <c r="C114" i="3"/>
  <c r="H113" i="3"/>
  <c r="G113" i="3"/>
  <c r="F113" i="3"/>
  <c r="E113" i="3"/>
  <c r="D113" i="3"/>
  <c r="C113" i="3"/>
  <c r="H111" i="3"/>
  <c r="G111" i="3"/>
  <c r="F111" i="3"/>
  <c r="E111" i="3"/>
  <c r="D111" i="3"/>
  <c r="C111" i="3"/>
  <c r="H110" i="3"/>
  <c r="G110" i="3"/>
  <c r="F110" i="3"/>
  <c r="E110" i="3"/>
  <c r="D110" i="3"/>
  <c r="C110" i="3"/>
  <c r="H109" i="3"/>
  <c r="G109" i="3"/>
  <c r="F109" i="3"/>
  <c r="E109" i="3"/>
  <c r="D109" i="3"/>
  <c r="C109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H106" i="3"/>
  <c r="G106" i="3"/>
  <c r="F106" i="3"/>
  <c r="E106" i="3"/>
  <c r="D106" i="3"/>
  <c r="C106" i="3"/>
  <c r="H105" i="3"/>
  <c r="G105" i="3"/>
  <c r="F105" i="3"/>
  <c r="E105" i="3"/>
  <c r="D105" i="3"/>
  <c r="C105" i="3"/>
  <c r="H104" i="3"/>
  <c r="G104" i="3"/>
  <c r="F104" i="3"/>
  <c r="E104" i="3"/>
  <c r="D104" i="3"/>
  <c r="C104" i="3"/>
  <c r="H103" i="3"/>
  <c r="G103" i="3"/>
  <c r="F103" i="3"/>
  <c r="E103" i="3"/>
  <c r="D103" i="3"/>
  <c r="C103" i="3"/>
  <c r="H102" i="3"/>
  <c r="G102" i="3"/>
  <c r="F102" i="3"/>
  <c r="E102" i="3"/>
  <c r="D102" i="3"/>
  <c r="C102" i="3"/>
  <c r="H101" i="3"/>
  <c r="G101" i="3"/>
  <c r="F101" i="3"/>
  <c r="E101" i="3"/>
  <c r="D101" i="3"/>
  <c r="C101" i="3"/>
  <c r="H100" i="3"/>
  <c r="G100" i="3"/>
  <c r="F100" i="3"/>
  <c r="E100" i="3"/>
  <c r="D100" i="3"/>
  <c r="C100" i="3"/>
  <c r="H99" i="3"/>
  <c r="G99" i="3"/>
  <c r="F99" i="3"/>
  <c r="E99" i="3"/>
  <c r="D99" i="3"/>
  <c r="C99" i="3"/>
  <c r="H98" i="3"/>
  <c r="G98" i="3"/>
  <c r="F98" i="3"/>
  <c r="E98" i="3"/>
  <c r="D98" i="3"/>
  <c r="C98" i="3"/>
  <c r="H97" i="3"/>
  <c r="G97" i="3"/>
  <c r="F97" i="3"/>
  <c r="E97" i="3"/>
  <c r="D97" i="3"/>
  <c r="C97" i="3"/>
  <c r="H96" i="3"/>
  <c r="G96" i="3"/>
  <c r="F96" i="3"/>
  <c r="E96" i="3"/>
  <c r="D96" i="3"/>
  <c r="C96" i="3"/>
  <c r="H95" i="3"/>
  <c r="G95" i="3"/>
  <c r="F95" i="3"/>
  <c r="E95" i="3"/>
  <c r="D95" i="3"/>
  <c r="C95" i="3"/>
  <c r="H94" i="3"/>
  <c r="G94" i="3"/>
  <c r="F94" i="3"/>
  <c r="E94" i="3"/>
  <c r="D94" i="3"/>
  <c r="C94" i="3"/>
  <c r="H93" i="3"/>
  <c r="G93" i="3"/>
  <c r="F93" i="3"/>
  <c r="E93" i="3"/>
  <c r="D93" i="3"/>
  <c r="C93" i="3"/>
  <c r="H92" i="3"/>
  <c r="G92" i="3"/>
  <c r="F92" i="3"/>
  <c r="E92" i="3"/>
  <c r="D92" i="3"/>
  <c r="C92" i="3"/>
  <c r="H91" i="3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I30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AD209" i="1"/>
  <c r="AC209" i="1"/>
  <c r="AD208" i="1"/>
  <c r="AC208" i="1"/>
  <c r="A176" i="4" s="1"/>
  <c r="AD207" i="1"/>
  <c r="AC207" i="1"/>
  <c r="A20" i="5" s="1"/>
  <c r="AD206" i="1"/>
  <c r="AC206" i="1"/>
  <c r="A199" i="4" s="1"/>
  <c r="AD205" i="1"/>
  <c r="AC205" i="1"/>
  <c r="A18" i="5" s="1"/>
  <c r="AD204" i="1"/>
  <c r="AC204" i="1"/>
  <c r="AD203" i="1"/>
  <c r="AC203" i="1"/>
  <c r="AD202" i="1"/>
  <c r="AC202" i="1"/>
  <c r="AD201" i="1"/>
  <c r="I132" i="3" s="1"/>
  <c r="AC201" i="1"/>
  <c r="A18" i="4" s="1"/>
  <c r="AD200" i="1"/>
  <c r="I134" i="3" s="1"/>
  <c r="AC200" i="1"/>
  <c r="AD199" i="1"/>
  <c r="I131" i="3" s="1"/>
  <c r="AC199" i="1"/>
  <c r="AD198" i="1"/>
  <c r="I130" i="3" s="1"/>
  <c r="AC198" i="1"/>
  <c r="A19" i="4" s="1"/>
  <c r="AD197" i="1"/>
  <c r="I135" i="3" s="1"/>
  <c r="AC197" i="1"/>
  <c r="A198" i="4" s="1"/>
  <c r="AD196" i="1"/>
  <c r="I133" i="3" s="1"/>
  <c r="AC196" i="1"/>
  <c r="A28" i="4" s="1"/>
  <c r="AD195" i="1"/>
  <c r="AC195" i="1"/>
  <c r="AD194" i="1"/>
  <c r="I95" i="3" s="1"/>
  <c r="AC194" i="1"/>
  <c r="A16" i="4" s="1"/>
  <c r="AD193" i="1"/>
  <c r="I92" i="3" s="1"/>
  <c r="AC193" i="1"/>
  <c r="A20" i="4" s="1"/>
  <c r="AD192" i="1"/>
  <c r="I93" i="3" s="1"/>
  <c r="AC192" i="1"/>
  <c r="A21" i="4" s="1"/>
  <c r="AD191" i="1"/>
  <c r="I109" i="3" s="1"/>
  <c r="AC191" i="1"/>
  <c r="AD190" i="1"/>
  <c r="I104" i="3" s="1"/>
  <c r="AC190" i="1"/>
  <c r="A48" i="4" s="1"/>
  <c r="AD189" i="1"/>
  <c r="I111" i="3" s="1"/>
  <c r="AC189" i="1"/>
  <c r="A111" i="3" s="1"/>
  <c r="AD188" i="1"/>
  <c r="I105" i="3" s="1"/>
  <c r="AC188" i="1"/>
  <c r="A126" i="4" s="1"/>
  <c r="AD187" i="1"/>
  <c r="I94" i="3" s="1"/>
  <c r="AC187" i="1"/>
  <c r="A94" i="3" s="1"/>
  <c r="AD186" i="1"/>
  <c r="I100" i="3" s="1"/>
  <c r="AC186" i="1"/>
  <c r="A49" i="4" s="1"/>
  <c r="AD185" i="1"/>
  <c r="I106" i="3" s="1"/>
  <c r="AC185" i="1"/>
  <c r="A59" i="4" s="1"/>
  <c r="AD184" i="1"/>
  <c r="I91" i="3" s="1"/>
  <c r="AC184" i="1"/>
  <c r="AD183" i="1"/>
  <c r="I90" i="3" s="1"/>
  <c r="AC183" i="1"/>
  <c r="A24" i="4" s="1"/>
  <c r="AD182" i="1"/>
  <c r="I86" i="3" s="1"/>
  <c r="AC182" i="1"/>
  <c r="A22" i="4" s="1"/>
  <c r="AD181" i="1"/>
  <c r="I101" i="3" s="1"/>
  <c r="AC181" i="1"/>
  <c r="A101" i="3" s="1"/>
  <c r="AD180" i="1"/>
  <c r="I98" i="3" s="1"/>
  <c r="AC180" i="1"/>
  <c r="A40" i="4" s="1"/>
  <c r="AD179" i="1"/>
  <c r="I89" i="3" s="1"/>
  <c r="AC179" i="1"/>
  <c r="AD178" i="1"/>
  <c r="I85" i="3" s="1"/>
  <c r="AC178" i="1"/>
  <c r="A85" i="3" s="1"/>
  <c r="AD177" i="1"/>
  <c r="I107" i="3" s="1"/>
  <c r="AC177" i="1"/>
  <c r="A68" i="4" s="1"/>
  <c r="AD176" i="1"/>
  <c r="I87" i="3" s="1"/>
  <c r="AC176" i="1"/>
  <c r="A37" i="4" s="1"/>
  <c r="AD175" i="1"/>
  <c r="I97" i="3" s="1"/>
  <c r="AC175" i="1"/>
  <c r="AD174" i="1"/>
  <c r="I110" i="3" s="1"/>
  <c r="AC174" i="1"/>
  <c r="A110" i="3" s="1"/>
  <c r="AD173" i="1"/>
  <c r="I84" i="3" s="1"/>
  <c r="AC173" i="1"/>
  <c r="A84" i="3" s="1"/>
  <c r="AD172" i="1"/>
  <c r="I96" i="3" s="1"/>
  <c r="AC172" i="1"/>
  <c r="A39" i="4" s="1"/>
  <c r="AD171" i="1"/>
  <c r="I108" i="3" s="1"/>
  <c r="AC171" i="1"/>
  <c r="A140" i="4" s="1"/>
  <c r="AD170" i="1"/>
  <c r="I102" i="3" s="1"/>
  <c r="AC170" i="1"/>
  <c r="A60" i="4" s="1"/>
  <c r="AD169" i="1"/>
  <c r="I103" i="3" s="1"/>
  <c r="AC169" i="1"/>
  <c r="A76" i="4" s="1"/>
  <c r="AD168" i="1"/>
  <c r="I99" i="3" s="1"/>
  <c r="AC168" i="1"/>
  <c r="AD167" i="1"/>
  <c r="I88" i="3" s="1"/>
  <c r="AC167" i="1"/>
  <c r="A88" i="3" s="1"/>
  <c r="AD166" i="1"/>
  <c r="AC166" i="1"/>
  <c r="AD165" i="1"/>
  <c r="I128" i="3" s="1"/>
  <c r="AC165" i="1"/>
  <c r="A128" i="3" s="1"/>
  <c r="AD164" i="1"/>
  <c r="I116" i="3" s="1"/>
  <c r="AC164" i="1"/>
  <c r="AD163" i="1"/>
  <c r="I119" i="3" s="1"/>
  <c r="AC163" i="1"/>
  <c r="AD162" i="1"/>
  <c r="I117" i="3" s="1"/>
  <c r="AC162" i="1"/>
  <c r="A47" i="4" s="1"/>
  <c r="AD161" i="1"/>
  <c r="I124" i="3" s="1"/>
  <c r="AC161" i="1"/>
  <c r="A124" i="3" s="1"/>
  <c r="AD160" i="1"/>
  <c r="I121" i="3" s="1"/>
  <c r="AC160" i="1"/>
  <c r="AD159" i="1"/>
  <c r="I122" i="3" s="1"/>
  <c r="AC159" i="1"/>
  <c r="AD158" i="1"/>
  <c r="I114" i="3" s="1"/>
  <c r="AC158" i="1"/>
  <c r="A16" i="5" s="1"/>
  <c r="AD157" i="1"/>
  <c r="I115" i="3" s="1"/>
  <c r="AC157" i="1"/>
  <c r="A29" i="5" s="1"/>
  <c r="AD156" i="1"/>
  <c r="I125" i="3" s="1"/>
  <c r="AC156" i="1"/>
  <c r="AD155" i="1"/>
  <c r="I126" i="3" s="1"/>
  <c r="AC155" i="1"/>
  <c r="AD154" i="1"/>
  <c r="I118" i="3" s="1"/>
  <c r="AC154" i="1"/>
  <c r="A52" i="4" s="1"/>
  <c r="AD153" i="1"/>
  <c r="I113" i="3" s="1"/>
  <c r="AC153" i="1"/>
  <c r="A113" i="3" s="1"/>
  <c r="AD152" i="1"/>
  <c r="I123" i="3" s="1"/>
  <c r="AC152" i="1"/>
  <c r="A55" i="4" s="1"/>
  <c r="AD151" i="1"/>
  <c r="I120" i="3" s="1"/>
  <c r="AC151" i="1"/>
  <c r="A53" i="4" s="1"/>
  <c r="AD150" i="1"/>
  <c r="I127" i="3" s="1"/>
  <c r="AC150" i="1"/>
  <c r="A171" i="4" s="1"/>
  <c r="AD149" i="1"/>
  <c r="AC149" i="1"/>
  <c r="AD148" i="1"/>
  <c r="I79" i="3" s="1"/>
  <c r="AC148" i="1"/>
  <c r="AD147" i="1"/>
  <c r="I33" i="3" s="1"/>
  <c r="AC147" i="1"/>
  <c r="AD146" i="1"/>
  <c r="I40" i="3" s="1"/>
  <c r="AC146" i="1"/>
  <c r="A40" i="3" s="1"/>
  <c r="AD145" i="1"/>
  <c r="I82" i="3" s="1"/>
  <c r="AC145" i="1"/>
  <c r="A82" i="3" s="1"/>
  <c r="AD144" i="1"/>
  <c r="I58" i="3" s="1"/>
  <c r="AC144" i="1"/>
  <c r="AD143" i="1"/>
  <c r="I35" i="3" s="1"/>
  <c r="AC143" i="1"/>
  <c r="A32" i="4" s="1"/>
  <c r="AD142" i="1"/>
  <c r="I26" i="3" s="1"/>
  <c r="AC142" i="1"/>
  <c r="A26" i="3" s="1"/>
  <c r="AD141" i="1"/>
  <c r="I60" i="3" s="1"/>
  <c r="AC141" i="1"/>
  <c r="A60" i="3" s="1"/>
  <c r="AD140" i="1"/>
  <c r="I37" i="3" s="1"/>
  <c r="AC140" i="1"/>
  <c r="A37" i="3" s="1"/>
  <c r="AD139" i="1"/>
  <c r="I24" i="3" s="1"/>
  <c r="AC139" i="1"/>
  <c r="A24" i="3" s="1"/>
  <c r="AD138" i="1"/>
  <c r="AC138" i="1"/>
  <c r="AD137" i="1"/>
  <c r="I6" i="3" s="1"/>
  <c r="AC137" i="1"/>
  <c r="A58" i="4" s="1"/>
  <c r="AD136" i="1"/>
  <c r="I8" i="3" s="1"/>
  <c r="AC136" i="1"/>
  <c r="A62" i="4" s="1"/>
  <c r="AD135" i="1"/>
  <c r="I44" i="3" s="1"/>
  <c r="AC135" i="1"/>
  <c r="A67" i="4" s="1"/>
  <c r="AD134" i="1"/>
  <c r="I56" i="3" s="1"/>
  <c r="AC134" i="1"/>
  <c r="A72" i="4" s="1"/>
  <c r="AD133" i="1"/>
  <c r="I11" i="3" s="1"/>
  <c r="AC133" i="1"/>
  <c r="A11" i="3" s="1"/>
  <c r="AD132" i="1"/>
  <c r="I17" i="3" s="1"/>
  <c r="AC132" i="1"/>
  <c r="A63" i="4" s="1"/>
  <c r="AD131" i="1"/>
  <c r="I28" i="3" s="1"/>
  <c r="AC131" i="1"/>
  <c r="AD130" i="1"/>
  <c r="I54" i="3" s="1"/>
  <c r="AC130" i="1"/>
  <c r="A115" i="4" s="1"/>
  <c r="AD129" i="1"/>
  <c r="I20" i="3" s="1"/>
  <c r="AC129" i="1"/>
  <c r="A66" i="4" s="1"/>
  <c r="AD128" i="1"/>
  <c r="I13" i="3" s="1"/>
  <c r="AC128" i="1"/>
  <c r="AD127" i="1"/>
  <c r="I10" i="3" s="1"/>
  <c r="AC127" i="1"/>
  <c r="AD126" i="1"/>
  <c r="I16" i="3" s="1"/>
  <c r="AC126" i="1"/>
  <c r="A98" i="4" s="1"/>
  <c r="AD125" i="1"/>
  <c r="AC125" i="1"/>
  <c r="A30" i="3" s="1"/>
  <c r="AD124" i="1"/>
  <c r="I27" i="3" s="1"/>
  <c r="AC124" i="1"/>
  <c r="AD123" i="1"/>
  <c r="I49" i="3" s="1"/>
  <c r="AC123" i="1"/>
  <c r="AD122" i="1"/>
  <c r="I29" i="3" s="1"/>
  <c r="AC122" i="1"/>
  <c r="A94" i="4" s="1"/>
  <c r="AD121" i="1"/>
  <c r="I14" i="3" s="1"/>
  <c r="AC121" i="1"/>
  <c r="A80" i="4" s="1"/>
  <c r="AD120" i="1"/>
  <c r="I31" i="3" s="1"/>
  <c r="AC120" i="1"/>
  <c r="AD119" i="1"/>
  <c r="I7" i="3" s="1"/>
  <c r="AC119" i="1"/>
  <c r="AD118" i="1"/>
  <c r="I67" i="3" s="1"/>
  <c r="AC118" i="1"/>
  <c r="A67" i="3" s="1"/>
  <c r="AD117" i="1"/>
  <c r="I12" i="3" s="1"/>
  <c r="AC117" i="1"/>
  <c r="A82" i="4" s="1"/>
  <c r="AD116" i="1"/>
  <c r="I55" i="3" s="1"/>
  <c r="AC116" i="1"/>
  <c r="A55" i="3" s="1"/>
  <c r="AD115" i="1"/>
  <c r="I15" i="3" s="1"/>
  <c r="AC115" i="1"/>
  <c r="AD114" i="1"/>
  <c r="I18" i="3" s="1"/>
  <c r="AC114" i="1"/>
  <c r="A18" i="3" s="1"/>
  <c r="AD113" i="1"/>
  <c r="I45" i="3" s="1"/>
  <c r="AC113" i="1"/>
  <c r="A73" i="4" s="1"/>
  <c r="AD112" i="1"/>
  <c r="I19" i="3" s="1"/>
  <c r="AC112" i="1"/>
  <c r="AD111" i="1"/>
  <c r="I22" i="3" s="1"/>
  <c r="AC111" i="1"/>
  <c r="AD110" i="1"/>
  <c r="I70" i="3" s="1"/>
  <c r="AC110" i="1"/>
  <c r="A157" i="4" s="1"/>
  <c r="AD109" i="1"/>
  <c r="I39" i="3" s="1"/>
  <c r="AC109" i="1"/>
  <c r="A39" i="3" s="1"/>
  <c r="AD108" i="1"/>
  <c r="I34" i="3" s="1"/>
  <c r="AC108" i="1"/>
  <c r="A34" i="3" s="1"/>
  <c r="AD107" i="1"/>
  <c r="I73" i="3" s="1"/>
  <c r="AC107" i="1"/>
  <c r="AD106" i="1"/>
  <c r="I41" i="3" s="1"/>
  <c r="AC106" i="1"/>
  <c r="A41" i="3" s="1"/>
  <c r="AD105" i="1"/>
  <c r="I25" i="3" s="1"/>
  <c r="AC105" i="1"/>
  <c r="A87" i="4" s="1"/>
  <c r="AD104" i="1"/>
  <c r="I23" i="3" s="1"/>
  <c r="AC104" i="1"/>
  <c r="A23" i="3" s="1"/>
  <c r="AD103" i="1"/>
  <c r="I38" i="3" s="1"/>
  <c r="AC103" i="1"/>
  <c r="A110" i="4" s="1"/>
  <c r="AD102" i="1"/>
  <c r="I36" i="3" s="1"/>
  <c r="AC102" i="1"/>
  <c r="A36" i="3" s="1"/>
  <c r="AD101" i="1"/>
  <c r="I63" i="3" s="1"/>
  <c r="AC101" i="1"/>
  <c r="A152" i="4" s="1"/>
  <c r="AD100" i="1"/>
  <c r="I61" i="3" s="1"/>
  <c r="AC100" i="1"/>
  <c r="AD99" i="1"/>
  <c r="I42" i="3" s="1"/>
  <c r="AC99" i="1"/>
  <c r="AD98" i="1"/>
  <c r="I32" i="3" s="1"/>
  <c r="AC98" i="1"/>
  <c r="A70" i="4" s="1"/>
  <c r="AD97" i="1"/>
  <c r="I48" i="3" s="1"/>
  <c r="AC97" i="1"/>
  <c r="A97" i="4" s="1"/>
  <c r="AD96" i="1"/>
  <c r="I50" i="3" s="1"/>
  <c r="AC96" i="1"/>
  <c r="A128" i="4" s="1"/>
  <c r="AD95" i="1"/>
  <c r="I65" i="3" s="1"/>
  <c r="AC95" i="1"/>
  <c r="A153" i="4" s="1"/>
  <c r="AD94" i="1"/>
  <c r="I71" i="3" s="1"/>
  <c r="AC94" i="1"/>
  <c r="A167" i="4" s="1"/>
  <c r="AD93" i="1"/>
  <c r="I69" i="3" s="1"/>
  <c r="AC93" i="1"/>
  <c r="A69" i="3" s="1"/>
  <c r="AD92" i="1"/>
  <c r="I62" i="3" s="1"/>
  <c r="AC92" i="1"/>
  <c r="A156" i="4" s="1"/>
  <c r="AD91" i="1"/>
  <c r="I81" i="3" s="1"/>
  <c r="AC91" i="1"/>
  <c r="A81" i="3" s="1"/>
  <c r="AD90" i="1"/>
  <c r="I64" i="3" s="1"/>
  <c r="AC90" i="1"/>
  <c r="A148" i="4" s="1"/>
  <c r="AD89" i="1"/>
  <c r="I76" i="3" s="1"/>
  <c r="AC89" i="1"/>
  <c r="A173" i="4" s="1"/>
  <c r="AD88" i="1"/>
  <c r="I77" i="3" s="1"/>
  <c r="AC88" i="1"/>
  <c r="A186" i="4" s="1"/>
  <c r="AD87" i="1"/>
  <c r="I75" i="3" s="1"/>
  <c r="AC87" i="1"/>
  <c r="AD86" i="1"/>
  <c r="I78" i="3" s="1"/>
  <c r="AC86" i="1"/>
  <c r="A78" i="3" s="1"/>
  <c r="AD85" i="1"/>
  <c r="I57" i="3" s="1"/>
  <c r="AC85" i="1"/>
  <c r="A57" i="3" s="1"/>
  <c r="AD84" i="1"/>
  <c r="I53" i="3" s="1"/>
  <c r="AC84" i="1"/>
  <c r="A106" i="4" s="1"/>
  <c r="AD83" i="1"/>
  <c r="I72" i="3" s="1"/>
  <c r="AC83" i="1"/>
  <c r="A72" i="3" s="1"/>
  <c r="AD82" i="1"/>
  <c r="I80" i="3" s="1"/>
  <c r="AC82" i="1"/>
  <c r="A80" i="3" s="1"/>
  <c r="AD81" i="1"/>
  <c r="I59" i="3" s="1"/>
  <c r="AC81" i="1"/>
  <c r="A134" i="4" s="1"/>
  <c r="AD80" i="1"/>
  <c r="I46" i="3" s="1"/>
  <c r="AC80" i="1"/>
  <c r="AD79" i="1"/>
  <c r="I21" i="3" s="1"/>
  <c r="AC79" i="1"/>
  <c r="AD78" i="1"/>
  <c r="I43" i="3" s="1"/>
  <c r="AC78" i="1"/>
  <c r="A108" i="4" s="1"/>
  <c r="AD77" i="1"/>
  <c r="I74" i="3" s="1"/>
  <c r="AC77" i="1"/>
  <c r="A120" i="4" s="1"/>
  <c r="AD76" i="1"/>
  <c r="I9" i="3" s="1"/>
  <c r="AC76" i="1"/>
  <c r="A9" i="3" s="1"/>
  <c r="AD75" i="1"/>
  <c r="I52" i="3" s="1"/>
  <c r="AC75" i="1"/>
  <c r="A52" i="3" s="1"/>
  <c r="AD74" i="1"/>
  <c r="I51" i="3" s="1"/>
  <c r="AC74" i="1"/>
  <c r="A131" i="4" s="1"/>
  <c r="AD73" i="1"/>
  <c r="I66" i="3" s="1"/>
  <c r="AC73" i="1"/>
  <c r="A159" i="4" s="1"/>
  <c r="AD72" i="1"/>
  <c r="I68" i="3" s="1"/>
  <c r="AC72" i="1"/>
  <c r="A155" i="4" s="1"/>
  <c r="AD71" i="1"/>
  <c r="I47" i="3" s="1"/>
  <c r="AC71" i="1"/>
  <c r="A135" i="4" s="1"/>
  <c r="AD70" i="1"/>
  <c r="AC70" i="1"/>
  <c r="AD69" i="1"/>
  <c r="I140" i="3" s="1"/>
  <c r="AC69" i="1"/>
  <c r="A140" i="3" s="1"/>
  <c r="AD68" i="1"/>
  <c r="I162" i="3" s="1"/>
  <c r="AC68" i="1"/>
  <c r="A117" i="4" s="1"/>
  <c r="AD67" i="1"/>
  <c r="I146" i="3" s="1"/>
  <c r="AC67" i="1"/>
  <c r="AD66" i="1"/>
  <c r="I189" i="3" s="1"/>
  <c r="AC66" i="1"/>
  <c r="A189" i="3" s="1"/>
  <c r="AD65" i="1"/>
  <c r="AC65" i="1"/>
  <c r="A102" i="4" s="1"/>
  <c r="AD64" i="1"/>
  <c r="I139" i="3" s="1"/>
  <c r="AC64" i="1"/>
  <c r="AD63" i="1"/>
  <c r="I151" i="3" s="1"/>
  <c r="AC63" i="1"/>
  <c r="AD62" i="1"/>
  <c r="I144" i="3" s="1"/>
  <c r="AC62" i="1"/>
  <c r="A111" i="4" s="1"/>
  <c r="AD61" i="1"/>
  <c r="I142" i="3" s="1"/>
  <c r="AC61" i="1"/>
  <c r="A100" i="4" s="1"/>
  <c r="AD60" i="1"/>
  <c r="I149" i="3" s="1"/>
  <c r="AC60" i="1"/>
  <c r="AD59" i="1"/>
  <c r="I174" i="3" s="1"/>
  <c r="AC59" i="1"/>
  <c r="AD58" i="1"/>
  <c r="AC58" i="1"/>
  <c r="A166" i="3" s="1"/>
  <c r="AD57" i="1"/>
  <c r="I180" i="3" s="1"/>
  <c r="AC57" i="1"/>
  <c r="A180" i="3" s="1"/>
  <c r="AD56" i="1"/>
  <c r="I190" i="3" s="1"/>
  <c r="AC56" i="1"/>
  <c r="AD55" i="1"/>
  <c r="I143" i="3" s="1"/>
  <c r="AC55" i="1"/>
  <c r="AD54" i="1"/>
  <c r="I158" i="3" s="1"/>
  <c r="AC54" i="1"/>
  <c r="A127" i="4" s="1"/>
  <c r="AD53" i="1"/>
  <c r="I202" i="3" s="1"/>
  <c r="AC53" i="1"/>
  <c r="A202" i="3" s="1"/>
  <c r="AD52" i="1"/>
  <c r="I147" i="3" s="1"/>
  <c r="AC52" i="1"/>
  <c r="A147" i="3" s="1"/>
  <c r="AD51" i="1"/>
  <c r="I188" i="3" s="1"/>
  <c r="AC51" i="1"/>
  <c r="AD50" i="1"/>
  <c r="I171" i="3" s="1"/>
  <c r="AC50" i="1"/>
  <c r="A171" i="3" s="1"/>
  <c r="AD49" i="1"/>
  <c r="I153" i="3" s="1"/>
  <c r="AC49" i="1"/>
  <c r="A43" i="5" s="1"/>
  <c r="AD48" i="1"/>
  <c r="I165" i="3" s="1"/>
  <c r="AC48" i="1"/>
  <c r="AD47" i="1"/>
  <c r="I201" i="3" s="1"/>
  <c r="AC47" i="1"/>
  <c r="A201" i="3" s="1"/>
  <c r="AD46" i="1"/>
  <c r="I152" i="3" s="1"/>
  <c r="AC46" i="1"/>
  <c r="A152" i="3" s="1"/>
  <c r="AD45" i="1"/>
  <c r="I141" i="3" s="1"/>
  <c r="AC45" i="1"/>
  <c r="A118" i="4" s="1"/>
  <c r="AD44" i="1"/>
  <c r="I176" i="3" s="1"/>
  <c r="AC44" i="1"/>
  <c r="AD43" i="1"/>
  <c r="I145" i="3" s="1"/>
  <c r="AC43" i="1"/>
  <c r="A112" i="4" s="1"/>
  <c r="AD42" i="1"/>
  <c r="I148" i="3" s="1"/>
  <c r="AC42" i="1"/>
  <c r="A32" i="5" s="1"/>
  <c r="AD41" i="1"/>
  <c r="I163" i="3" s="1"/>
  <c r="AC41" i="1"/>
  <c r="A141" i="4" s="1"/>
  <c r="AD40" i="1"/>
  <c r="I184" i="3" s="1"/>
  <c r="AC40" i="1"/>
  <c r="AD39" i="1"/>
  <c r="I173" i="3" s="1"/>
  <c r="AC39" i="1"/>
  <c r="AD38" i="1"/>
  <c r="I137" i="3" s="1"/>
  <c r="AC38" i="1"/>
  <c r="A193" i="4" s="1"/>
  <c r="AD37" i="1"/>
  <c r="I183" i="3" s="1"/>
  <c r="AC37" i="1"/>
  <c r="A183" i="3" s="1"/>
  <c r="AD36" i="1"/>
  <c r="I161" i="3" s="1"/>
  <c r="AC36" i="1"/>
  <c r="A125" i="4" s="1"/>
  <c r="AD35" i="1"/>
  <c r="I155" i="3" s="1"/>
  <c r="AC35" i="1"/>
  <c r="AD34" i="1"/>
  <c r="I172" i="3" s="1"/>
  <c r="AC34" i="1"/>
  <c r="A139" i="4" s="1"/>
  <c r="AD33" i="1"/>
  <c r="I170" i="3" s="1"/>
  <c r="AC33" i="1"/>
  <c r="A147" i="4" s="1"/>
  <c r="AD32" i="1"/>
  <c r="I150" i="3" s="1"/>
  <c r="AC32" i="1"/>
  <c r="AD31" i="1"/>
  <c r="I177" i="3" s="1"/>
  <c r="AC31" i="1"/>
  <c r="AD30" i="1"/>
  <c r="I168" i="3" s="1"/>
  <c r="AC30" i="1"/>
  <c r="A130" i="4" s="1"/>
  <c r="AD29" i="1"/>
  <c r="I159" i="3" s="1"/>
  <c r="AC29" i="1"/>
  <c r="A159" i="3" s="1"/>
  <c r="AD28" i="1"/>
  <c r="I169" i="3" s="1"/>
  <c r="AC28" i="1"/>
  <c r="AD27" i="1"/>
  <c r="I156" i="3" s="1"/>
  <c r="AC27" i="1"/>
  <c r="A124" i="4" s="1"/>
  <c r="AD26" i="1"/>
  <c r="I167" i="3" s="1"/>
  <c r="AC26" i="1"/>
  <c r="A144" i="4" s="1"/>
  <c r="AD25" i="1"/>
  <c r="I160" i="3" s="1"/>
  <c r="AC25" i="1"/>
  <c r="A121" i="4" s="1"/>
  <c r="AD24" i="1"/>
  <c r="I200" i="3" s="1"/>
  <c r="AC24" i="1"/>
  <c r="A200" i="3" s="1"/>
  <c r="AD23" i="1"/>
  <c r="I164" i="3" s="1"/>
  <c r="AC23" i="1"/>
  <c r="AD22" i="1"/>
  <c r="I199" i="3" s="1"/>
  <c r="AC22" i="1"/>
  <c r="A199" i="3" s="1"/>
  <c r="AD21" i="1"/>
  <c r="I175" i="3" s="1"/>
  <c r="AC21" i="1"/>
  <c r="A145" i="4" s="1"/>
  <c r="AD20" i="1"/>
  <c r="I178" i="3" s="1"/>
  <c r="AC20" i="1"/>
  <c r="A160" i="4" s="1"/>
  <c r="AD19" i="1"/>
  <c r="I182" i="3" s="1"/>
  <c r="AC19" i="1"/>
  <c r="A182" i="3" s="1"/>
  <c r="AD18" i="1"/>
  <c r="I154" i="3" s="1"/>
  <c r="AC18" i="1"/>
  <c r="A21" i="5" s="1"/>
  <c r="AD17" i="1"/>
  <c r="I179" i="3" s="1"/>
  <c r="AC17" i="1"/>
  <c r="A169" i="4" s="1"/>
  <c r="AD16" i="1"/>
  <c r="I157" i="3" s="1"/>
  <c r="AC16" i="1"/>
  <c r="AD15" i="1"/>
  <c r="AC15" i="1"/>
  <c r="AD14" i="1"/>
  <c r="I198" i="3" s="1"/>
  <c r="AC14" i="1"/>
  <c r="A198" i="3" s="1"/>
  <c r="AD13" i="1"/>
  <c r="I187" i="3" s="1"/>
  <c r="AC13" i="1"/>
  <c r="A187" i="3" s="1"/>
  <c r="AD12" i="1"/>
  <c r="I197" i="3" s="1"/>
  <c r="AC12" i="1"/>
  <c r="A197" i="3" s="1"/>
  <c r="AD11" i="1"/>
  <c r="I185" i="3" s="1"/>
  <c r="AC11" i="1"/>
  <c r="AD10" i="1"/>
  <c r="I191" i="3" s="1"/>
  <c r="AC10" i="1"/>
  <c r="A192" i="4" s="1"/>
  <c r="AD9" i="1"/>
  <c r="I196" i="3" s="1"/>
  <c r="AC9" i="1"/>
  <c r="A196" i="3" s="1"/>
  <c r="AD8" i="1"/>
  <c r="I181" i="3" s="1"/>
  <c r="AC8" i="1"/>
  <c r="A181" i="3" s="1"/>
  <c r="AD7" i="1"/>
  <c r="I192" i="3" s="1"/>
  <c r="AC7" i="1"/>
  <c r="AD6" i="1"/>
  <c r="I195" i="3" s="1"/>
  <c r="AC6" i="1"/>
  <c r="A195" i="3" s="1"/>
  <c r="AD5" i="1"/>
  <c r="I194" i="3" s="1"/>
  <c r="AC5" i="1"/>
  <c r="A194" i="3" s="1"/>
  <c r="AD4" i="1"/>
  <c r="I186" i="3" s="1"/>
  <c r="AC4" i="1"/>
  <c r="AD3" i="1"/>
  <c r="AC3" i="1"/>
  <c r="G138" i="4" l="1"/>
  <c r="F137" i="6"/>
  <c r="G116" i="4"/>
  <c r="G71" i="4"/>
  <c r="G82" i="4"/>
  <c r="A104" i="3"/>
  <c r="G65" i="4"/>
  <c r="G6" i="6"/>
  <c r="A74" i="4"/>
  <c r="F35" i="5"/>
  <c r="A74" i="3"/>
  <c r="A135" i="3"/>
  <c r="A42" i="5"/>
  <c r="F126" i="6"/>
  <c r="F73" i="6"/>
  <c r="A35" i="3"/>
  <c r="G30" i="6"/>
  <c r="A106" i="3"/>
  <c r="A117" i="3"/>
  <c r="A40" i="5"/>
  <c r="G26" i="6"/>
  <c r="A68" i="3"/>
  <c r="A16" i="3"/>
  <c r="A76" i="3"/>
  <c r="A172" i="4"/>
  <c r="F98" i="6"/>
  <c r="I98" i="6" s="1"/>
  <c r="G24" i="6"/>
  <c r="A41" i="4"/>
  <c r="A172" i="3"/>
  <c r="G88" i="4"/>
  <c r="F40" i="5"/>
  <c r="A153" i="3"/>
  <c r="A130" i="3"/>
  <c r="A158" i="4"/>
  <c r="A92" i="3"/>
  <c r="A36" i="4"/>
  <c r="A42" i="4"/>
  <c r="A92" i="4"/>
  <c r="A184" i="4"/>
  <c r="F30" i="5"/>
  <c r="A95" i="3"/>
  <c r="H30" i="5"/>
  <c r="H10" i="2"/>
  <c r="A177" i="4"/>
  <c r="G166" i="4"/>
  <c r="H19" i="5"/>
  <c r="H22" i="5"/>
  <c r="H25" i="5"/>
  <c r="C5" i="5"/>
  <c r="A71" i="3"/>
  <c r="A156" i="3"/>
  <c r="A158" i="3"/>
  <c r="A64" i="4"/>
  <c r="F38" i="5"/>
  <c r="A14" i="3"/>
  <c r="A170" i="4"/>
  <c r="A185" i="4"/>
  <c r="H33" i="5"/>
  <c r="C8" i="5"/>
  <c r="A20" i="3"/>
  <c r="A54" i="3"/>
  <c r="A90" i="3"/>
  <c r="A103" i="3"/>
  <c r="A17" i="3"/>
  <c r="A64" i="3"/>
  <c r="A100" i="3"/>
  <c r="A191" i="3"/>
  <c r="A8" i="3"/>
  <c r="A53" i="3"/>
  <c r="A141" i="3"/>
  <c r="H15" i="5"/>
  <c r="H24" i="5"/>
  <c r="A30" i="5"/>
  <c r="F76" i="6"/>
  <c r="I76" i="6" s="1"/>
  <c r="A32" i="3"/>
  <c r="H34" i="5"/>
  <c r="A15" i="5"/>
  <c r="G164" i="4"/>
  <c r="F128" i="6"/>
  <c r="I128" i="6" s="1"/>
  <c r="C9" i="2"/>
  <c r="A38" i="3"/>
  <c r="A70" i="3"/>
  <c r="A107" i="3"/>
  <c r="A115" i="3"/>
  <c r="A29" i="4"/>
  <c r="A31" i="4"/>
  <c r="A33" i="4"/>
  <c r="A137" i="4"/>
  <c r="F21" i="5"/>
  <c r="I28" i="6"/>
  <c r="G34" i="6"/>
  <c r="G36" i="6"/>
  <c r="G38" i="6"/>
  <c r="G42" i="6"/>
  <c r="G46" i="6"/>
  <c r="G48" i="6"/>
  <c r="G50" i="6"/>
  <c r="F68" i="6"/>
  <c r="I68" i="6" s="1"/>
  <c r="F115" i="6"/>
  <c r="I115" i="6" s="1"/>
  <c r="F9" i="2"/>
  <c r="G47" i="6"/>
  <c r="G7" i="5"/>
  <c r="A44" i="3"/>
  <c r="H37" i="5"/>
  <c r="G10" i="2"/>
  <c r="A43" i="3"/>
  <c r="A86" i="3"/>
  <c r="A102" i="3"/>
  <c r="A132" i="3"/>
  <c r="A142" i="3"/>
  <c r="A168" i="3"/>
  <c r="A78" i="4"/>
  <c r="A163" i="4"/>
  <c r="H21" i="5"/>
  <c r="H35" i="5"/>
  <c r="I30" i="6"/>
  <c r="I9" i="2"/>
  <c r="G66" i="4"/>
  <c r="G153" i="4"/>
  <c r="A167" i="3"/>
  <c r="A51" i="3"/>
  <c r="A25" i="3"/>
  <c r="A144" i="3"/>
  <c r="A122" i="4"/>
  <c r="A22" i="5"/>
  <c r="H27" i="5"/>
  <c r="H36" i="5"/>
  <c r="I121" i="6"/>
  <c r="A170" i="3"/>
  <c r="F19" i="5"/>
  <c r="F36" i="5"/>
  <c r="F87" i="6"/>
  <c r="I87" i="6" s="1"/>
  <c r="F7" i="5"/>
  <c r="C8" i="4"/>
  <c r="B6" i="4"/>
  <c r="G53" i="6"/>
  <c r="F6" i="2"/>
  <c r="I74" i="6"/>
  <c r="A29" i="3"/>
  <c r="A59" i="3"/>
  <c r="A108" i="3"/>
  <c r="A83" i="4"/>
  <c r="A96" i="4"/>
  <c r="A119" i="4"/>
  <c r="A138" i="4"/>
  <c r="H26" i="5"/>
  <c r="I31" i="6"/>
  <c r="I33" i="6"/>
  <c r="I39" i="6"/>
  <c r="I41" i="6"/>
  <c r="I43" i="6"/>
  <c r="I45" i="6"/>
  <c r="A114" i="3"/>
  <c r="A123" i="3"/>
  <c r="G21" i="6"/>
  <c r="H42" i="5"/>
  <c r="A56" i="3"/>
  <c r="A118" i="3"/>
  <c r="H17" i="5"/>
  <c r="F23" i="5"/>
  <c r="I62" i="6"/>
  <c r="G9" i="6"/>
  <c r="I17" i="6"/>
  <c r="I21" i="6"/>
  <c r="G35" i="6"/>
  <c r="G39" i="6"/>
  <c r="G58" i="6"/>
  <c r="G62" i="6"/>
  <c r="I54" i="6"/>
  <c r="G11" i="6"/>
  <c r="G23" i="6"/>
  <c r="G57" i="6"/>
  <c r="G59" i="6"/>
  <c r="I53" i="6"/>
  <c r="G10" i="6"/>
  <c r="G12" i="6"/>
  <c r="G14" i="6"/>
  <c r="G18" i="6"/>
  <c r="I20" i="6"/>
  <c r="I19" i="6"/>
  <c r="I51" i="6"/>
  <c r="I6" i="6"/>
  <c r="I56" i="6"/>
  <c r="G15" i="6"/>
  <c r="I15" i="6"/>
  <c r="G27" i="6"/>
  <c r="I124" i="6"/>
  <c r="G61" i="6"/>
  <c r="F18" i="5"/>
  <c r="H41" i="5"/>
  <c r="H18" i="5"/>
  <c r="F26" i="5"/>
  <c r="F34" i="5"/>
  <c r="F39" i="5"/>
  <c r="F33" i="5"/>
  <c r="H28" i="5"/>
  <c r="H43" i="5"/>
  <c r="H39" i="5"/>
  <c r="H29" i="5"/>
  <c r="F16" i="5"/>
  <c r="F24" i="5"/>
  <c r="F32" i="5"/>
  <c r="F37" i="5"/>
  <c r="H23" i="5"/>
  <c r="H16" i="5"/>
  <c r="F27" i="5"/>
  <c r="H32" i="5"/>
  <c r="F17" i="5"/>
  <c r="F22" i="5"/>
  <c r="H38" i="5"/>
  <c r="G87" i="4"/>
  <c r="G131" i="4"/>
  <c r="F70" i="6"/>
  <c r="F88" i="6"/>
  <c r="F92" i="6"/>
  <c r="I92" i="6" s="1"/>
  <c r="F133" i="6"/>
  <c r="I133" i="6" s="1"/>
  <c r="G172" i="4"/>
  <c r="F116" i="6"/>
  <c r="I116" i="6" s="1"/>
  <c r="G129" i="4"/>
  <c r="F77" i="6"/>
  <c r="I77" i="6" s="1"/>
  <c r="F113" i="6"/>
  <c r="I113" i="6" s="1"/>
  <c r="G135" i="4"/>
  <c r="F120" i="6"/>
  <c r="I120" i="6" s="1"/>
  <c r="F125" i="6"/>
  <c r="I125" i="6" s="1"/>
  <c r="F67" i="6"/>
  <c r="I67" i="6" s="1"/>
  <c r="F91" i="6"/>
  <c r="I91" i="6" s="1"/>
  <c r="F110" i="6"/>
  <c r="I110" i="6" s="1"/>
  <c r="F139" i="6"/>
  <c r="I139" i="6" s="1"/>
  <c r="G151" i="4"/>
  <c r="G155" i="4"/>
  <c r="F81" i="6"/>
  <c r="I81" i="6" s="1"/>
  <c r="G32" i="4"/>
  <c r="G64" i="4"/>
  <c r="G70" i="4"/>
  <c r="F95" i="6"/>
  <c r="I95" i="6" s="1"/>
  <c r="I117" i="6"/>
  <c r="G34" i="4"/>
  <c r="I140" i="6"/>
  <c r="G75" i="4"/>
  <c r="F108" i="6"/>
  <c r="I108" i="6" s="1"/>
  <c r="I123" i="6"/>
  <c r="F134" i="6"/>
  <c r="I134" i="6" s="1"/>
  <c r="G167" i="4"/>
  <c r="I112" i="6"/>
  <c r="I73" i="6"/>
  <c r="I85" i="6"/>
  <c r="I104" i="6"/>
  <c r="I71" i="6"/>
  <c r="I83" i="6"/>
  <c r="I107" i="6"/>
  <c r="I78" i="6"/>
  <c r="I102" i="6"/>
  <c r="I96" i="6"/>
  <c r="I90" i="6"/>
  <c r="I86" i="6"/>
  <c r="I127" i="6"/>
  <c r="I47" i="6"/>
  <c r="I12" i="6"/>
  <c r="G29" i="6"/>
  <c r="I29" i="6"/>
  <c r="I40" i="6"/>
  <c r="I44" i="6"/>
  <c r="I50" i="6"/>
  <c r="I52" i="6"/>
  <c r="I118" i="6"/>
  <c r="I126" i="6"/>
  <c r="I138" i="6"/>
  <c r="I119" i="6"/>
  <c r="I36" i="6"/>
  <c r="I59" i="6"/>
  <c r="G52" i="6"/>
  <c r="I5" i="6"/>
  <c r="I89" i="6"/>
  <c r="I111" i="6"/>
  <c r="I23" i="6"/>
  <c r="I75" i="6"/>
  <c r="I14" i="6"/>
  <c r="I38" i="6"/>
  <c r="I16" i="6"/>
  <c r="I27" i="6"/>
  <c r="I135" i="6"/>
  <c r="I24" i="6"/>
  <c r="I48" i="6"/>
  <c r="I69" i="6"/>
  <c r="I130" i="6"/>
  <c r="G5" i="6"/>
  <c r="I61" i="6"/>
  <c r="I7" i="6"/>
  <c r="G22" i="6"/>
  <c r="I42" i="6"/>
  <c r="I84" i="6"/>
  <c r="I9" i="6"/>
  <c r="I11" i="6"/>
  <c r="I35" i="6"/>
  <c r="I58" i="6"/>
  <c r="I103" i="6"/>
  <c r="G17" i="6"/>
  <c r="I26" i="6"/>
  <c r="G41" i="6"/>
  <c r="I93" i="6"/>
  <c r="I137" i="6"/>
  <c r="I129" i="6"/>
  <c r="I114" i="6"/>
  <c r="I99" i="6"/>
  <c r="I109" i="6"/>
  <c r="I18" i="6"/>
  <c r="I72" i="6"/>
  <c r="I101" i="6"/>
  <c r="I8" i="6"/>
  <c r="I32" i="6"/>
  <c r="I55" i="6"/>
  <c r="I105" i="6"/>
  <c r="I132" i="6"/>
  <c r="G5" i="5"/>
  <c r="B8" i="4"/>
  <c r="C15" i="2"/>
  <c r="D6" i="4"/>
  <c r="E6" i="2"/>
  <c r="E10" i="5"/>
  <c r="A93" i="3"/>
  <c r="A161" i="3"/>
  <c r="H5" i="4"/>
  <c r="A27" i="4"/>
  <c r="A81" i="4"/>
  <c r="A129" i="4"/>
  <c r="D5" i="5"/>
  <c r="F25" i="5"/>
  <c r="H6" i="2"/>
  <c r="B11" i="2"/>
  <c r="A50" i="3"/>
  <c r="A87" i="3"/>
  <c r="A105" i="3"/>
  <c r="A145" i="3"/>
  <c r="H8" i="4"/>
  <c r="A174" i="4"/>
  <c r="D10" i="5"/>
  <c r="F29" i="5"/>
  <c r="H31" i="5"/>
  <c r="I80" i="6"/>
  <c r="A168" i="4"/>
  <c r="A177" i="3"/>
  <c r="A173" i="3"/>
  <c r="A149" i="4"/>
  <c r="A181" i="4"/>
  <c r="A188" i="3"/>
  <c r="A25" i="5"/>
  <c r="A146" i="3"/>
  <c r="A91" i="4"/>
  <c r="A166" i="4"/>
  <c r="A73" i="3"/>
  <c r="A75" i="4"/>
  <c r="A7" i="3"/>
  <c r="A71" i="4"/>
  <c r="A28" i="3"/>
  <c r="A34" i="4"/>
  <c r="A33" i="3"/>
  <c r="A56" i="4"/>
  <c r="A122" i="3"/>
  <c r="A24" i="5"/>
  <c r="A38" i="4"/>
  <c r="A97" i="3"/>
  <c r="A25" i="4"/>
  <c r="A109" i="3"/>
  <c r="A131" i="3"/>
  <c r="A17" i="4"/>
  <c r="A182" i="4"/>
  <c r="A19" i="5"/>
  <c r="I6" i="2"/>
  <c r="C11" i="2"/>
  <c r="A65" i="3"/>
  <c r="A120" i="3"/>
  <c r="F10" i="4"/>
  <c r="F10" i="5"/>
  <c r="H8" i="5"/>
  <c r="C7" i="5"/>
  <c r="E5" i="5"/>
  <c r="C10" i="5"/>
  <c r="E8" i="5"/>
  <c r="G6" i="5"/>
  <c r="B5" i="5"/>
  <c r="E10" i="4"/>
  <c r="G8" i="4"/>
  <c r="B7" i="4"/>
  <c r="D5" i="4"/>
  <c r="J10" i="2"/>
  <c r="H9" i="2"/>
  <c r="F8" i="2"/>
  <c r="B6" i="2"/>
  <c r="B10" i="5"/>
  <c r="D8" i="5"/>
  <c r="F6" i="5"/>
  <c r="D10" i="4"/>
  <c r="F8" i="4"/>
  <c r="H6" i="4"/>
  <c r="C5" i="4"/>
  <c r="K11" i="2"/>
  <c r="I10" i="2"/>
  <c r="G9" i="2"/>
  <c r="E8" i="2"/>
  <c r="C7" i="2"/>
  <c r="G9" i="5"/>
  <c r="B8" i="5"/>
  <c r="D6" i="5"/>
  <c r="A191" i="4"/>
  <c r="B10" i="4"/>
  <c r="D8" i="4"/>
  <c r="F6" i="4"/>
  <c r="H9" i="5"/>
  <c r="E7" i="5"/>
  <c r="C10" i="4"/>
  <c r="H7" i="4"/>
  <c r="G5" i="4"/>
  <c r="J11" i="2"/>
  <c r="F10" i="2"/>
  <c r="B9" i="2"/>
  <c r="H7" i="2"/>
  <c r="H11" i="2"/>
  <c r="F7" i="2"/>
  <c r="E7" i="4"/>
  <c r="C10" i="2"/>
  <c r="B6" i="5"/>
  <c r="G6" i="4"/>
  <c r="A193" i="3"/>
  <c r="F9" i="5"/>
  <c r="D7" i="5"/>
  <c r="H9" i="4"/>
  <c r="G7" i="4"/>
  <c r="F5" i="4"/>
  <c r="I11" i="2"/>
  <c r="E10" i="2"/>
  <c r="K8" i="2"/>
  <c r="G7" i="2"/>
  <c r="C6" i="2"/>
  <c r="J8" i="2"/>
  <c r="B5" i="4"/>
  <c r="E7" i="2"/>
  <c r="H5" i="5"/>
  <c r="E9" i="5"/>
  <c r="B7" i="5"/>
  <c r="G9" i="4"/>
  <c r="F7" i="4"/>
  <c r="E5" i="4"/>
  <c r="G11" i="2"/>
  <c r="J9" i="2"/>
  <c r="E6" i="4"/>
  <c r="D9" i="5"/>
  <c r="H6" i="5"/>
  <c r="F9" i="4"/>
  <c r="I8" i="2"/>
  <c r="C9" i="4"/>
  <c r="B9" i="4"/>
  <c r="C9" i="5"/>
  <c r="E6" i="5"/>
  <c r="E9" i="4"/>
  <c r="D7" i="4"/>
  <c r="F11" i="2"/>
  <c r="B10" i="2"/>
  <c r="D10" i="2" s="1"/>
  <c r="H8" i="2"/>
  <c r="B7" i="2"/>
  <c r="K6" i="2"/>
  <c r="G8" i="5"/>
  <c r="J6" i="2"/>
  <c r="F8" i="5"/>
  <c r="B9" i="5"/>
  <c r="C6" i="5"/>
  <c r="D9" i="4"/>
  <c r="C7" i="4"/>
  <c r="E11" i="2"/>
  <c r="K9" i="2"/>
  <c r="G8" i="2"/>
  <c r="G10" i="5"/>
  <c r="H7" i="5"/>
  <c r="F5" i="5"/>
  <c r="H10" i="4"/>
  <c r="E8" i="4"/>
  <c r="C6" i="4"/>
  <c r="K10" i="2"/>
  <c r="E9" i="2"/>
  <c r="K7" i="2"/>
  <c r="G6" i="2"/>
  <c r="A123" i="4"/>
  <c r="A155" i="3"/>
  <c r="A143" i="3"/>
  <c r="A38" i="5"/>
  <c r="A75" i="3"/>
  <c r="A151" i="4"/>
  <c r="A77" i="4"/>
  <c r="A15" i="3"/>
  <c r="A103" i="4"/>
  <c r="A49" i="3"/>
  <c r="A136" i="4"/>
  <c r="A126" i="3"/>
  <c r="A30" i="4"/>
  <c r="A89" i="3"/>
  <c r="I7" i="2"/>
  <c r="A178" i="3"/>
  <c r="G10" i="4"/>
  <c r="A69" i="4"/>
  <c r="A165" i="4"/>
  <c r="H10" i="5"/>
  <c r="I131" i="6"/>
  <c r="F41" i="5"/>
  <c r="A142" i="4"/>
  <c r="A164" i="3"/>
  <c r="A85" i="4"/>
  <c r="A21" i="3"/>
  <c r="A95" i="4"/>
  <c r="A42" i="3"/>
  <c r="A84" i="4"/>
  <c r="A22" i="3"/>
  <c r="A61" i="4"/>
  <c r="A10" i="3"/>
  <c r="A33" i="5"/>
  <c r="A119" i="3"/>
  <c r="A43" i="4"/>
  <c r="I193" i="3"/>
  <c r="G18" i="2"/>
  <c r="G15" i="2"/>
  <c r="A15" i="2"/>
  <c r="I18" i="2"/>
  <c r="C18" i="2"/>
  <c r="E18" i="2"/>
  <c r="J7" i="2"/>
  <c r="E15" i="2"/>
  <c r="A47" i="3"/>
  <c r="A62" i="3"/>
  <c r="A15" i="4"/>
  <c r="A90" i="4"/>
  <c r="A188" i="4"/>
  <c r="A192" i="3"/>
  <c r="A154" i="4"/>
  <c r="A174" i="3"/>
  <c r="A157" i="3"/>
  <c r="A39" i="5"/>
  <c r="A132" i="4"/>
  <c r="A169" i="3"/>
  <c r="A143" i="4"/>
  <c r="A109" i="4"/>
  <c r="A28" i="5"/>
  <c r="A150" i="3"/>
  <c r="A178" i="4"/>
  <c r="A184" i="3"/>
  <c r="A23" i="5"/>
  <c r="A165" i="3"/>
  <c r="A162" i="4"/>
  <c r="A175" i="4"/>
  <c r="A190" i="3"/>
  <c r="A37" i="5"/>
  <c r="A99" i="4"/>
  <c r="A139" i="3"/>
  <c r="A116" i="4"/>
  <c r="A46" i="3"/>
  <c r="A79" i="4"/>
  <c r="A19" i="3"/>
  <c r="A88" i="4"/>
  <c r="A31" i="3"/>
  <c r="A27" i="3"/>
  <c r="A86" i="4"/>
  <c r="A46" i="4"/>
  <c r="A58" i="3"/>
  <c r="A79" i="3"/>
  <c r="A194" i="4"/>
  <c r="A51" i="4"/>
  <c r="A125" i="3"/>
  <c r="A121" i="3"/>
  <c r="A54" i="4"/>
  <c r="A197" i="4"/>
  <c r="A116" i="3"/>
  <c r="A99" i="3"/>
  <c r="A44" i="4"/>
  <c r="A26" i="4"/>
  <c r="A91" i="3"/>
  <c r="A23" i="4"/>
  <c r="A134" i="3"/>
  <c r="A180" i="4"/>
  <c r="A17" i="5"/>
  <c r="B8" i="2"/>
  <c r="I15" i="2"/>
  <c r="A96" i="3"/>
  <c r="A189" i="4"/>
  <c r="A185" i="3"/>
  <c r="A151" i="3"/>
  <c r="A93" i="4"/>
  <c r="A34" i="5"/>
  <c r="A183" i="4"/>
  <c r="A186" i="3"/>
  <c r="A27" i="5"/>
  <c r="A190" i="4"/>
  <c r="A161" i="4"/>
  <c r="A176" i="3"/>
  <c r="A89" i="4"/>
  <c r="A36" i="5"/>
  <c r="A113" i="4"/>
  <c r="A149" i="3"/>
  <c r="A26" i="5"/>
  <c r="A35" i="5"/>
  <c r="A162" i="3"/>
  <c r="A61" i="3"/>
  <c r="A150" i="4"/>
  <c r="A65" i="4"/>
  <c r="A13" i="3"/>
  <c r="C8" i="2"/>
  <c r="A18" i="2"/>
  <c r="A77" i="3"/>
  <c r="A98" i="3"/>
  <c r="A35" i="4"/>
  <c r="H20" i="5"/>
  <c r="A175" i="3"/>
  <c r="A101" i="4"/>
  <c r="A195" i="4"/>
  <c r="F20" i="5"/>
  <c r="F31" i="5"/>
  <c r="F43" i="5"/>
  <c r="G16" i="6"/>
  <c r="G28" i="6"/>
  <c r="G40" i="6"/>
  <c r="G51" i="6"/>
  <c r="I70" i="6"/>
  <c r="I88" i="6"/>
  <c r="I106" i="6"/>
  <c r="A138" i="3"/>
  <c r="A163" i="3"/>
  <c r="A50" i="4"/>
  <c r="A57" i="4"/>
  <c r="A105" i="4"/>
  <c r="A114" i="4"/>
  <c r="A146" i="4"/>
  <c r="G8" i="6"/>
  <c r="I13" i="6"/>
  <c r="G20" i="6"/>
  <c r="I25" i="6"/>
  <c r="G32" i="6"/>
  <c r="I37" i="6"/>
  <c r="G44" i="6"/>
  <c r="I49" i="6"/>
  <c r="G55" i="6"/>
  <c r="I60" i="6"/>
  <c r="I82" i="6"/>
  <c r="I100" i="6"/>
  <c r="I136" i="6"/>
  <c r="A160" i="3"/>
  <c r="A107" i="4"/>
  <c r="A164" i="4"/>
  <c r="A179" i="4"/>
  <c r="I79" i="6"/>
  <c r="I97" i="6"/>
  <c r="A6" i="3"/>
  <c r="A63" i="3"/>
  <c r="A66" i="3"/>
  <c r="A127" i="3"/>
  <c r="A154" i="3"/>
  <c r="A179" i="3"/>
  <c r="A45" i="4"/>
  <c r="A187" i="4"/>
  <c r="A196" i="4"/>
  <c r="I10" i="6"/>
  <c r="I22" i="6"/>
  <c r="I34" i="6"/>
  <c r="I46" i="6"/>
  <c r="I57" i="6"/>
  <c r="G13" i="6"/>
  <c r="A12" i="3"/>
  <c r="A45" i="3"/>
  <c r="A48" i="3"/>
  <c r="A41" i="5"/>
  <c r="A133" i="4"/>
  <c r="I94" i="6"/>
  <c r="G25" i="6"/>
  <c r="G37" i="6"/>
  <c r="G49" i="6"/>
  <c r="G60" i="6"/>
  <c r="A137" i="3"/>
  <c r="A148" i="3"/>
  <c r="A104" i="4"/>
  <c r="A31" i="5"/>
  <c r="G7" i="6"/>
  <c r="G19" i="6"/>
  <c r="G31" i="6"/>
  <c r="G43" i="6"/>
  <c r="G54" i="6"/>
  <c r="D9" i="2" l="1"/>
  <c r="D6" i="2"/>
  <c r="D7" i="2"/>
  <c r="D11" i="2"/>
  <c r="D8" i="2"/>
</calcChain>
</file>

<file path=xl/sharedStrings.xml><?xml version="1.0" encoding="utf-8"?>
<sst xmlns="http://schemas.openxmlformats.org/spreadsheetml/2006/main" count="1354" uniqueCount="370">
  <si>
    <t>RAW FMS DATA – MAY 2025  |  TALABIRA MINE  |  Adani Natural Resources</t>
  </si>
  <si>
    <t>Sr No</t>
  </si>
  <si>
    <t>Equipment Type</t>
  </si>
  <si>
    <t>Equipment ID</t>
  </si>
  <si>
    <t>Shift Hours</t>
  </si>
  <si>
    <t>Availabilty Hours</t>
  </si>
  <si>
    <t>Equipment Operation Hours</t>
  </si>
  <si>
    <t>Equipment Operation HMR</t>
  </si>
  <si>
    <t>Equipment Break Down Hours</t>
  </si>
  <si>
    <t>Equipment Break Down HMR</t>
  </si>
  <si>
    <t>Equipment Idle Hours</t>
  </si>
  <si>
    <t>Equipment Idle HMR</t>
  </si>
  <si>
    <t>Total Productive HMR</t>
  </si>
  <si>
    <t>Total Un-Productive HMR</t>
  </si>
  <si>
    <t>Total HMR</t>
  </si>
  <si>
    <t>Availibity %</t>
  </si>
  <si>
    <t>Utilization %</t>
  </si>
  <si>
    <t>ROM Trip (Production)</t>
  </si>
  <si>
    <t>ROM Tones (Production)</t>
  </si>
  <si>
    <t xml:space="preserve">ROM Avg. </t>
  </si>
  <si>
    <t>OB Trip (Production)</t>
  </si>
  <si>
    <t>OB CUM (Production)</t>
  </si>
  <si>
    <t>TF</t>
  </si>
  <si>
    <t>Diesel Consumption</t>
  </si>
  <si>
    <t>Per Hour</t>
  </si>
  <si>
    <t>Per Productive Hour (System With Load)</t>
  </si>
  <si>
    <t>Per Productive Hour (System Without Load)</t>
  </si>
  <si>
    <t>Per Trip</t>
  </si>
  <si>
    <t>Per Ton/m3</t>
  </si>
  <si>
    <t>Equip Group</t>
  </si>
  <si>
    <t>Status</t>
  </si>
  <si>
    <t>Row Type</t>
  </si>
  <si>
    <t>Tipper</t>
  </si>
  <si>
    <t>V-235</t>
  </si>
  <si>
    <t>V-236</t>
  </si>
  <si>
    <t>V-238</t>
  </si>
  <si>
    <t>V-246</t>
  </si>
  <si>
    <t>V-260</t>
  </si>
  <si>
    <t>V-263</t>
  </si>
  <si>
    <t>V-266</t>
  </si>
  <si>
    <t>V-267</t>
  </si>
  <si>
    <t>V-273</t>
  </si>
  <si>
    <t>V-274</t>
  </si>
  <si>
    <t>V-275</t>
  </si>
  <si>
    <t>V-283</t>
  </si>
  <si>
    <t>Volvo</t>
  </si>
  <si>
    <t>BB-358</t>
  </si>
  <si>
    <t>BB-396</t>
  </si>
  <si>
    <t>BB-397</t>
  </si>
  <si>
    <t>BB-398</t>
  </si>
  <si>
    <t>BB-399</t>
  </si>
  <si>
    <t>BB-400</t>
  </si>
  <si>
    <t>BB-401</t>
  </si>
  <si>
    <t>BB-402</t>
  </si>
  <si>
    <t>BB-404</t>
  </si>
  <si>
    <t>BB-407</t>
  </si>
  <si>
    <t>BB-410</t>
  </si>
  <si>
    <t>BB-412</t>
  </si>
  <si>
    <t>BB-414</t>
  </si>
  <si>
    <t>BB-415</t>
  </si>
  <si>
    <t>BB-421</t>
  </si>
  <si>
    <t>BB-422</t>
  </si>
  <si>
    <t>BB-423</t>
  </si>
  <si>
    <t>BB-424</t>
  </si>
  <si>
    <t>BB-425</t>
  </si>
  <si>
    <t>BB-429</t>
  </si>
  <si>
    <t>BB-435</t>
  </si>
  <si>
    <t>BB-436</t>
  </si>
  <si>
    <t>BB-507</t>
  </si>
  <si>
    <t>BB-508</t>
  </si>
  <si>
    <t>BB-510</t>
  </si>
  <si>
    <t>BB-511</t>
  </si>
  <si>
    <t>BB-513</t>
  </si>
  <si>
    <t>BB-515</t>
  </si>
  <si>
    <t>BB-517</t>
  </si>
  <si>
    <t>BB-518</t>
  </si>
  <si>
    <t>BB-519</t>
  </si>
  <si>
    <t>BB-520</t>
  </si>
  <si>
    <t>BB-521</t>
  </si>
  <si>
    <t>BB-522</t>
  </si>
  <si>
    <t>BB-523</t>
  </si>
  <si>
    <t>BB-524</t>
  </si>
  <si>
    <t>BB-545</t>
  </si>
  <si>
    <t>BB-546</t>
  </si>
  <si>
    <t>BB-547</t>
  </si>
  <si>
    <t>BB-548</t>
  </si>
  <si>
    <t>BB-549</t>
  </si>
  <si>
    <t>BB-550</t>
  </si>
  <si>
    <t>BB-551</t>
  </si>
  <si>
    <t>BB-552</t>
  </si>
  <si>
    <t>BB-585</t>
  </si>
  <si>
    <t>BB-586</t>
  </si>
  <si>
    <t>BB-587</t>
  </si>
  <si>
    <t>BB-588</t>
  </si>
  <si>
    <t>BB-589</t>
  </si>
  <si>
    <t>BB-590</t>
  </si>
  <si>
    <t>BB-591</t>
  </si>
  <si>
    <t>BB-592</t>
  </si>
  <si>
    <t>BB-593</t>
  </si>
  <si>
    <t>BB-594</t>
  </si>
  <si>
    <t>Bharatbenz</t>
  </si>
  <si>
    <t>Dumper</t>
  </si>
  <si>
    <t>S-034</t>
  </si>
  <si>
    <t>S-035</t>
  </si>
  <si>
    <t>S-036</t>
  </si>
  <si>
    <t>S-037</t>
  </si>
  <si>
    <t>S-038</t>
  </si>
  <si>
    <t>S-039</t>
  </si>
  <si>
    <t>S-041</t>
  </si>
  <si>
    <t>S-042</t>
  </si>
  <si>
    <t>S-043</t>
  </si>
  <si>
    <t>S-045</t>
  </si>
  <si>
    <t>S-046</t>
  </si>
  <si>
    <t>S-047</t>
  </si>
  <si>
    <t>S-048</t>
  </si>
  <si>
    <t>S-050</t>
  </si>
  <si>
    <t>S-051</t>
  </si>
  <si>
    <t>S-052</t>
  </si>
  <si>
    <t>S-053</t>
  </si>
  <si>
    <t>S-054</t>
  </si>
  <si>
    <t>S-055</t>
  </si>
  <si>
    <t>S-056</t>
  </si>
  <si>
    <t>S-057</t>
  </si>
  <si>
    <t>S-058</t>
  </si>
  <si>
    <t>S-059</t>
  </si>
  <si>
    <t>S-060</t>
  </si>
  <si>
    <t>S-061</t>
  </si>
  <si>
    <t>S-062</t>
  </si>
  <si>
    <t>S-063</t>
  </si>
  <si>
    <t>S-064</t>
  </si>
  <si>
    <t>S-065</t>
  </si>
  <si>
    <t>S-201</t>
  </si>
  <si>
    <t>S-202</t>
  </si>
  <si>
    <t>S-203</t>
  </si>
  <si>
    <t>S-204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</si>
  <si>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</si>
  <si>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</si>
  <si>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</si>
  <si>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</si>
  <si>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</si>
  <si>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</si>
  <si>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</si>
  <si>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</si>
  <si>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S-248</t>
  </si>
  <si>
    <t>S-249</t>
  </si>
  <si>
    <t>S-250</t>
  </si>
  <si>
    <t>S-251</t>
  </si>
  <si>
    <t>S-252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</si>
  <si>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</si>
  <si>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</si>
  <si>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</si>
  <si>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</si>
  <si>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</si>
  <si>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</si>
  <si>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</si>
  <si>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</si>
  <si>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</si>
  <si>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</si>
  <si>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S-370</t>
  </si>
  <si>
    <t>S-371</t>
  </si>
  <si>
    <t>S-372</t>
  </si>
  <si>
    <t>S-373</t>
  </si>
  <si>
    <t>S-374</t>
  </si>
  <si>
    <t>S-375</t>
  </si>
  <si>
    <t>S-382</t>
  </si>
  <si>
    <t>S-383</t>
  </si>
  <si>
    <t>S-386</t>
  </si>
  <si>
    <t>S-387</t>
  </si>
  <si>
    <t>S-405</t>
  </si>
  <si>
    <t>Sany</t>
  </si>
  <si>
    <t>K-001</t>
  </si>
  <si>
    <t>K-002</t>
  </si>
  <si>
    <t>K-003</t>
  </si>
  <si>
    <t>K-004</t>
  </si>
  <si>
    <t>K-005</t>
  </si>
  <si>
    <t>K-006</t>
  </si>
  <si>
    <t>K-007</t>
  </si>
  <si>
    <t>K-008</t>
  </si>
  <si>
    <t>K-009</t>
  </si>
  <si>
    <t>K-010</t>
  </si>
  <si>
    <t>Komatsu</t>
  </si>
  <si>
    <t>Front End Loader</t>
  </si>
  <si>
    <t>L-001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</si>
  <si>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</si>
  <si>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</si>
  <si>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</si>
  <si>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</si>
  <si>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</si>
  <si>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</si>
  <si>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</si>
  <si>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</si>
  <si>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</si>
  <si>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</si>
  <si>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</si>
  <si>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L-032</t>
  </si>
  <si>
    <t>L-033</t>
  </si>
  <si>
    <t>L-035</t>
  </si>
  <si>
    <t>SDLG-DEMO</t>
  </si>
  <si>
    <t>Fel</t>
  </si>
  <si>
    <t>Excavator</t>
  </si>
  <si>
    <t>EX-001</t>
  </si>
  <si>
    <t>EX-093</t>
  </si>
  <si>
    <t>EX-094</t>
  </si>
  <si>
    <t>EX-097</t>
  </si>
  <si>
    <t>EX-098</t>
  </si>
  <si>
    <t>EX-100</t>
  </si>
  <si>
    <t>EX-103</t>
  </si>
  <si>
    <t>EX-108</t>
  </si>
  <si>
    <t>EX-110</t>
  </si>
  <si>
    <t>EX-117</t>
  </si>
  <si>
    <t>EX-118</t>
  </si>
  <si>
    <t>EX-122</t>
  </si>
  <si>
    <t>EX-124</t>
  </si>
  <si>
    <t>EX-127</t>
  </si>
  <si>
    <t>EX-140</t>
  </si>
  <si>
    <t>EX-148</t>
  </si>
  <si>
    <t>EX-159</t>
  </si>
  <si>
    <t>EX-161</t>
  </si>
  <si>
    <t>EX-162</t>
  </si>
  <si>
    <t>EX-163</t>
  </si>
  <si>
    <t>EX-164</t>
  </si>
  <si>
    <t>EX-165</t>
  </si>
  <si>
    <t>EX-196</t>
  </si>
  <si>
    <t>EX-197</t>
  </si>
  <si>
    <t>EX-200</t>
  </si>
  <si>
    <t>EX-201</t>
  </si>
  <si>
    <t>EX-205</t>
  </si>
  <si>
    <t>EX-207</t>
  </si>
  <si>
    <t>Surface Miner</t>
  </si>
  <si>
    <t>CSM-001</t>
  </si>
  <si>
    <t>CSM-002</t>
  </si>
  <si>
    <t>CSM-003</t>
  </si>
  <si>
    <t>CSM-004</t>
  </si>
  <si>
    <t>CSM-006</t>
  </si>
  <si>
    <t>CSM-007</t>
  </si>
  <si>
    <t>Csm</t>
  </si>
  <si>
    <t>Diesel Bowser</t>
  </si>
  <si>
    <t>DB-007</t>
  </si>
  <si>
    <t>DB-008</t>
  </si>
  <si>
    <t>DB-019</t>
  </si>
  <si>
    <t>DB-021</t>
  </si>
  <si>
    <t>DB-338</t>
  </si>
  <si>
    <t>DB-348</t>
  </si>
  <si>
    <t>TALABIRA MINE – FMS PERFORMANCE ANALYSIS  |  MAY 2025</t>
  </si>
  <si>
    <t>Adani Natural Resources  |  Fleet Management System (FMS) Data</t>
  </si>
  <si>
    <t>FLEET PERFORMANCE SNAPSHOT – MAY 2025  (All values = Raw Data formulas)</t>
  </si>
  <si>
    <t>Equipment Group</t>
  </si>
  <si>
    <t>Total Units</t>
  </si>
  <si>
    <t>Operational</t>
  </si>
  <si>
    <t>Non-Op</t>
  </si>
  <si>
    <t>Avg Avail %</t>
  </si>
  <si>
    <t>Avg Util %</t>
  </si>
  <si>
    <t>Total Diesel (L)</t>
  </si>
  <si>
    <t>OB CUM (m³)</t>
  </si>
  <si>
    <t>ROM (Tonnes)</t>
  </si>
  <si>
    <t>Avg Idle Hrs/Unit</t>
  </si>
  <si>
    <t>Avg Brkdn Hrs/Unit</t>
  </si>
  <si>
    <t>KEY PERFORMANCE INDICATORS  (Live formulas from Raw Data)</t>
  </si>
  <si>
    <t>Total Fleet</t>
  </si>
  <si>
    <t>Fleet Avail %</t>
  </si>
  <si>
    <t>Fleet Util %</t>
  </si>
  <si>
    <t>Total OB CUM</t>
  </si>
  <si>
    <t>Total ROM (T)</t>
  </si>
  <si>
    <t>Total Idle Hrs</t>
  </si>
  <si>
    <t>Non-Op Units</t>
  </si>
  <si>
    <t>Total Brkdn Hrs</t>
  </si>
  <si>
    <t>DATA NOTES</t>
  </si>
  <si>
    <t xml:space="preserve">  • All values = SUMIFS/AVERAGEIFS/COUNTIFS formulas from Raw Data sheet.</t>
  </si>
  <si>
    <t xml:space="preserve">  • Helper columns AC/AD/AE (orange) in Raw Data power all lookups.</t>
  </si>
  <si>
    <t xml:space="preserve">  • May has 744 shift hours (31 days). Same as March, 1 more than April (720 hrs).</t>
  </si>
  <si>
    <t>AVAILABILITY &amp; UTILIZATION | MAY 2025  — Values from Raw Data formulas</t>
  </si>
  <si>
    <t>Equipment ID pre-populated | All other columns = INDEX/MATCH from Raw Data</t>
  </si>
  <si>
    <t>Shift Hrs</t>
  </si>
  <si>
    <t>Avail Hrs</t>
  </si>
  <si>
    <t>Breakdown Hrs</t>
  </si>
  <si>
    <t>Idle Hrs</t>
  </si>
  <si>
    <t>Availability %</t>
  </si>
  <si>
    <t xml:space="preserve">  Dumper</t>
  </si>
  <si>
    <t xml:space="preserve">  Excavator</t>
  </si>
  <si>
    <t xml:space="preserve">  Front End Loader</t>
  </si>
  <si>
    <t xml:space="preserve">  Surface Miner</t>
  </si>
  <si>
    <t xml:space="preserve">  Tipper</t>
  </si>
  <si>
    <t>Green = Avail ≥75% / Util ≥80%</t>
  </si>
  <si>
    <t>Yellow = 50-75% / 70-80%</t>
  </si>
  <si>
    <t>Red = &lt;50% / &lt;70% or Non-Op</t>
  </si>
  <si>
    <t>FUEL CONSUMPTION ANALYSIS | MAY 2025  — Values from Raw Data formulas</t>
  </si>
  <si>
    <t>GROUP SUMMARY  (SUMIFS / AVERAGEIFS formulas)</t>
  </si>
  <si>
    <t>Op Units</t>
  </si>
  <si>
    <t>Avg L/Hr</t>
  </si>
  <si>
    <t>Total OB CUM (m³)</t>
  </si>
  <si>
    <t>INDIVIDUAL EQUIPMENT – sorted by Diesel Consumed  |  ID static, values = INDEX/MATCH</t>
  </si>
  <si>
    <t>L/Hr (Overall)</t>
  </si>
  <si>
    <t>L/Hr (Productive)</t>
  </si>
  <si>
    <t>Op Hours</t>
  </si>
  <si>
    <t>ROM (T)</t>
  </si>
  <si>
    <t>IDLE TIME &amp; BREAKDOWN ANALYSIS | MAY 2025  — Values from Raw Data formulas</t>
  </si>
  <si>
    <t>Avg Idle/Unit</t>
  </si>
  <si>
    <t>Idle % of Avail</t>
  </si>
  <si>
    <t>Brkdn % of Shift</t>
  </si>
  <si>
    <t>Avg Shift Hrs</t>
  </si>
  <si>
    <t>TOP 30 HIGHEST IDLE HOURS  |  ID static, values = INDEX/MATCH  |  Ratios = in-row calc</t>
  </si>
  <si>
    <t>Brkdn Hrs</t>
  </si>
  <si>
    <t>PRODUCTION KPIs – TIPPERS &amp; DUMPERS | MAY 2025  — Values from Raw Data formulas</t>
  </si>
  <si>
    <t>TIPPER ROM PRODUCTION  |  ID static, values = INDEX/MATCH  |  Derived ratios = in-row calc</t>
  </si>
  <si>
    <t>Avail %</t>
  </si>
  <si>
    <t>Util %</t>
  </si>
  <si>
    <t>ROM Trips</t>
  </si>
  <si>
    <t>ROM Tonnes</t>
  </si>
  <si>
    <t>Avg T/Trip</t>
  </si>
  <si>
    <t>Diesel (L)</t>
  </si>
  <si>
    <t>L/Tonne</t>
  </si>
  <si>
    <t>DUMPER OB PRODUCTION  |  ID static, values = INDEX/MATCH  |  L/m³ = in-row calc</t>
  </si>
  <si>
    <t>OB Trips</t>
  </si>
  <si>
    <t>L/m³ OB</t>
  </si>
  <si>
    <t>IMPROVEMENT OPPORTUNITIES &amp; RECOMMENDATIONS | MAY 2025</t>
  </si>
  <si>
    <t>NON-OPERATIONAL UNITS  —  Zero Availability All Month  (14 units)</t>
  </si>
  <si>
    <t>These units had zero productive hours for the entire month. Investigate: major breakdown, awaiting spare parts, or retirement decision pending.</t>
  </si>
  <si>
    <t>Investigate</t>
  </si>
  <si>
    <t>Action</t>
  </si>
  <si>
    <t>-</t>
  </si>
  <si>
    <t>Pending RCA</t>
  </si>
  <si>
    <t>Escalate to maintenance manager</t>
  </si>
  <si>
    <t>LOW AVAILABILITY UNITS  (&lt;40%)  —  42 units</t>
  </si>
  <si>
    <t>Availability below 40% means the machine is unavailable for more than 60% of scheduled shift time. Primary cause is usually breakdown frequency or extended repairs.</t>
  </si>
  <si>
    <t>TOP 10 HIGHEST IDLE HOURS  —  Available but not working</t>
  </si>
  <si>
    <t>Idle time = equipment is available and running but not producing. Every idle hour burns fuel with zero output. Key causes: poor dispatch, waiting at shovel/dump, operator breaks.</t>
  </si>
  <si>
    <t>Idle Hours</t>
  </si>
  <si>
    <t>Avail Hours</t>
  </si>
  <si>
    <t>Est. Wasted Diesel (L)</t>
  </si>
  <si>
    <t>Improve dispatch / reduce queue time</t>
  </si>
  <si>
    <t>RECOMMENDED IMPROVEMENT ACTIONS</t>
  </si>
  <si>
    <t>Priority</t>
  </si>
  <si>
    <t>Area</t>
  </si>
  <si>
    <t>Finding</t>
  </si>
  <si>
    <t>Root Cause (Likely)</t>
  </si>
  <si>
    <t>Recommended Action</t>
  </si>
  <si>
    <t>Expected Benefit</t>
  </si>
  <si>
    <t>P1 – CRITICAL</t>
  </si>
  <si>
    <t>Non-Op Fleet</t>
  </si>
  <si>
    <t>14 units with zero availability all month</t>
  </si>
  <si>
    <t>Major breakdown / awaiting spare parts / retirement decision</t>
  </si>
  <si>
    <t>Conduct Root Cause Analysis per unit; fast-track critical spares procurement; evaluate fleet renewal for chronically down units</t>
  </si>
  <si>
    <t>Restore productive capacity; prevent cumulative production shortfall</t>
  </si>
  <si>
    <t>Idle Time Reduction</t>
  </si>
  <si>
    <t>Total fleet idle hours = 23,067 hrs this month</t>
  </si>
  <si>
    <t>Poor truck-shovel matching; queuing at dump/load points; operator behaviour</t>
  </si>
  <si>
    <t>Activate FMS idle alerts for &gt;15 min idle; optimise truck-to-shovel ratio at congested faces; set shift-wise idle time targets per operator</t>
  </si>
  <si>
    <t>10–15% fuel saving on idle-heavy units; direct cost reduction</t>
  </si>
  <si>
    <t>P2 – HIGH</t>
  </si>
  <si>
    <t>Low Availability</t>
  </si>
  <si>
    <t>42 units below 40% availability</t>
  </si>
  <si>
    <t>High breakdown frequency; PM schedule not being followed; aging fleet</t>
  </si>
  <si>
    <t>Review PM schedule adherence; track MTBF by unit; flag chronic offenders for fleet renewal; increase spare parts buffer stock</t>
  </si>
  <si>
    <t>Each 10% avail gain = +74 productive hrs/unit/month</t>
  </si>
  <si>
    <t>Fuel Efficiency</t>
  </si>
  <si>
    <t>Units showing &gt;2x group median L/hr flagged on Fuel Analysis sheet</t>
  </si>
  <si>
    <t>Fuel sensor fault or engine over-fuelling / injector wear</t>
  </si>
  <si>
    <t>Verify fuel sensor calibration; cross-check with manual dip readings; inspect engine if readings are genuine</t>
  </si>
  <si>
    <t>Prevent excess fuel cost; early detection of engine faults</t>
  </si>
  <si>
    <t>P3 – MEDIUM</t>
  </si>
  <si>
    <t>Payload Optimisation</t>
  </si>
  <si>
    <t>OB CUM per trip varies widely across dumper fleet</t>
  </si>
  <si>
    <t>Inconsistent excavator pass count; operator variability; ground conditions</t>
  </si>
  <si>
    <t>Set loading targets per truck class in FMS; monitor payload per trip; train excavator operators on consistent loading technique</t>
  </si>
  <si>
    <t>5% payload improvement = 5% more OB moved without adding trucks</t>
  </si>
  <si>
    <t>Data Quality</t>
  </si>
  <si>
    <t>NaN values in ROM/OB/Diesel columns for some units; missing utilization %</t>
  </si>
  <si>
    <t>FMS sensor dropouts; manual entry gaps; equipment not assigned in FMS</t>
  </si>
  <si>
    <t>Configure FMS to log zero values explicitly; monthly data validation audit before reporting; train operators on HMR entry</t>
  </si>
  <si>
    <t>Reliable KPIs for management decisions and trend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</si>
</sst>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.0"/>
    <numFmt numFmtId="167" formatCode="0.000"/>
  </numFmts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8"/>
      <color rgb="FF1F3864"/>
      <name val="Arial"/>
      <charset val="1"/>
    </font>
    <font>
      <b/>
      <sz val="13"/>
      <color rgb="FFFFFFFF"/>
      <name val="Arial"/>
      <charset val="1"/>
    </font>
    <font>
      <b/>
      <sz val="10"/>
      <color rgb="FFC55A11"/>
      <name val="Arial"/>
      <charset val="1"/>
    </font>
    <font>
      <i/>
      <sz val="8"/>
      <color rgb="FF1F3864"/>
      <name val="Arial"/>
      <charset val="1"/>
    </font>
    <font>
      <i/>
      <sz val="8"/>
      <color rgb="FF595959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55A11"/>
        <bgColor rgb="FF993300"/>
      </patternFill>
    </fill>
    <fill>
      <patternFill patternType="solid">
        <fgColor rgb="FFD9E1F2"/>
        <bgColor rgb="FFE2EFDA"/>
      </patternFill>
    </fill>
    <fill>
      <patternFill patternType="solid">
        <fgColor rgb="FFFFF0CC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FF0CC"/>
      </patternFill>
    </fill>
    <fill>
      <patternFill patternType="solid">
        <fgColor rgb="FFFCE4D6"/>
        <bgColor rgb="FFFDEBD0"/>
      </patternFill>
    </fill>
    <fill>
      <patternFill patternType="solid">
        <fgColor rgb="FFFADBD8"/>
        <bgColor rgb="FFFCE4D6"/>
      </patternFill>
    </fill>
    <fill>
      <patternFill patternType="solid">
        <fgColor rgb="FFFDEBD0"/>
        <bgColor rgb="FFFFF0CC"/>
      </patternFill>
    </fill>
    <fill>
      <patternFill patternType="solid">
        <fgColor rgb="FFFFFF00"/>
        <bgColor rgb="FFE2EFDA"/>
      </patternFill>
    </fill>
    <fill>
      <patternFill patternType="solid">
        <fgColor rgb="FFFFFF00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 indent="1"/>
    </xf>
    <xf numFmtId="0" fontId="8" fillId="11" borderId="1" xfId="0" applyFont="1" applyFill="1" applyBorder="1" applyAlignment="1">
      <alignment horizontal="center" vertical="center" wrapText="1" indent="1"/>
    </xf>
    <xf numFmtId="0" fontId="3" fillId="11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center" vertical="center" wrapText="1" indent="1"/>
    </xf>
    <xf numFmtId="0" fontId="8" fillId="10" borderId="1" xfId="0" applyFont="1" applyFill="1" applyBorder="1" applyAlignment="1">
      <alignment horizontal="center" vertical="center" wrapText="1" indent="1"/>
    </xf>
    <xf numFmtId="0" fontId="3" fillId="10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2" fontId="3" fillId="15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14" borderId="1" xfId="0" applyNumberFormat="1" applyFont="1" applyFill="1" applyBorder="1" applyAlignment="1">
      <alignment horizontal="center" vertical="center"/>
    </xf>
    <xf numFmtId="10" fontId="3" fillId="15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3" fontId="10" fillId="2" borderId="2" xfId="0" applyNumberFormat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3" fontId="10" fillId="8" borderId="2" xfId="0" applyNumberFormat="1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7" borderId="2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indent="1"/>
    </xf>
    <xf numFmtId="0" fontId="3" fillId="10" borderId="2" xfId="0" applyFont="1" applyFill="1" applyBorder="1" applyAlignment="1">
      <alignment horizontal="left" indent="1"/>
    </xf>
    <xf numFmtId="0" fontId="3" fillId="11" borderId="2" xfId="0" applyFont="1" applyFill="1" applyBorder="1" applyAlignment="1">
      <alignment horizontal="left" indent="1"/>
    </xf>
  </cellXfs>
  <cellStyles count="1">
    <cellStyle name="Normal" xfId="0" builtinId="0"/>
  </cellStyles>
  <dxfs count="12"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DEBD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F0CC"/>
      <rgbColor rgb="FF99CCFF"/>
      <rgbColor rgb="FFFF99CC"/>
      <rgbColor rgb="FFCC99FF"/>
      <rgbColor rgb="FFFADBD8"/>
      <rgbColor rgb="FF2E74B5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09"/>
  <sheetViews>
    <sheetView showGridLines="0" tabSelected="1" zoomScale="51" zoomScaleNormal="100" workbookViewId="0">
      <pane ySplit="2" topLeftCell="A3" activePane="bottomLeft" state="frozen"/>
      <selection pane="bottomLeft" activeCell="I37" sqref="I37"/>
    </sheetView>
  </sheetViews>
  <sheetFormatPr defaultColWidth="8.6328125" defaultRowHeight="14.5" x14ac:dyDescent="0.35"/>
  <cols>
    <col min="1" max="1" width="6" customWidth="1"/>
    <col min="2" max="2" width="16" customWidth="1"/>
    <col min="3" max="3" width="14" customWidth="1"/>
    <col min="4" max="4" width="11" customWidth="1"/>
    <col min="5" max="5" width="15" customWidth="1"/>
    <col min="6" max="7" width="18" customWidth="1"/>
    <col min="8" max="9" width="19" customWidth="1"/>
    <col min="10" max="10" width="16" customWidth="1"/>
    <col min="11" max="11" width="15" customWidth="1"/>
    <col min="12" max="12" width="16" customWidth="1"/>
    <col min="13" max="13" width="18" customWidth="1"/>
    <col min="14" max="14" width="10" customWidth="1"/>
    <col min="15" max="16" width="12" customWidth="1"/>
    <col min="17" max="17" width="16" customWidth="1"/>
    <col min="18" max="18" width="18" customWidth="1"/>
    <col min="19" max="19" width="10" customWidth="1"/>
    <col min="20" max="20" width="16" customWidth="1"/>
    <col min="21" max="21" width="17" customWidth="1"/>
    <col min="22" max="22" width="6" customWidth="1"/>
    <col min="23" max="23" width="16" customWidth="1"/>
    <col min="24" max="24" width="10" customWidth="1"/>
    <col min="25" max="25" width="20" customWidth="1"/>
    <col min="26" max="26" width="22" customWidth="1"/>
    <col min="27" max="27" width="10" customWidth="1"/>
    <col min="28" max="28" width="11" customWidth="1"/>
    <col min="29" max="30" width="14" customWidth="1"/>
    <col min="31" max="31" width="12" customWidth="1"/>
  </cols>
  <sheetData>
    <row r="1" spans="1:31" ht="27.75" customHeight="1" x14ac:dyDescent="0.3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spans="1:31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2" t="s">
        <v>29</v>
      </c>
      <c r="AD2" s="2" t="s">
        <v>30</v>
      </c>
      <c r="AE2" s="2" t="s">
        <v>31</v>
      </c>
    </row>
    <row r="3" spans="1:31" ht="13.5" hidden="1" customHeight="1" x14ac:dyDescent="0.35">
      <c r="A3" s="3">
        <v>1</v>
      </c>
      <c r="B3" s="3" t="s">
        <v>32</v>
      </c>
      <c r="C3" s="3" t="s">
        <v>33</v>
      </c>
      <c r="D3" s="52">
        <v>743.999899999999</v>
      </c>
      <c r="E3" s="48">
        <v>17.0916</v>
      </c>
      <c r="F3" s="48">
        <v>2.1082999999999998</v>
      </c>
      <c r="G3" s="48">
        <v>2.1053999999999999</v>
      </c>
      <c r="H3" s="48">
        <v>726.90829999999903</v>
      </c>
      <c r="I3" s="48">
        <v>1.3235999999999899</v>
      </c>
      <c r="J3" s="48">
        <v>14.9833</v>
      </c>
      <c r="K3" s="48">
        <v>26.332999999999998</v>
      </c>
      <c r="L3" s="48">
        <v>2.1053999999999999</v>
      </c>
      <c r="M3" s="48">
        <v>27.656599999999901</v>
      </c>
      <c r="N3" s="48">
        <v>29.761999999999901</v>
      </c>
      <c r="O3" s="56">
        <v>2.29725837E-2</v>
      </c>
      <c r="P3" s="56">
        <v>0.12318331809999999</v>
      </c>
      <c r="Q3" s="3">
        <v>0</v>
      </c>
      <c r="R3" s="48">
        <v>0</v>
      </c>
      <c r="S3" s="48">
        <v>0</v>
      </c>
      <c r="T3" s="3">
        <v>402</v>
      </c>
      <c r="U3" s="3">
        <f>T3*V3</f>
        <v>5226</v>
      </c>
      <c r="V3" s="3">
        <v>13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" t="str">
        <f t="shared" ref="AC3:AC66" si="0">IF(OR(TRIM(B3)="Tipper",TRIM(B3)="Volvo",TRIM(B3)="Bharatbenz"),"Tipper",IF(OR(TRIM(B3)="Dumper",TRIM(B3)="Sany",TRIM(B3)="Komatsu"),"Dumper",IF(TRIM(B3)="Excavator","Excavator",IF(OR(TRIM(B3)="Front End Loader",TRIM(B3)="Fel"),"Front End Loader",IF(OR(TRIM(B3)="Surface Miner",TRIM(B3)="Csm"),"Surface Miner",IF(TRIM(B3)="Diesel Bowser","Diesel Bowser","Other"))))))</f>
        <v>Tipper</v>
      </c>
      <c r="AD3" s="4" t="str">
        <f t="shared" ref="AD3:AD66" si="1">IF(E3=0,"Non-Operational","Operational")</f>
        <v>Operational</v>
      </c>
      <c r="AE3" s="4" t="str">
        <f>IF(OR(C3=54,C3=67,C3=10,C3=16,C3=6,C3=12,C3=28),"Aggregate","Individual")</f>
        <v>Individual</v>
      </c>
    </row>
    <row r="4" spans="1:31" ht="13.5" customHeight="1" x14ac:dyDescent="0.35">
      <c r="A4" s="5">
        <v>2</v>
      </c>
      <c r="B4" s="5" t="s">
        <v>32</v>
      </c>
      <c r="C4" s="5" t="s">
        <v>34</v>
      </c>
      <c r="D4" s="53">
        <v>744.00049999999999</v>
      </c>
      <c r="E4" s="49">
        <v>169.18049999999999</v>
      </c>
      <c r="F4" s="49">
        <v>56.983199999999997</v>
      </c>
      <c r="G4" s="49">
        <v>56.308199999999999</v>
      </c>
      <c r="H4" s="49">
        <v>574.82000000000005</v>
      </c>
      <c r="I4" s="49">
        <v>2.0445000000000002</v>
      </c>
      <c r="J4" s="49">
        <v>112.1973</v>
      </c>
      <c r="K4" s="49">
        <v>6.5456000000000003</v>
      </c>
      <c r="L4" s="49">
        <v>56.308199999999999</v>
      </c>
      <c r="M4" s="49">
        <v>8.5900999999999996</v>
      </c>
      <c r="N4" s="49">
        <v>64.898300000000006</v>
      </c>
      <c r="O4" s="57">
        <v>0.22739299230000001</v>
      </c>
      <c r="P4" s="57">
        <v>0.33282913809999998</v>
      </c>
      <c r="Q4" s="5">
        <v>122</v>
      </c>
      <c r="R4" s="49">
        <v>2807.05</v>
      </c>
      <c r="S4" s="49">
        <v>23.00860656</v>
      </c>
      <c r="T4" s="5">
        <v>0</v>
      </c>
      <c r="U4" s="5">
        <f t="shared" ref="U4:U67" si="2">T4*V4</f>
        <v>0</v>
      </c>
      <c r="V4" s="5">
        <v>13</v>
      </c>
      <c r="W4" s="49">
        <v>725.04</v>
      </c>
      <c r="X4" s="49">
        <v>11.171941329999999</v>
      </c>
      <c r="Y4" s="49">
        <v>629.07190679999997</v>
      </c>
      <c r="Z4" s="49">
        <v>95.96809322</v>
      </c>
      <c r="AA4" s="49">
        <v>5.9429508200000001</v>
      </c>
      <c r="AB4" s="49">
        <v>0.25829251349999999</v>
      </c>
      <c r="AC4" s="4" t="str">
        <f t="shared" si="0"/>
        <v>Tipper</v>
      </c>
      <c r="AD4" s="4" t="str">
        <f t="shared" si="1"/>
        <v>Operational</v>
      </c>
      <c r="AE4" s="4" t="str">
        <f t="shared" ref="AE4:AE67" si="3">IF(OR(C4=54,C4=67,C4=10,C4=16,C4=6,C4=12,C4=28),"Aggregate","Individual")</f>
        <v>Individual</v>
      </c>
    </row>
    <row r="5" spans="1:31" ht="13.5" hidden="1" customHeight="1" x14ac:dyDescent="0.35">
      <c r="A5" s="3">
        <v>3</v>
      </c>
      <c r="B5" s="3" t="s">
        <v>32</v>
      </c>
      <c r="C5" s="3" t="s">
        <v>35</v>
      </c>
      <c r="D5" s="52">
        <v>744.00009999999997</v>
      </c>
      <c r="E5" s="48">
        <v>1.6334</v>
      </c>
      <c r="F5" s="48">
        <v>0.82779999999999898</v>
      </c>
      <c r="G5" s="48">
        <v>0.82779999999999898</v>
      </c>
      <c r="H5" s="48">
        <v>742.36670000000004</v>
      </c>
      <c r="I5" s="48">
        <v>0.56669999999999998</v>
      </c>
      <c r="J5" s="48">
        <v>0.80559999999999998</v>
      </c>
      <c r="K5" s="48">
        <v>1.9988999999999999</v>
      </c>
      <c r="L5" s="48">
        <v>0.82779999999999898</v>
      </c>
      <c r="M5" s="48">
        <v>2.5655999999999999</v>
      </c>
      <c r="N5" s="48">
        <v>3.39339999999999</v>
      </c>
      <c r="O5" s="56">
        <v>2.1954297999999999E-3</v>
      </c>
      <c r="P5" s="56">
        <v>0.50679564099999996</v>
      </c>
      <c r="Q5" s="3">
        <v>0</v>
      </c>
      <c r="R5" s="48">
        <v>0</v>
      </c>
      <c r="S5" s="48">
        <v>0</v>
      </c>
      <c r="T5" s="3">
        <v>6</v>
      </c>
      <c r="U5" s="3">
        <f t="shared" si="2"/>
        <v>78</v>
      </c>
      <c r="V5" s="3">
        <v>13</v>
      </c>
      <c r="W5" s="48">
        <v>218.7</v>
      </c>
      <c r="X5" s="48">
        <v>64.448635589999995</v>
      </c>
      <c r="Y5" s="48">
        <v>53.350580540000003</v>
      </c>
      <c r="Z5" s="48">
        <v>165.34941950000001</v>
      </c>
      <c r="AA5" s="48">
        <v>0</v>
      </c>
      <c r="AB5" s="48">
        <v>0</v>
      </c>
      <c r="AC5" s="4" t="str">
        <f t="shared" si="0"/>
        <v>Tipper</v>
      </c>
      <c r="AD5" s="4" t="str">
        <f t="shared" si="1"/>
        <v>Operational</v>
      </c>
      <c r="AE5" s="4" t="str">
        <f t="shared" si="3"/>
        <v>Individual</v>
      </c>
    </row>
    <row r="6" spans="1:31" ht="13.5" hidden="1" customHeight="1" x14ac:dyDescent="0.35">
      <c r="A6" s="5">
        <v>4</v>
      </c>
      <c r="B6" s="5" t="s">
        <v>32</v>
      </c>
      <c r="C6" s="5" t="s">
        <v>36</v>
      </c>
      <c r="D6" s="53">
        <v>744</v>
      </c>
      <c r="E6" s="49">
        <v>0</v>
      </c>
      <c r="F6" s="49">
        <v>0</v>
      </c>
      <c r="G6" s="49">
        <v>0</v>
      </c>
      <c r="H6" s="49">
        <v>744</v>
      </c>
      <c r="I6" s="49">
        <v>0</v>
      </c>
      <c r="J6" s="49">
        <v>0</v>
      </c>
      <c r="K6" s="49">
        <v>0</v>
      </c>
      <c r="L6" s="49">
        <v>0</v>
      </c>
      <c r="M6" s="49">
        <v>0</v>
      </c>
      <c r="N6" s="49">
        <v>0</v>
      </c>
      <c r="O6" s="57">
        <v>0</v>
      </c>
      <c r="P6" s="57">
        <v>0</v>
      </c>
      <c r="Q6" s="5">
        <v>0</v>
      </c>
      <c r="R6" s="49">
        <v>0</v>
      </c>
      <c r="S6" s="49">
        <v>0</v>
      </c>
      <c r="T6" s="5">
        <v>0</v>
      </c>
      <c r="U6" s="5">
        <f t="shared" si="2"/>
        <v>0</v>
      </c>
      <c r="V6" s="5">
        <v>13</v>
      </c>
      <c r="W6" s="49">
        <v>0</v>
      </c>
      <c r="X6" s="49">
        <v>0</v>
      </c>
      <c r="Y6" s="49">
        <v>0</v>
      </c>
      <c r="Z6" s="49">
        <v>0</v>
      </c>
      <c r="AA6" s="49">
        <v>0</v>
      </c>
      <c r="AB6" s="49">
        <v>0</v>
      </c>
      <c r="AC6" s="4" t="str">
        <f t="shared" si="0"/>
        <v>Tipper</v>
      </c>
      <c r="AD6" s="4" t="str">
        <f t="shared" si="1"/>
        <v>Non-Operational</v>
      </c>
      <c r="AE6" s="4" t="str">
        <f t="shared" si="3"/>
        <v>Individual</v>
      </c>
    </row>
    <row r="7" spans="1:31" ht="13.5" hidden="1" customHeight="1" x14ac:dyDescent="0.35">
      <c r="A7" s="3">
        <v>5</v>
      </c>
      <c r="B7" s="3" t="s">
        <v>32</v>
      </c>
      <c r="C7" s="3" t="s">
        <v>37</v>
      </c>
      <c r="D7" s="52">
        <v>739.56549999999902</v>
      </c>
      <c r="E7" s="48">
        <v>63.396799999999999</v>
      </c>
      <c r="F7" s="48">
        <v>5.5994999999999999</v>
      </c>
      <c r="G7" s="48">
        <v>4.9370000000000003</v>
      </c>
      <c r="H7" s="48">
        <v>676.16869999999994</v>
      </c>
      <c r="I7" s="48">
        <v>6.5646000000000004</v>
      </c>
      <c r="J7" s="48">
        <v>57.7973</v>
      </c>
      <c r="K7" s="48">
        <v>16.811900000000001</v>
      </c>
      <c r="L7" s="48">
        <v>4.9370000000000003</v>
      </c>
      <c r="M7" s="48">
        <v>23.3765</v>
      </c>
      <c r="N7" s="48">
        <v>28.313500000000001</v>
      </c>
      <c r="O7" s="56">
        <v>8.5721683899999998E-2</v>
      </c>
      <c r="P7" s="56">
        <v>7.7874593000000006E-2</v>
      </c>
      <c r="Q7" s="3">
        <v>0</v>
      </c>
      <c r="R7" s="48">
        <v>0</v>
      </c>
      <c r="S7" s="48">
        <v>0</v>
      </c>
      <c r="T7" s="3">
        <v>0</v>
      </c>
      <c r="U7" s="3">
        <f t="shared" si="2"/>
        <v>0</v>
      </c>
      <c r="V7" s="3">
        <v>13</v>
      </c>
      <c r="W7" s="48">
        <v>169.02</v>
      </c>
      <c r="X7" s="48">
        <v>5.9695904779999998</v>
      </c>
      <c r="Y7" s="48">
        <v>29.471868189999999</v>
      </c>
      <c r="Z7" s="48">
        <v>139.54813179999999</v>
      </c>
      <c r="AA7" s="48">
        <v>0</v>
      </c>
      <c r="AB7" s="48">
        <v>0</v>
      </c>
      <c r="AC7" s="4" t="str">
        <f t="shared" si="0"/>
        <v>Tipper</v>
      </c>
      <c r="AD7" s="4" t="str">
        <f t="shared" si="1"/>
        <v>Operational</v>
      </c>
      <c r="AE7" s="4" t="str">
        <f t="shared" si="3"/>
        <v>Individual</v>
      </c>
    </row>
    <row r="8" spans="1:31" ht="13.5" hidden="1" customHeight="1" x14ac:dyDescent="0.35">
      <c r="A8" s="5">
        <v>6</v>
      </c>
      <c r="B8" s="5" t="s">
        <v>32</v>
      </c>
      <c r="C8" s="5" t="s">
        <v>38</v>
      </c>
      <c r="D8" s="53">
        <v>744.00139999999897</v>
      </c>
      <c r="E8" s="49">
        <v>270.558099999999</v>
      </c>
      <c r="F8" s="49">
        <v>19.9012999999999</v>
      </c>
      <c r="G8" s="49">
        <v>3.1288999999999998</v>
      </c>
      <c r="H8" s="49">
        <v>473.443299999999</v>
      </c>
      <c r="I8" s="49">
        <v>0.79049999999999998</v>
      </c>
      <c r="J8" s="49">
        <v>250.65679999999901</v>
      </c>
      <c r="K8" s="49">
        <v>2.2353999999999998</v>
      </c>
      <c r="L8" s="49">
        <v>3.1288999999999998</v>
      </c>
      <c r="M8" s="49">
        <v>3.0259</v>
      </c>
      <c r="N8" s="49">
        <v>6.1547999999999998</v>
      </c>
      <c r="O8" s="57">
        <v>0.3636526759</v>
      </c>
      <c r="P8" s="57">
        <v>1.1564614000000001E-2</v>
      </c>
      <c r="Q8" s="5">
        <v>0</v>
      </c>
      <c r="R8" s="49">
        <v>0</v>
      </c>
      <c r="S8" s="49">
        <v>0</v>
      </c>
      <c r="T8" s="5">
        <v>2</v>
      </c>
      <c r="U8" s="5">
        <f t="shared" si="2"/>
        <v>26</v>
      </c>
      <c r="V8" s="5">
        <v>13</v>
      </c>
      <c r="W8" s="49">
        <v>0.39</v>
      </c>
      <c r="X8" s="49">
        <v>6.33651784E-2</v>
      </c>
      <c r="Y8" s="49">
        <v>0.1982633067</v>
      </c>
      <c r="Z8" s="49">
        <v>0.19173669330000001</v>
      </c>
      <c r="AA8" s="49">
        <v>0</v>
      </c>
      <c r="AB8" s="49">
        <v>0</v>
      </c>
      <c r="AC8" s="4" t="str">
        <f t="shared" si="0"/>
        <v>Tipper</v>
      </c>
      <c r="AD8" s="4" t="str">
        <f t="shared" si="1"/>
        <v>Operational</v>
      </c>
      <c r="AE8" s="4" t="str">
        <f t="shared" si="3"/>
        <v>Individual</v>
      </c>
    </row>
    <row r="9" spans="1:31" ht="13.5" hidden="1" customHeight="1" x14ac:dyDescent="0.35">
      <c r="A9" s="3">
        <v>7</v>
      </c>
      <c r="B9" s="3" t="s">
        <v>32</v>
      </c>
      <c r="C9" s="3" t="s">
        <v>39</v>
      </c>
      <c r="D9" s="52">
        <v>744</v>
      </c>
      <c r="E9" s="48">
        <v>0</v>
      </c>
      <c r="F9" s="48">
        <v>0</v>
      </c>
      <c r="G9" s="48">
        <v>0</v>
      </c>
      <c r="H9" s="48">
        <v>744</v>
      </c>
      <c r="I9" s="48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56">
        <v>0</v>
      </c>
      <c r="P9" s="56">
        <v>0</v>
      </c>
      <c r="Q9" s="3">
        <v>0</v>
      </c>
      <c r="R9" s="48">
        <v>0</v>
      </c>
      <c r="S9" s="48">
        <v>0</v>
      </c>
      <c r="T9" s="3">
        <v>0</v>
      </c>
      <c r="U9" s="3">
        <f t="shared" si="2"/>
        <v>0</v>
      </c>
      <c r="V9" s="3">
        <v>13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" t="str">
        <f t="shared" si="0"/>
        <v>Tipper</v>
      </c>
      <c r="AD9" s="4" t="str">
        <f t="shared" si="1"/>
        <v>Non-Operational</v>
      </c>
      <c r="AE9" s="4" t="str">
        <f t="shared" si="3"/>
        <v>Individual</v>
      </c>
    </row>
    <row r="10" spans="1:31" ht="13.5" hidden="1" customHeight="1" x14ac:dyDescent="0.35">
      <c r="A10" s="5">
        <v>8</v>
      </c>
      <c r="B10" s="5" t="s">
        <v>32</v>
      </c>
      <c r="C10" s="5" t="s">
        <v>40</v>
      </c>
      <c r="D10" s="53">
        <v>744.00009999999997</v>
      </c>
      <c r="E10" s="49">
        <v>72.000100000000003</v>
      </c>
      <c r="F10" s="49">
        <v>0.1106</v>
      </c>
      <c r="G10" s="49">
        <v>0.1091</v>
      </c>
      <c r="H10" s="49">
        <v>672</v>
      </c>
      <c r="I10" s="49">
        <v>0</v>
      </c>
      <c r="J10" s="49">
        <v>71.889499999999998</v>
      </c>
      <c r="K10" s="49">
        <v>0</v>
      </c>
      <c r="L10" s="49">
        <v>0.1091</v>
      </c>
      <c r="M10" s="49">
        <v>0</v>
      </c>
      <c r="N10" s="49">
        <v>0.1091</v>
      </c>
      <c r="O10" s="57">
        <v>9.6774314900000005E-2</v>
      </c>
      <c r="P10" s="57">
        <v>1.5152757E-3</v>
      </c>
      <c r="Q10" s="5">
        <v>0</v>
      </c>
      <c r="R10" s="49">
        <v>0</v>
      </c>
      <c r="S10" s="49">
        <v>0</v>
      </c>
      <c r="T10" s="5">
        <v>0</v>
      </c>
      <c r="U10" s="5">
        <f t="shared" si="2"/>
        <v>0</v>
      </c>
      <c r="V10" s="5">
        <v>13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" t="str">
        <f t="shared" si="0"/>
        <v>Tipper</v>
      </c>
      <c r="AD10" s="4" t="str">
        <f t="shared" si="1"/>
        <v>Operational</v>
      </c>
      <c r="AE10" s="4" t="str">
        <f t="shared" si="3"/>
        <v>Individual</v>
      </c>
    </row>
    <row r="11" spans="1:31" ht="13.5" hidden="1" customHeight="1" x14ac:dyDescent="0.35">
      <c r="A11" s="3">
        <v>9</v>
      </c>
      <c r="B11" s="3" t="s">
        <v>32</v>
      </c>
      <c r="C11" s="3" t="s">
        <v>41</v>
      </c>
      <c r="D11" s="52">
        <v>743.99990000000003</v>
      </c>
      <c r="E11" s="48">
        <v>197.08049999999901</v>
      </c>
      <c r="F11" s="48">
        <v>12.042399999999899</v>
      </c>
      <c r="G11" s="48">
        <v>11.525599999999899</v>
      </c>
      <c r="H11" s="48">
        <v>546.9194</v>
      </c>
      <c r="I11" s="48">
        <v>1.0533999999999999</v>
      </c>
      <c r="J11" s="48">
        <v>185.03809999999899</v>
      </c>
      <c r="K11" s="48">
        <v>5.7851999999999997</v>
      </c>
      <c r="L11" s="48">
        <v>11.525599999999899</v>
      </c>
      <c r="M11" s="48">
        <v>6.8385999999999996</v>
      </c>
      <c r="N11" s="48">
        <v>18.364199999999901</v>
      </c>
      <c r="O11" s="56">
        <v>0.26489318080000002</v>
      </c>
      <c r="P11" s="56">
        <v>5.8481686400000003E-2</v>
      </c>
      <c r="Q11" s="3">
        <v>21</v>
      </c>
      <c r="R11" s="48">
        <v>492.1</v>
      </c>
      <c r="S11" s="48">
        <v>23.43333333</v>
      </c>
      <c r="T11" s="3">
        <v>0</v>
      </c>
      <c r="U11" s="3">
        <f t="shared" si="2"/>
        <v>0</v>
      </c>
      <c r="V11" s="3">
        <v>13</v>
      </c>
      <c r="W11" s="48">
        <v>150.16</v>
      </c>
      <c r="X11" s="48">
        <v>8.1767787330000008</v>
      </c>
      <c r="Y11" s="48">
        <v>94.242280960000002</v>
      </c>
      <c r="Z11" s="48">
        <v>55.917719040000001</v>
      </c>
      <c r="AA11" s="48">
        <v>7.15047619</v>
      </c>
      <c r="AB11" s="48">
        <v>0.3051412315</v>
      </c>
      <c r="AC11" s="4" t="str">
        <f t="shared" si="0"/>
        <v>Tipper</v>
      </c>
      <c r="AD11" s="4" t="str">
        <f t="shared" si="1"/>
        <v>Operational</v>
      </c>
      <c r="AE11" s="4" t="str">
        <f t="shared" si="3"/>
        <v>Individual</v>
      </c>
    </row>
    <row r="12" spans="1:31" ht="13.5" hidden="1" customHeight="1" x14ac:dyDescent="0.35">
      <c r="A12" s="5">
        <v>10</v>
      </c>
      <c r="B12" s="5" t="s">
        <v>32</v>
      </c>
      <c r="C12" s="5" t="s">
        <v>42</v>
      </c>
      <c r="D12" s="53">
        <v>744</v>
      </c>
      <c r="E12" s="49">
        <v>0</v>
      </c>
      <c r="F12" s="49">
        <v>0</v>
      </c>
      <c r="G12" s="49">
        <v>0</v>
      </c>
      <c r="H12" s="49">
        <v>744</v>
      </c>
      <c r="I12" s="49">
        <v>0</v>
      </c>
      <c r="J12" s="49">
        <v>0</v>
      </c>
      <c r="K12" s="49">
        <v>8.8691999999999993</v>
      </c>
      <c r="L12" s="49">
        <v>0</v>
      </c>
      <c r="M12" s="49">
        <v>8.8691999999999993</v>
      </c>
      <c r="N12" s="49">
        <v>8.8691999999999993</v>
      </c>
      <c r="O12" s="57">
        <v>0</v>
      </c>
      <c r="P12" s="57">
        <v>0</v>
      </c>
      <c r="Q12" s="5">
        <v>0</v>
      </c>
      <c r="R12" s="49">
        <v>0</v>
      </c>
      <c r="S12" s="49">
        <v>0</v>
      </c>
      <c r="T12" s="5">
        <v>0</v>
      </c>
      <c r="U12" s="5">
        <f t="shared" si="2"/>
        <v>0</v>
      </c>
      <c r="V12" s="5">
        <v>13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" t="str">
        <f t="shared" si="0"/>
        <v>Tipper</v>
      </c>
      <c r="AD12" s="4" t="str">
        <f t="shared" si="1"/>
        <v>Non-Operational</v>
      </c>
      <c r="AE12" s="4" t="str">
        <f t="shared" si="3"/>
        <v>Individual</v>
      </c>
    </row>
    <row r="13" spans="1:31" ht="13.5" customHeight="1" x14ac:dyDescent="0.35">
      <c r="A13" s="3">
        <v>11</v>
      </c>
      <c r="B13" s="3" t="s">
        <v>32</v>
      </c>
      <c r="C13" s="3" t="s">
        <v>43</v>
      </c>
      <c r="D13" s="52">
        <v>744.00109999999995</v>
      </c>
      <c r="E13" s="48">
        <v>153.755899999999</v>
      </c>
      <c r="F13" s="48">
        <v>37.159699999999901</v>
      </c>
      <c r="G13" s="48">
        <v>37.076599999999999</v>
      </c>
      <c r="H13" s="48">
        <v>590.24519999999995</v>
      </c>
      <c r="I13" s="48">
        <v>7.0495999999999999</v>
      </c>
      <c r="J13" s="48">
        <v>116.596199999999</v>
      </c>
      <c r="K13" s="48">
        <v>0</v>
      </c>
      <c r="L13" s="48">
        <v>37.076599999999999</v>
      </c>
      <c r="M13" s="48">
        <v>7.0495999999999999</v>
      </c>
      <c r="N13" s="48">
        <v>44.126199999999997</v>
      </c>
      <c r="O13" s="56">
        <v>0.20666085040000001</v>
      </c>
      <c r="P13" s="56">
        <v>0.2411393644</v>
      </c>
      <c r="Q13" s="3">
        <v>68</v>
      </c>
      <c r="R13" s="48">
        <v>1601.88</v>
      </c>
      <c r="S13" s="48">
        <v>23.557058820000002</v>
      </c>
      <c r="T13" s="3">
        <v>0</v>
      </c>
      <c r="U13" s="3">
        <f t="shared" si="2"/>
        <v>0</v>
      </c>
      <c r="V13" s="3">
        <v>13</v>
      </c>
      <c r="W13" s="48">
        <v>572.81999999999903</v>
      </c>
      <c r="X13" s="48">
        <v>12.98140334</v>
      </c>
      <c r="Y13" s="48">
        <v>481.30629900000002</v>
      </c>
      <c r="Z13" s="48">
        <v>91.513700979999996</v>
      </c>
      <c r="AA13" s="48">
        <v>8.4238235289999999</v>
      </c>
      <c r="AB13" s="48">
        <v>0.35759232899999999</v>
      </c>
      <c r="AC13" s="4" t="str">
        <f t="shared" si="0"/>
        <v>Tipper</v>
      </c>
      <c r="AD13" s="4" t="str">
        <f t="shared" si="1"/>
        <v>Operational</v>
      </c>
      <c r="AE13" s="4" t="str">
        <f t="shared" si="3"/>
        <v>Individual</v>
      </c>
    </row>
    <row r="14" spans="1:31" ht="13.5" hidden="1" customHeight="1" x14ac:dyDescent="0.35">
      <c r="A14" s="5">
        <v>12</v>
      </c>
      <c r="B14" s="5" t="s">
        <v>32</v>
      </c>
      <c r="C14" s="5" t="s">
        <v>44</v>
      </c>
      <c r="D14" s="53">
        <v>744</v>
      </c>
      <c r="E14" s="49">
        <v>0</v>
      </c>
      <c r="F14" s="49">
        <v>0</v>
      </c>
      <c r="G14" s="49">
        <v>0</v>
      </c>
      <c r="H14" s="49">
        <v>744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57">
        <v>0</v>
      </c>
      <c r="P14" s="57">
        <v>0</v>
      </c>
      <c r="Q14" s="5">
        <v>0</v>
      </c>
      <c r="R14" s="49">
        <v>0</v>
      </c>
      <c r="S14" s="49">
        <v>0</v>
      </c>
      <c r="T14" s="5">
        <v>4</v>
      </c>
      <c r="U14" s="5">
        <f t="shared" si="2"/>
        <v>52</v>
      </c>
      <c r="V14" s="5">
        <v>13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" t="str">
        <f t="shared" si="0"/>
        <v>Tipper</v>
      </c>
      <c r="AD14" s="4" t="str">
        <f t="shared" si="1"/>
        <v>Non-Operational</v>
      </c>
      <c r="AE14" s="4" t="str">
        <f t="shared" si="3"/>
        <v>Individual</v>
      </c>
    </row>
    <row r="15" spans="1:31" ht="13.5" hidden="1" customHeight="1" x14ac:dyDescent="0.35">
      <c r="A15" s="46">
        <v>1</v>
      </c>
      <c r="B15" s="46" t="s">
        <v>45</v>
      </c>
      <c r="C15" s="46">
        <v>12</v>
      </c>
      <c r="D15" s="54">
        <v>743.63070830000004</v>
      </c>
      <c r="E15" s="50">
        <v>78.72474167</v>
      </c>
      <c r="F15" s="50">
        <v>11.22773333</v>
      </c>
      <c r="G15" s="50">
        <v>9.6682166669999994</v>
      </c>
      <c r="H15" s="50">
        <v>664.90596670000002</v>
      </c>
      <c r="I15" s="50">
        <v>1.6160749999999999</v>
      </c>
      <c r="J15" s="50">
        <v>67.49700833</v>
      </c>
      <c r="K15" s="50">
        <v>5.7149333330000003</v>
      </c>
      <c r="L15" s="50">
        <v>9.6682166669999994</v>
      </c>
      <c r="M15" s="50">
        <v>7.3310083329999998</v>
      </c>
      <c r="N15" s="50">
        <v>16.999224999999999</v>
      </c>
      <c r="O15" s="58">
        <v>0.10586537209999999</v>
      </c>
      <c r="P15" s="58">
        <v>0.1228103956</v>
      </c>
      <c r="Q15" s="46">
        <v>211</v>
      </c>
      <c r="R15" s="50">
        <v>4901.03</v>
      </c>
      <c r="S15" s="50">
        <v>23.22763033</v>
      </c>
      <c r="T15" s="46">
        <v>414</v>
      </c>
      <c r="U15" s="46">
        <f t="shared" si="2"/>
        <v>5382</v>
      </c>
      <c r="V15" s="46">
        <v>13</v>
      </c>
      <c r="W15" s="50">
        <v>306.02166670000003</v>
      </c>
      <c r="X15" s="50">
        <v>17.135285769999999</v>
      </c>
      <c r="Y15" s="50">
        <v>214.6068665</v>
      </c>
      <c r="Z15" s="50">
        <v>91.414800200000002</v>
      </c>
      <c r="AA15" s="50">
        <v>7.172416847</v>
      </c>
      <c r="AB15" s="50">
        <v>0.30700869130000003</v>
      </c>
      <c r="AC15" s="47" t="str">
        <f t="shared" si="0"/>
        <v>Tipper</v>
      </c>
      <c r="AD15" s="47" t="str">
        <f t="shared" si="1"/>
        <v>Operational</v>
      </c>
      <c r="AE15" s="47" t="str">
        <f t="shared" si="3"/>
        <v>Aggregate</v>
      </c>
    </row>
    <row r="16" spans="1:31" ht="13.5" customHeight="1" x14ac:dyDescent="0.35">
      <c r="A16" s="5">
        <v>1</v>
      </c>
      <c r="B16" s="5" t="s">
        <v>32</v>
      </c>
      <c r="C16" s="5" t="s">
        <v>46</v>
      </c>
      <c r="D16" s="53">
        <v>744.00589999999897</v>
      </c>
      <c r="E16" s="49">
        <v>574.74349999999902</v>
      </c>
      <c r="F16" s="49">
        <v>349.68949999999899</v>
      </c>
      <c r="G16" s="49">
        <v>344.51190000000003</v>
      </c>
      <c r="H16" s="49">
        <v>169.26239999999899</v>
      </c>
      <c r="I16" s="49">
        <v>15.451099999999901</v>
      </c>
      <c r="J16" s="49">
        <v>225.05399999999901</v>
      </c>
      <c r="K16" s="49">
        <v>7.7323000000000004</v>
      </c>
      <c r="L16" s="49">
        <v>344.51190000000003</v>
      </c>
      <c r="M16" s="49">
        <v>23.183399999999899</v>
      </c>
      <c r="N16" s="49">
        <v>367.69529999999997</v>
      </c>
      <c r="O16" s="57">
        <v>0.77249857830000002</v>
      </c>
      <c r="P16" s="57">
        <v>0.5994185232</v>
      </c>
      <c r="Q16" s="5">
        <v>672</v>
      </c>
      <c r="R16" s="49">
        <v>25848.05</v>
      </c>
      <c r="S16" s="49">
        <v>38.464360120000002</v>
      </c>
      <c r="T16" s="5">
        <v>26</v>
      </c>
      <c r="U16" s="5">
        <f t="shared" si="2"/>
        <v>338</v>
      </c>
      <c r="V16" s="5">
        <v>13</v>
      </c>
      <c r="W16" s="49">
        <v>4859.03</v>
      </c>
      <c r="X16" s="49">
        <v>13.2148276</v>
      </c>
      <c r="Y16" s="49">
        <v>4552.6653660000002</v>
      </c>
      <c r="Z16" s="49">
        <v>306.36463429999998</v>
      </c>
      <c r="AA16" s="49">
        <v>6.9613610320000001</v>
      </c>
      <c r="AB16" s="49">
        <v>0.18555795929999999</v>
      </c>
      <c r="AC16" s="4" t="str">
        <f t="shared" si="0"/>
        <v>Tipper</v>
      </c>
      <c r="AD16" s="4" t="str">
        <f t="shared" si="1"/>
        <v>Operational</v>
      </c>
      <c r="AE16" s="4" t="str">
        <f t="shared" si="3"/>
        <v>Individual</v>
      </c>
    </row>
    <row r="17" spans="1:31" ht="13.5" customHeight="1" x14ac:dyDescent="0.35">
      <c r="A17" s="3">
        <v>2</v>
      </c>
      <c r="B17" s="3" t="s">
        <v>32</v>
      </c>
      <c r="C17" s="3" t="s">
        <v>47</v>
      </c>
      <c r="D17" s="52">
        <v>744.00099999999998</v>
      </c>
      <c r="E17" s="48">
        <v>345.004899999999</v>
      </c>
      <c r="F17" s="48">
        <v>277.97889999999899</v>
      </c>
      <c r="G17" s="48">
        <v>161.32259999999999</v>
      </c>
      <c r="H17" s="48">
        <v>398.99610000000001</v>
      </c>
      <c r="I17" s="48">
        <v>7.0628999999999902</v>
      </c>
      <c r="J17" s="48">
        <v>67.025999999999897</v>
      </c>
      <c r="K17" s="48">
        <v>1.7835000000000001</v>
      </c>
      <c r="L17" s="48">
        <v>161.32259999999999</v>
      </c>
      <c r="M17" s="48">
        <v>8.8463999999999992</v>
      </c>
      <c r="N17" s="48">
        <v>170.16900000000001</v>
      </c>
      <c r="O17" s="56">
        <v>0.4637156402</v>
      </c>
      <c r="P17" s="56">
        <v>0.46759509789999998</v>
      </c>
      <c r="Q17" s="3">
        <v>233</v>
      </c>
      <c r="R17" s="48">
        <v>8734.65</v>
      </c>
      <c r="S17" s="48">
        <v>37.487768240000001</v>
      </c>
      <c r="T17" s="3">
        <v>0</v>
      </c>
      <c r="U17" s="3">
        <f t="shared" si="2"/>
        <v>0</v>
      </c>
      <c r="V17" s="3">
        <v>13</v>
      </c>
      <c r="W17" s="48">
        <v>2166.14</v>
      </c>
      <c r="X17" s="48">
        <v>12.72934553</v>
      </c>
      <c r="Y17" s="48">
        <v>2053.5311179999999</v>
      </c>
      <c r="Z17" s="48">
        <v>112.6088823</v>
      </c>
      <c r="AA17" s="48">
        <v>0</v>
      </c>
      <c r="AB17" s="48">
        <v>0</v>
      </c>
      <c r="AC17" s="4" t="str">
        <f t="shared" si="0"/>
        <v>Tipper</v>
      </c>
      <c r="AD17" s="4" t="str">
        <f t="shared" si="1"/>
        <v>Operational</v>
      </c>
      <c r="AE17" s="4" t="str">
        <f t="shared" si="3"/>
        <v>Individual</v>
      </c>
    </row>
    <row r="18" spans="1:31" ht="13.5" customHeight="1" x14ac:dyDescent="0.35">
      <c r="A18" s="5">
        <v>3</v>
      </c>
      <c r="B18" s="5" t="s">
        <v>32</v>
      </c>
      <c r="C18" s="5" t="s">
        <v>48</v>
      </c>
      <c r="D18" s="53">
        <v>744.00339999999903</v>
      </c>
      <c r="E18" s="49">
        <v>644.17959999999903</v>
      </c>
      <c r="F18" s="49">
        <v>378.3587</v>
      </c>
      <c r="G18" s="49">
        <v>375.80470000000003</v>
      </c>
      <c r="H18" s="49">
        <v>99.823800000000006</v>
      </c>
      <c r="I18" s="49">
        <v>20.7423</v>
      </c>
      <c r="J18" s="49">
        <v>265.82089999999903</v>
      </c>
      <c r="K18" s="49">
        <v>9.5417000000000005</v>
      </c>
      <c r="L18" s="49">
        <v>375.80470000000003</v>
      </c>
      <c r="M18" s="49">
        <v>30.283999999999999</v>
      </c>
      <c r="N18" s="49">
        <v>406.08870000000002</v>
      </c>
      <c r="O18" s="57">
        <v>0.86582883899999996</v>
      </c>
      <c r="P18" s="57">
        <v>0.58338497519999999</v>
      </c>
      <c r="Q18" s="5">
        <v>800</v>
      </c>
      <c r="R18" s="49">
        <v>29887.89</v>
      </c>
      <c r="S18" s="49">
        <v>37.359862499999998</v>
      </c>
      <c r="T18" s="5">
        <v>13</v>
      </c>
      <c r="U18" s="5">
        <f t="shared" si="2"/>
        <v>169</v>
      </c>
      <c r="V18" s="5">
        <v>13</v>
      </c>
      <c r="W18" s="49">
        <v>5351.7199999999903</v>
      </c>
      <c r="X18" s="49">
        <v>13.17869717</v>
      </c>
      <c r="Y18" s="49">
        <v>4952.6163349999997</v>
      </c>
      <c r="Z18" s="49">
        <v>399.10366499999998</v>
      </c>
      <c r="AA18" s="49">
        <v>6.5826814269999998</v>
      </c>
      <c r="AB18" s="49">
        <v>0.1770574828</v>
      </c>
      <c r="AC18" s="4" t="str">
        <f t="shared" si="0"/>
        <v>Tipper</v>
      </c>
      <c r="AD18" s="4" t="str">
        <f t="shared" si="1"/>
        <v>Operational</v>
      </c>
      <c r="AE18" s="4" t="str">
        <f t="shared" si="3"/>
        <v>Individual</v>
      </c>
    </row>
    <row r="19" spans="1:31" ht="13.5" customHeight="1" x14ac:dyDescent="0.35">
      <c r="A19" s="3">
        <v>4</v>
      </c>
      <c r="B19" s="3" t="s">
        <v>32</v>
      </c>
      <c r="C19" s="3" t="s">
        <v>49</v>
      </c>
      <c r="D19" s="52">
        <v>744.00009999999997</v>
      </c>
      <c r="E19" s="48">
        <v>233.71239999999901</v>
      </c>
      <c r="F19" s="48">
        <v>175.77769999999899</v>
      </c>
      <c r="G19" s="48">
        <v>174.30279999999999</v>
      </c>
      <c r="H19" s="48">
        <v>510.28769999999997</v>
      </c>
      <c r="I19" s="48">
        <v>8.0566999999999993</v>
      </c>
      <c r="J19" s="48">
        <v>57.9346999999999</v>
      </c>
      <c r="K19" s="48">
        <v>0.62849999999999995</v>
      </c>
      <c r="L19" s="48">
        <v>174.30279999999999</v>
      </c>
      <c r="M19" s="48">
        <v>8.6852</v>
      </c>
      <c r="N19" s="48">
        <v>182.988</v>
      </c>
      <c r="O19" s="56">
        <v>0.31412952770000002</v>
      </c>
      <c r="P19" s="56">
        <v>0.74580039399999998</v>
      </c>
      <c r="Q19" s="3">
        <v>329</v>
      </c>
      <c r="R19" s="48">
        <v>12148.92</v>
      </c>
      <c r="S19" s="48">
        <v>36.926808510000001</v>
      </c>
      <c r="T19" s="3">
        <v>17</v>
      </c>
      <c r="U19" s="3">
        <f t="shared" si="2"/>
        <v>221</v>
      </c>
      <c r="V19" s="3">
        <v>13</v>
      </c>
      <c r="W19" s="48">
        <v>2460.89</v>
      </c>
      <c r="X19" s="48">
        <v>13.448368200000001</v>
      </c>
      <c r="Y19" s="48">
        <v>2344.0882329999999</v>
      </c>
      <c r="Z19" s="48">
        <v>116.8017675</v>
      </c>
      <c r="AA19" s="48">
        <v>7.1123988440000003</v>
      </c>
      <c r="AB19" s="48">
        <v>0</v>
      </c>
      <c r="AC19" s="4" t="str">
        <f t="shared" si="0"/>
        <v>Tipper</v>
      </c>
      <c r="AD19" s="4" t="str">
        <f t="shared" si="1"/>
        <v>Operational</v>
      </c>
      <c r="AE19" s="4" t="str">
        <f t="shared" si="3"/>
        <v>Individual</v>
      </c>
    </row>
    <row r="20" spans="1:31" ht="13.5" customHeight="1" x14ac:dyDescent="0.35">
      <c r="A20" s="5">
        <v>5</v>
      </c>
      <c r="B20" s="5" t="s">
        <v>32</v>
      </c>
      <c r="C20" s="5" t="s">
        <v>50</v>
      </c>
      <c r="D20" s="53">
        <v>744.0009</v>
      </c>
      <c r="E20" s="49">
        <v>361.88659999999902</v>
      </c>
      <c r="F20" s="49">
        <v>247.193299999999</v>
      </c>
      <c r="G20" s="49">
        <v>244.706899999999</v>
      </c>
      <c r="H20" s="49">
        <v>382.11430000000001</v>
      </c>
      <c r="I20" s="49">
        <v>15.8855</v>
      </c>
      <c r="J20" s="49">
        <v>114.693299999999</v>
      </c>
      <c r="K20" s="49">
        <v>21.2926</v>
      </c>
      <c r="L20" s="49">
        <v>244.706899999999</v>
      </c>
      <c r="M20" s="49">
        <v>37.178100000000001</v>
      </c>
      <c r="N20" s="49">
        <v>281.88499999999902</v>
      </c>
      <c r="O20" s="57">
        <v>0.48640613199999999</v>
      </c>
      <c r="P20" s="57">
        <v>0.67619773709999997</v>
      </c>
      <c r="Q20" s="5">
        <v>406</v>
      </c>
      <c r="R20" s="49">
        <v>15455.86</v>
      </c>
      <c r="S20" s="49">
        <v>38.068620690000003</v>
      </c>
      <c r="T20" s="5">
        <v>14</v>
      </c>
      <c r="U20" s="5">
        <f t="shared" si="2"/>
        <v>182</v>
      </c>
      <c r="V20" s="5">
        <v>13</v>
      </c>
      <c r="W20" s="49">
        <v>2940.05</v>
      </c>
      <c r="X20" s="49">
        <v>10.429962570000001</v>
      </c>
      <c r="Y20" s="49">
        <v>2552.2838080000001</v>
      </c>
      <c r="Z20" s="49">
        <v>387.76619149999999</v>
      </c>
      <c r="AA20" s="49">
        <v>7.0001190480000002</v>
      </c>
      <c r="AB20" s="49">
        <v>0.188164886</v>
      </c>
      <c r="AC20" s="4" t="str">
        <f t="shared" si="0"/>
        <v>Tipper</v>
      </c>
      <c r="AD20" s="4" t="str">
        <f t="shared" si="1"/>
        <v>Operational</v>
      </c>
      <c r="AE20" s="4" t="str">
        <f t="shared" si="3"/>
        <v>Individual</v>
      </c>
    </row>
    <row r="21" spans="1:31" ht="13.5" customHeight="1" x14ac:dyDescent="0.35">
      <c r="A21" s="3">
        <v>6</v>
      </c>
      <c r="B21" s="3" t="s">
        <v>32</v>
      </c>
      <c r="C21" s="3" t="s">
        <v>51</v>
      </c>
      <c r="D21" s="52">
        <v>744.00429999999903</v>
      </c>
      <c r="E21" s="48">
        <v>445.06769999999898</v>
      </c>
      <c r="F21" s="48">
        <v>290.28219999999902</v>
      </c>
      <c r="G21" s="48">
        <v>286.928799999999</v>
      </c>
      <c r="H21" s="48">
        <v>298.9366</v>
      </c>
      <c r="I21" s="48">
        <v>13.2244999999999</v>
      </c>
      <c r="J21" s="48">
        <v>154.78549999999899</v>
      </c>
      <c r="K21" s="48">
        <v>9.1663999999999994</v>
      </c>
      <c r="L21" s="48">
        <v>286.928799999999</v>
      </c>
      <c r="M21" s="48">
        <v>22.390899999999998</v>
      </c>
      <c r="N21" s="48">
        <v>309.31969999999899</v>
      </c>
      <c r="O21" s="56">
        <v>0.59820581679999996</v>
      </c>
      <c r="P21" s="56">
        <v>0.64468574109999999</v>
      </c>
      <c r="Q21" s="3">
        <v>606</v>
      </c>
      <c r="R21" s="48">
        <v>23067.46</v>
      </c>
      <c r="S21" s="48">
        <v>38.065115509999998</v>
      </c>
      <c r="T21" s="3">
        <v>16</v>
      </c>
      <c r="U21" s="3">
        <f t="shared" si="2"/>
        <v>208</v>
      </c>
      <c r="V21" s="3">
        <v>13</v>
      </c>
      <c r="W21" s="48">
        <v>4245.16</v>
      </c>
      <c r="X21" s="48">
        <v>13.72418246</v>
      </c>
      <c r="Y21" s="48">
        <v>3937.8632029999999</v>
      </c>
      <c r="Z21" s="48">
        <v>307.29679700000003</v>
      </c>
      <c r="AA21" s="48">
        <v>6.8250160769999999</v>
      </c>
      <c r="AB21" s="48">
        <v>0.1822859906</v>
      </c>
      <c r="AC21" s="4" t="str">
        <f t="shared" si="0"/>
        <v>Tipper</v>
      </c>
      <c r="AD21" s="4" t="str">
        <f t="shared" si="1"/>
        <v>Operational</v>
      </c>
      <c r="AE21" s="4" t="str">
        <f t="shared" si="3"/>
        <v>Individual</v>
      </c>
    </row>
    <row r="22" spans="1:31" ht="13.5" hidden="1" customHeight="1" x14ac:dyDescent="0.35">
      <c r="A22" s="5">
        <v>7</v>
      </c>
      <c r="B22" s="5" t="s">
        <v>32</v>
      </c>
      <c r="C22" s="5" t="s">
        <v>52</v>
      </c>
      <c r="D22" s="53">
        <v>744</v>
      </c>
      <c r="E22" s="49">
        <v>0</v>
      </c>
      <c r="F22" s="49">
        <v>0</v>
      </c>
      <c r="G22" s="49">
        <v>0</v>
      </c>
      <c r="H22" s="49">
        <v>744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57">
        <v>0</v>
      </c>
      <c r="P22" s="57">
        <v>0</v>
      </c>
      <c r="Q22" s="5">
        <v>0</v>
      </c>
      <c r="R22" s="49">
        <v>0</v>
      </c>
      <c r="S22" s="49">
        <v>0</v>
      </c>
      <c r="T22" s="5">
        <v>15</v>
      </c>
      <c r="U22" s="5">
        <f t="shared" si="2"/>
        <v>195</v>
      </c>
      <c r="V22" s="5">
        <v>13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" t="str">
        <f t="shared" si="0"/>
        <v>Tipper</v>
      </c>
      <c r="AD22" s="4" t="str">
        <f t="shared" si="1"/>
        <v>Non-Operational</v>
      </c>
      <c r="AE22" s="4" t="str">
        <f t="shared" si="3"/>
        <v>Individual</v>
      </c>
    </row>
    <row r="23" spans="1:31" ht="13.5" customHeight="1" x14ac:dyDescent="0.35">
      <c r="A23" s="3">
        <v>8</v>
      </c>
      <c r="B23" s="3" t="s">
        <v>32</v>
      </c>
      <c r="C23" s="3" t="s">
        <v>53</v>
      </c>
      <c r="D23" s="52">
        <v>744.00229999999897</v>
      </c>
      <c r="E23" s="48">
        <v>556.71789999999896</v>
      </c>
      <c r="F23" s="48">
        <v>389.5718</v>
      </c>
      <c r="G23" s="48">
        <v>386.25299999999902</v>
      </c>
      <c r="H23" s="48">
        <v>187.28439999999901</v>
      </c>
      <c r="I23" s="48">
        <v>18.7437</v>
      </c>
      <c r="J23" s="48">
        <v>167.146099999999</v>
      </c>
      <c r="K23" s="48">
        <v>2.0951</v>
      </c>
      <c r="L23" s="48">
        <v>386.25299999999902</v>
      </c>
      <c r="M23" s="48">
        <v>20.838799999999999</v>
      </c>
      <c r="N23" s="48">
        <v>407.09179999999901</v>
      </c>
      <c r="O23" s="56">
        <v>0.74827443410000005</v>
      </c>
      <c r="P23" s="56">
        <v>0.6938038098</v>
      </c>
      <c r="Q23" s="3">
        <v>718</v>
      </c>
      <c r="R23" s="48">
        <v>26961.75</v>
      </c>
      <c r="S23" s="48">
        <v>37.55118384</v>
      </c>
      <c r="T23" s="3">
        <v>3</v>
      </c>
      <c r="U23" s="3">
        <f t="shared" si="2"/>
        <v>39</v>
      </c>
      <c r="V23" s="3">
        <v>13</v>
      </c>
      <c r="W23" s="48">
        <v>4440.8299999999899</v>
      </c>
      <c r="X23" s="48">
        <v>10.908669740000001</v>
      </c>
      <c r="Y23" s="48">
        <v>4213.5064130000001</v>
      </c>
      <c r="Z23" s="48">
        <v>227.323587</v>
      </c>
      <c r="AA23" s="48">
        <v>6.1592649100000001</v>
      </c>
      <c r="AB23" s="48">
        <v>0.1634475842</v>
      </c>
      <c r="AC23" s="4" t="str">
        <f t="shared" si="0"/>
        <v>Tipper</v>
      </c>
      <c r="AD23" s="4" t="str">
        <f t="shared" si="1"/>
        <v>Operational</v>
      </c>
      <c r="AE23" s="4" t="str">
        <f t="shared" si="3"/>
        <v>Individual</v>
      </c>
    </row>
    <row r="24" spans="1:31" ht="13.5" hidden="1" customHeight="1" x14ac:dyDescent="0.35">
      <c r="A24" s="5">
        <v>9</v>
      </c>
      <c r="B24" s="5" t="s">
        <v>32</v>
      </c>
      <c r="C24" s="5" t="s">
        <v>54</v>
      </c>
      <c r="D24" s="53">
        <v>744</v>
      </c>
      <c r="E24" s="49">
        <v>0</v>
      </c>
      <c r="F24" s="49">
        <v>0</v>
      </c>
      <c r="G24" s="49">
        <v>0</v>
      </c>
      <c r="H24" s="49">
        <v>744</v>
      </c>
      <c r="I24" s="49">
        <v>0</v>
      </c>
      <c r="J24" s="49">
        <v>0</v>
      </c>
      <c r="K24" s="49">
        <v>0</v>
      </c>
      <c r="L24" s="49">
        <v>0</v>
      </c>
      <c r="M24" s="49">
        <v>0</v>
      </c>
      <c r="N24" s="49">
        <v>0</v>
      </c>
      <c r="O24" s="57">
        <v>0</v>
      </c>
      <c r="P24" s="57">
        <v>0</v>
      </c>
      <c r="Q24" s="5">
        <v>0</v>
      </c>
      <c r="R24" s="49">
        <v>0</v>
      </c>
      <c r="S24" s="49">
        <v>0</v>
      </c>
      <c r="T24" s="5">
        <v>5</v>
      </c>
      <c r="U24" s="5">
        <f t="shared" si="2"/>
        <v>65</v>
      </c>
      <c r="V24" s="5">
        <v>13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" t="str">
        <f t="shared" si="0"/>
        <v>Tipper</v>
      </c>
      <c r="AD24" s="4" t="str">
        <f t="shared" si="1"/>
        <v>Non-Operational</v>
      </c>
      <c r="AE24" s="4" t="str">
        <f t="shared" si="3"/>
        <v>Individual</v>
      </c>
    </row>
    <row r="25" spans="1:31" ht="13.5" customHeight="1" x14ac:dyDescent="0.35">
      <c r="A25" s="3">
        <v>10</v>
      </c>
      <c r="B25" s="3" t="s">
        <v>32</v>
      </c>
      <c r="C25" s="3" t="s">
        <v>55</v>
      </c>
      <c r="D25" s="52">
        <v>744.00409999999999</v>
      </c>
      <c r="E25" s="48">
        <v>565.07479999999998</v>
      </c>
      <c r="F25" s="48">
        <v>386.93040000000002</v>
      </c>
      <c r="G25" s="48">
        <v>383.49450000000002</v>
      </c>
      <c r="H25" s="48">
        <v>178.92929999999899</v>
      </c>
      <c r="I25" s="48">
        <v>19.793099999999999</v>
      </c>
      <c r="J25" s="48">
        <v>178.144399999999</v>
      </c>
      <c r="K25" s="48">
        <v>8.9791999999999899</v>
      </c>
      <c r="L25" s="48">
        <v>383.49450000000002</v>
      </c>
      <c r="M25" s="48">
        <v>28.772300000000001</v>
      </c>
      <c r="N25" s="48">
        <v>412.26679999999999</v>
      </c>
      <c r="O25" s="56">
        <v>0.75950495429999998</v>
      </c>
      <c r="P25" s="56">
        <v>0.67866147990000003</v>
      </c>
      <c r="Q25" s="3">
        <v>722</v>
      </c>
      <c r="R25" s="48">
        <v>26791.13</v>
      </c>
      <c r="S25" s="48">
        <v>37.10682825</v>
      </c>
      <c r="T25" s="3">
        <v>1</v>
      </c>
      <c r="U25" s="3">
        <f t="shared" si="2"/>
        <v>13</v>
      </c>
      <c r="V25" s="3">
        <v>13</v>
      </c>
      <c r="W25" s="48">
        <v>5125.1000000000004</v>
      </c>
      <c r="X25" s="48">
        <v>12.4315128</v>
      </c>
      <c r="Y25" s="48">
        <v>4767.416784</v>
      </c>
      <c r="Z25" s="48">
        <v>357.68321570000001</v>
      </c>
      <c r="AA25" s="48">
        <v>7.0886583679999999</v>
      </c>
      <c r="AB25" s="48">
        <v>0.19102031929999999</v>
      </c>
      <c r="AC25" s="4" t="str">
        <f t="shared" si="0"/>
        <v>Tipper</v>
      </c>
      <c r="AD25" s="4" t="str">
        <f t="shared" si="1"/>
        <v>Operational</v>
      </c>
      <c r="AE25" s="4" t="str">
        <f t="shared" si="3"/>
        <v>Individual</v>
      </c>
    </row>
    <row r="26" spans="1:31" ht="13.5" customHeight="1" x14ac:dyDescent="0.35">
      <c r="A26" s="5">
        <v>11</v>
      </c>
      <c r="B26" s="5" t="s">
        <v>32</v>
      </c>
      <c r="C26" s="5" t="s">
        <v>56</v>
      </c>
      <c r="D26" s="53">
        <v>744.00309999999899</v>
      </c>
      <c r="E26" s="49">
        <v>540.36929999999904</v>
      </c>
      <c r="F26" s="49">
        <v>342.9477</v>
      </c>
      <c r="G26" s="49">
        <v>340.07549999999901</v>
      </c>
      <c r="H26" s="49">
        <v>203.63379999999901</v>
      </c>
      <c r="I26" s="49">
        <v>12.759699999999899</v>
      </c>
      <c r="J26" s="49">
        <v>197.42159999999899</v>
      </c>
      <c r="K26" s="49">
        <v>4.6145999999999896</v>
      </c>
      <c r="L26" s="49">
        <v>340.07549999999901</v>
      </c>
      <c r="M26" s="49">
        <v>17.374299999999899</v>
      </c>
      <c r="N26" s="49">
        <v>357.44979999999902</v>
      </c>
      <c r="O26" s="57">
        <v>0.72629979629999997</v>
      </c>
      <c r="P26" s="57">
        <v>0.62933904650000005</v>
      </c>
      <c r="Q26" s="5">
        <v>596</v>
      </c>
      <c r="R26" s="49">
        <v>22463.279999999999</v>
      </c>
      <c r="S26" s="49">
        <v>37.690067110000001</v>
      </c>
      <c r="T26" s="5">
        <v>16</v>
      </c>
      <c r="U26" s="5">
        <f t="shared" si="2"/>
        <v>208</v>
      </c>
      <c r="V26" s="5">
        <v>13</v>
      </c>
      <c r="W26" s="49">
        <v>4285.6499999999996</v>
      </c>
      <c r="X26" s="49">
        <v>11.989515730000001</v>
      </c>
      <c r="Y26" s="49">
        <v>4077.340557</v>
      </c>
      <c r="Z26" s="49">
        <v>208.3094432</v>
      </c>
      <c r="AA26" s="49">
        <v>7.0026960779999996</v>
      </c>
      <c r="AB26" s="49">
        <v>0.19023423</v>
      </c>
      <c r="AC26" s="4" t="str">
        <f t="shared" si="0"/>
        <v>Tipper</v>
      </c>
      <c r="AD26" s="4" t="str">
        <f t="shared" si="1"/>
        <v>Operational</v>
      </c>
      <c r="AE26" s="4" t="str">
        <f t="shared" si="3"/>
        <v>Individual</v>
      </c>
    </row>
    <row r="27" spans="1:31" ht="13.5" customHeight="1" x14ac:dyDescent="0.35">
      <c r="A27" s="3">
        <v>12</v>
      </c>
      <c r="B27" s="3" t="s">
        <v>32</v>
      </c>
      <c r="C27" s="3" t="s">
        <v>57</v>
      </c>
      <c r="D27" s="52">
        <v>744.00389999999902</v>
      </c>
      <c r="E27" s="48">
        <v>588.18209999999897</v>
      </c>
      <c r="F27" s="48">
        <v>407.02699999999999</v>
      </c>
      <c r="G27" s="48">
        <v>404.44359999999898</v>
      </c>
      <c r="H27" s="48">
        <v>155.8218</v>
      </c>
      <c r="I27" s="48">
        <v>22.479499999999899</v>
      </c>
      <c r="J27" s="48">
        <v>181.15509999999901</v>
      </c>
      <c r="K27" s="48">
        <v>8.1217000000000006</v>
      </c>
      <c r="L27" s="48">
        <v>404.44359999999898</v>
      </c>
      <c r="M27" s="48">
        <v>30.601199999999999</v>
      </c>
      <c r="N27" s="48">
        <v>435.04479999999899</v>
      </c>
      <c r="O27" s="56">
        <v>0.79056319460000002</v>
      </c>
      <c r="P27" s="56">
        <v>0.68761630110000005</v>
      </c>
      <c r="Q27" s="3">
        <v>747</v>
      </c>
      <c r="R27" s="48">
        <v>28054.12</v>
      </c>
      <c r="S27" s="48">
        <v>37.555716199999999</v>
      </c>
      <c r="T27" s="3">
        <v>16</v>
      </c>
      <c r="U27" s="3">
        <f t="shared" si="2"/>
        <v>208</v>
      </c>
      <c r="V27" s="3">
        <v>13</v>
      </c>
      <c r="W27" s="48">
        <v>5075.87</v>
      </c>
      <c r="X27" s="48">
        <v>11.667465050000001</v>
      </c>
      <c r="Y27" s="48">
        <v>4718.8315679999996</v>
      </c>
      <c r="Z27" s="48">
        <v>357.0384315</v>
      </c>
      <c r="AA27" s="48">
        <v>6.652516383</v>
      </c>
      <c r="AB27" s="48">
        <v>0.18084755399999999</v>
      </c>
      <c r="AC27" s="4" t="str">
        <f t="shared" si="0"/>
        <v>Tipper</v>
      </c>
      <c r="AD27" s="4" t="str">
        <f t="shared" si="1"/>
        <v>Operational</v>
      </c>
      <c r="AE27" s="4" t="str">
        <f t="shared" si="3"/>
        <v>Individual</v>
      </c>
    </row>
    <row r="28" spans="1:31" ht="13.5" customHeight="1" x14ac:dyDescent="0.35">
      <c r="A28" s="5">
        <v>13</v>
      </c>
      <c r="B28" s="5" t="s">
        <v>32</v>
      </c>
      <c r="C28" s="5" t="s">
        <v>58</v>
      </c>
      <c r="D28" s="53">
        <v>744.00479999999902</v>
      </c>
      <c r="E28" s="49">
        <v>518.54079999999897</v>
      </c>
      <c r="F28" s="49">
        <v>374.626699999999</v>
      </c>
      <c r="G28" s="49">
        <v>370.9846</v>
      </c>
      <c r="H28" s="49">
        <v>225.464</v>
      </c>
      <c r="I28" s="49">
        <v>18.764099999999999</v>
      </c>
      <c r="J28" s="49">
        <v>143.914099999999</v>
      </c>
      <c r="K28" s="49">
        <v>13.2478</v>
      </c>
      <c r="L28" s="49">
        <v>370.9846</v>
      </c>
      <c r="M28" s="49">
        <v>32.011899999999997</v>
      </c>
      <c r="N28" s="49">
        <v>402.99650000000003</v>
      </c>
      <c r="O28" s="57">
        <v>0.69695894439999995</v>
      </c>
      <c r="P28" s="57">
        <v>0.71543955650000002</v>
      </c>
      <c r="Q28" s="5">
        <v>666</v>
      </c>
      <c r="R28" s="49">
        <v>25008.01</v>
      </c>
      <c r="S28" s="49">
        <v>37.54956456</v>
      </c>
      <c r="T28" s="5">
        <v>16</v>
      </c>
      <c r="U28" s="5">
        <f t="shared" si="2"/>
        <v>208</v>
      </c>
      <c r="V28" s="5">
        <v>13</v>
      </c>
      <c r="W28" s="49">
        <v>4422.87</v>
      </c>
      <c r="X28" s="49">
        <v>10.974958839999999</v>
      </c>
      <c r="Y28" s="49">
        <v>4071.5407150000001</v>
      </c>
      <c r="Z28" s="49">
        <v>351.3292849</v>
      </c>
      <c r="AA28" s="49">
        <v>6.4851466279999999</v>
      </c>
      <c r="AB28" s="49">
        <v>0.1753992801</v>
      </c>
      <c r="AC28" s="4" t="str">
        <f t="shared" si="0"/>
        <v>Tipper</v>
      </c>
      <c r="AD28" s="4" t="str">
        <f t="shared" si="1"/>
        <v>Operational</v>
      </c>
      <c r="AE28" s="4" t="str">
        <f t="shared" si="3"/>
        <v>Individual</v>
      </c>
    </row>
    <row r="29" spans="1:31" ht="13.5" customHeight="1" x14ac:dyDescent="0.35">
      <c r="A29" s="3">
        <v>14</v>
      </c>
      <c r="B29" s="3" t="s">
        <v>32</v>
      </c>
      <c r="C29" s="3" t="s">
        <v>59</v>
      </c>
      <c r="D29" s="52">
        <v>743.99959999999896</v>
      </c>
      <c r="E29" s="48">
        <v>565.52359999999896</v>
      </c>
      <c r="F29" s="48">
        <v>406.77600000000001</v>
      </c>
      <c r="G29" s="48">
        <v>402.92930000000001</v>
      </c>
      <c r="H29" s="48">
        <v>178.476</v>
      </c>
      <c r="I29" s="48">
        <v>24.118899999999901</v>
      </c>
      <c r="J29" s="48">
        <v>158.74759999999901</v>
      </c>
      <c r="K29" s="48">
        <v>13.145</v>
      </c>
      <c r="L29" s="48">
        <v>402.92930000000001</v>
      </c>
      <c r="M29" s="48">
        <v>37.2638999999999</v>
      </c>
      <c r="N29" s="48">
        <v>440.19319999999999</v>
      </c>
      <c r="O29" s="56">
        <v>0.76011277430000002</v>
      </c>
      <c r="P29" s="56">
        <v>0.71248892180000001</v>
      </c>
      <c r="Q29" s="3">
        <v>677</v>
      </c>
      <c r="R29" s="48">
        <v>27052.400000000001</v>
      </c>
      <c r="S29" s="48">
        <v>39.95923191</v>
      </c>
      <c r="T29" s="3">
        <v>17</v>
      </c>
      <c r="U29" s="3">
        <f t="shared" si="2"/>
        <v>221</v>
      </c>
      <c r="V29" s="3">
        <v>13</v>
      </c>
      <c r="W29" s="48">
        <v>4627.8999999999896</v>
      </c>
      <c r="X29" s="48">
        <v>10.51333823</v>
      </c>
      <c r="Y29" s="48">
        <v>4236.1320150000001</v>
      </c>
      <c r="Z29" s="48">
        <v>391.76798459999998</v>
      </c>
      <c r="AA29" s="48">
        <v>6.6684438039999998</v>
      </c>
      <c r="AB29" s="48">
        <v>0.16976640109999999</v>
      </c>
      <c r="AC29" s="4" t="str">
        <f t="shared" si="0"/>
        <v>Tipper</v>
      </c>
      <c r="AD29" s="4" t="str">
        <f t="shared" si="1"/>
        <v>Operational</v>
      </c>
      <c r="AE29" s="4" t="str">
        <f t="shared" si="3"/>
        <v>Individual</v>
      </c>
    </row>
    <row r="30" spans="1:31" ht="13.5" customHeight="1" x14ac:dyDescent="0.35">
      <c r="A30" s="5">
        <v>15</v>
      </c>
      <c r="B30" s="5" t="s">
        <v>32</v>
      </c>
      <c r="C30" s="5" t="s">
        <v>60</v>
      </c>
      <c r="D30" s="53">
        <v>744.00350000000003</v>
      </c>
      <c r="E30" s="49">
        <v>526.35680000000002</v>
      </c>
      <c r="F30" s="49">
        <v>392.62689999999998</v>
      </c>
      <c r="G30" s="49">
        <v>389.03570000000002</v>
      </c>
      <c r="H30" s="49">
        <v>217.64670000000001</v>
      </c>
      <c r="I30" s="49">
        <v>20.8764</v>
      </c>
      <c r="J30" s="49">
        <v>133.72989999999899</v>
      </c>
      <c r="K30" s="49">
        <v>5.3839999999999897</v>
      </c>
      <c r="L30" s="49">
        <v>389.03570000000002</v>
      </c>
      <c r="M30" s="49">
        <v>26.260400000000001</v>
      </c>
      <c r="N30" s="49">
        <v>415.29610000000002</v>
      </c>
      <c r="O30" s="57">
        <v>0.70746548909999996</v>
      </c>
      <c r="P30" s="57">
        <v>0.73911023850000002</v>
      </c>
      <c r="Q30" s="5">
        <v>720</v>
      </c>
      <c r="R30" s="49">
        <v>27129.200000000001</v>
      </c>
      <c r="S30" s="49">
        <v>37.679444439999997</v>
      </c>
      <c r="T30" s="5">
        <v>17</v>
      </c>
      <c r="U30" s="5">
        <f t="shared" si="2"/>
        <v>221</v>
      </c>
      <c r="V30" s="5">
        <v>13</v>
      </c>
      <c r="W30" s="49">
        <v>4872.5</v>
      </c>
      <c r="X30" s="49">
        <v>11.73259272</v>
      </c>
      <c r="Y30" s="49">
        <v>4564.397422</v>
      </c>
      <c r="Z30" s="49">
        <v>308.10257790000003</v>
      </c>
      <c r="AA30" s="49">
        <v>6.611261872</v>
      </c>
      <c r="AB30" s="49">
        <v>0.1782369811</v>
      </c>
      <c r="AC30" s="4" t="str">
        <f t="shared" si="0"/>
        <v>Tipper</v>
      </c>
      <c r="AD30" s="4" t="str">
        <f t="shared" si="1"/>
        <v>Operational</v>
      </c>
      <c r="AE30" s="4" t="str">
        <f t="shared" si="3"/>
        <v>Individual</v>
      </c>
    </row>
    <row r="31" spans="1:31" ht="13.5" customHeight="1" x14ac:dyDescent="0.35">
      <c r="A31" s="3">
        <v>16</v>
      </c>
      <c r="B31" s="3" t="s">
        <v>32</v>
      </c>
      <c r="C31" s="3" t="s">
        <v>61</v>
      </c>
      <c r="D31" s="52">
        <v>744.00049999999896</v>
      </c>
      <c r="E31" s="48">
        <v>379.34329999999898</v>
      </c>
      <c r="F31" s="48">
        <v>185.388599999999</v>
      </c>
      <c r="G31" s="48">
        <v>182.77929999999901</v>
      </c>
      <c r="H31" s="48">
        <v>364.65719999999999</v>
      </c>
      <c r="I31" s="48">
        <v>11.383299999999901</v>
      </c>
      <c r="J31" s="48">
        <v>193.95469999999901</v>
      </c>
      <c r="K31" s="48">
        <v>9.6880999999999897</v>
      </c>
      <c r="L31" s="48">
        <v>182.77929999999901</v>
      </c>
      <c r="M31" s="48">
        <v>21.071399999999901</v>
      </c>
      <c r="N31" s="48">
        <v>203.85069999999899</v>
      </c>
      <c r="O31" s="56">
        <v>0.50986968420000001</v>
      </c>
      <c r="P31" s="56">
        <v>0.48183083770000001</v>
      </c>
      <c r="Q31" s="3">
        <v>255</v>
      </c>
      <c r="R31" s="48">
        <v>9582.2900000000009</v>
      </c>
      <c r="S31" s="48">
        <v>37.577607839999999</v>
      </c>
      <c r="T31" s="3">
        <v>14</v>
      </c>
      <c r="U31" s="3">
        <f t="shared" si="2"/>
        <v>182</v>
      </c>
      <c r="V31" s="3">
        <v>13</v>
      </c>
      <c r="W31" s="48">
        <v>2229.5599999999899</v>
      </c>
      <c r="X31" s="48">
        <v>10.937220229999999</v>
      </c>
      <c r="Y31" s="48">
        <v>1999.097458</v>
      </c>
      <c r="Z31" s="48">
        <v>230.46254239999999</v>
      </c>
      <c r="AA31" s="48">
        <v>8.2883271379999996</v>
      </c>
      <c r="AB31" s="48">
        <v>0.227429771</v>
      </c>
      <c r="AC31" s="4" t="str">
        <f t="shared" si="0"/>
        <v>Tipper</v>
      </c>
      <c r="AD31" s="4" t="str">
        <f t="shared" si="1"/>
        <v>Operational</v>
      </c>
      <c r="AE31" s="4" t="str">
        <f t="shared" si="3"/>
        <v>Individual</v>
      </c>
    </row>
    <row r="32" spans="1:31" ht="13.5" customHeight="1" x14ac:dyDescent="0.35">
      <c r="A32" s="5">
        <v>17</v>
      </c>
      <c r="B32" s="5" t="s">
        <v>32</v>
      </c>
      <c r="C32" s="5" t="s">
        <v>62</v>
      </c>
      <c r="D32" s="53">
        <v>744.00259999999901</v>
      </c>
      <c r="E32" s="49">
        <v>659.22249999999894</v>
      </c>
      <c r="F32" s="49">
        <v>415.351</v>
      </c>
      <c r="G32" s="49">
        <v>412.75259999999997</v>
      </c>
      <c r="H32" s="49">
        <v>84.780100000000004</v>
      </c>
      <c r="I32" s="49">
        <v>25.4300999999999</v>
      </c>
      <c r="J32" s="49">
        <v>243.871499999999</v>
      </c>
      <c r="K32" s="49">
        <v>8.5099999999999891</v>
      </c>
      <c r="L32" s="49">
        <v>412.75259999999997</v>
      </c>
      <c r="M32" s="49">
        <v>33.940099999999902</v>
      </c>
      <c r="N32" s="49">
        <v>446.6927</v>
      </c>
      <c r="O32" s="57">
        <v>0.88604865089999996</v>
      </c>
      <c r="P32" s="57">
        <v>0.62612031599999995</v>
      </c>
      <c r="Q32" s="5">
        <v>840</v>
      </c>
      <c r="R32" s="49">
        <v>31975.759999999998</v>
      </c>
      <c r="S32" s="49">
        <v>38.066380950000003</v>
      </c>
      <c r="T32" s="5">
        <v>15</v>
      </c>
      <c r="U32" s="5">
        <f t="shared" si="2"/>
        <v>195</v>
      </c>
      <c r="V32" s="5">
        <v>13</v>
      </c>
      <c r="W32" s="49">
        <v>5693.21</v>
      </c>
      <c r="X32" s="49">
        <v>12.7452497</v>
      </c>
      <c r="Y32" s="49">
        <v>5260.634951</v>
      </c>
      <c r="Z32" s="49">
        <v>432.57504929999999</v>
      </c>
      <c r="AA32" s="49">
        <v>6.6587251460000001</v>
      </c>
      <c r="AB32" s="49">
        <v>0.1768255564</v>
      </c>
      <c r="AC32" s="4" t="str">
        <f t="shared" si="0"/>
        <v>Tipper</v>
      </c>
      <c r="AD32" s="4" t="str">
        <f t="shared" si="1"/>
        <v>Operational</v>
      </c>
      <c r="AE32" s="4" t="str">
        <f t="shared" si="3"/>
        <v>Individual</v>
      </c>
    </row>
    <row r="33" spans="1:31" ht="13.5" customHeight="1" x14ac:dyDescent="0.35">
      <c r="A33" s="3">
        <v>18</v>
      </c>
      <c r="B33" s="3" t="s">
        <v>32</v>
      </c>
      <c r="C33" s="3" t="s">
        <v>63</v>
      </c>
      <c r="D33" s="52">
        <v>744.00250000000005</v>
      </c>
      <c r="E33" s="48">
        <v>495.48630000000003</v>
      </c>
      <c r="F33" s="48">
        <v>363.47980000000001</v>
      </c>
      <c r="G33" s="48">
        <v>360.867199999999</v>
      </c>
      <c r="H33" s="48">
        <v>248.5162</v>
      </c>
      <c r="I33" s="48">
        <v>17.5502</v>
      </c>
      <c r="J33" s="48">
        <v>132.00649999999899</v>
      </c>
      <c r="K33" s="48">
        <v>6.5244999999999997</v>
      </c>
      <c r="L33" s="48">
        <v>360.867199999999</v>
      </c>
      <c r="M33" s="48">
        <v>24.0747</v>
      </c>
      <c r="N33" s="48">
        <v>384.94189999999998</v>
      </c>
      <c r="O33" s="56">
        <v>0.66597397189999996</v>
      </c>
      <c r="P33" s="56">
        <v>0.72830913789999996</v>
      </c>
      <c r="Q33" s="3">
        <v>623</v>
      </c>
      <c r="R33" s="48">
        <v>24043.69</v>
      </c>
      <c r="S33" s="48">
        <v>38.59340289</v>
      </c>
      <c r="T33" s="3">
        <v>14</v>
      </c>
      <c r="U33" s="3">
        <f t="shared" si="2"/>
        <v>182</v>
      </c>
      <c r="V33" s="3">
        <v>13</v>
      </c>
      <c r="W33" s="48">
        <v>4148.93</v>
      </c>
      <c r="X33" s="48">
        <v>10.77806807</v>
      </c>
      <c r="Y33" s="48">
        <v>3889.4512450000002</v>
      </c>
      <c r="Z33" s="48">
        <v>259.47875529999999</v>
      </c>
      <c r="AA33" s="48">
        <v>6.5132339090000002</v>
      </c>
      <c r="AB33" s="48">
        <v>0.17126158220000001</v>
      </c>
      <c r="AC33" s="4" t="str">
        <f t="shared" si="0"/>
        <v>Tipper</v>
      </c>
      <c r="AD33" s="4" t="str">
        <f t="shared" si="1"/>
        <v>Operational</v>
      </c>
      <c r="AE33" s="4" t="str">
        <f t="shared" si="3"/>
        <v>Individual</v>
      </c>
    </row>
    <row r="34" spans="1:31" ht="13.5" customHeight="1" x14ac:dyDescent="0.35">
      <c r="A34" s="5">
        <v>19</v>
      </c>
      <c r="B34" s="5" t="s">
        <v>32</v>
      </c>
      <c r="C34" s="5" t="s">
        <v>64</v>
      </c>
      <c r="D34" s="53">
        <v>744.00119999999902</v>
      </c>
      <c r="E34" s="49">
        <v>485.43589999999898</v>
      </c>
      <c r="F34" s="49">
        <v>340.51679999999902</v>
      </c>
      <c r="G34" s="49">
        <v>335.046799999999</v>
      </c>
      <c r="H34" s="49">
        <v>258.56529999999998</v>
      </c>
      <c r="I34" s="49">
        <v>11.3194</v>
      </c>
      <c r="J34" s="49">
        <v>144.91909999999999</v>
      </c>
      <c r="K34" s="49">
        <v>3.7753000000000001</v>
      </c>
      <c r="L34" s="49">
        <v>335.046799999999</v>
      </c>
      <c r="M34" s="49">
        <v>15.0947</v>
      </c>
      <c r="N34" s="49">
        <v>350.14149999999898</v>
      </c>
      <c r="O34" s="57">
        <v>0.65246655519999996</v>
      </c>
      <c r="P34" s="57">
        <v>0.69019782009999997</v>
      </c>
      <c r="Q34" s="5">
        <v>578</v>
      </c>
      <c r="R34" s="49">
        <v>22021.64</v>
      </c>
      <c r="S34" s="49">
        <v>38.099723179999998</v>
      </c>
      <c r="T34" s="5">
        <v>15</v>
      </c>
      <c r="U34" s="5">
        <f t="shared" si="2"/>
        <v>195</v>
      </c>
      <c r="V34" s="5">
        <v>13</v>
      </c>
      <c r="W34" s="49">
        <v>4529.63</v>
      </c>
      <c r="X34" s="49">
        <v>12.936569929999999</v>
      </c>
      <c r="Y34" s="49">
        <v>4334.356358</v>
      </c>
      <c r="Z34" s="49">
        <v>195.27364209999999</v>
      </c>
      <c r="AA34" s="49">
        <v>7.638499157</v>
      </c>
      <c r="AB34" s="49">
        <v>0.2038845658</v>
      </c>
      <c r="AC34" s="4" t="str">
        <f t="shared" si="0"/>
        <v>Tipper</v>
      </c>
      <c r="AD34" s="4" t="str">
        <f t="shared" si="1"/>
        <v>Operational</v>
      </c>
      <c r="AE34" s="4" t="str">
        <f t="shared" si="3"/>
        <v>Individual</v>
      </c>
    </row>
    <row r="35" spans="1:31" ht="13.5" customHeight="1" x14ac:dyDescent="0.35">
      <c r="A35" s="3">
        <v>20</v>
      </c>
      <c r="B35" s="3" t="s">
        <v>32</v>
      </c>
      <c r="C35" s="3" t="s">
        <v>65</v>
      </c>
      <c r="D35" s="52">
        <v>744.00119999999902</v>
      </c>
      <c r="E35" s="48">
        <v>610.86819999999898</v>
      </c>
      <c r="F35" s="48">
        <v>417.73809999999997</v>
      </c>
      <c r="G35" s="48">
        <v>413.90449999999998</v>
      </c>
      <c r="H35" s="48">
        <v>133.13300000000001</v>
      </c>
      <c r="I35" s="48">
        <v>19.671399999999998</v>
      </c>
      <c r="J35" s="48">
        <v>193.130099999999</v>
      </c>
      <c r="K35" s="48">
        <v>5.0125999999999999</v>
      </c>
      <c r="L35" s="48">
        <v>413.90449999999998</v>
      </c>
      <c r="M35" s="48">
        <v>24.684000000000001</v>
      </c>
      <c r="N35" s="48">
        <v>438.58850000000001</v>
      </c>
      <c r="O35" s="56">
        <v>0.82105808430000005</v>
      </c>
      <c r="P35" s="56">
        <v>0.67756759970000002</v>
      </c>
      <c r="Q35" s="3">
        <v>702</v>
      </c>
      <c r="R35" s="48">
        <v>26356.36</v>
      </c>
      <c r="S35" s="48">
        <v>37.54467236</v>
      </c>
      <c r="T35" s="3">
        <v>18</v>
      </c>
      <c r="U35" s="3">
        <f t="shared" si="2"/>
        <v>234</v>
      </c>
      <c r="V35" s="3">
        <v>13</v>
      </c>
      <c r="W35" s="48">
        <v>5087.5200000000004</v>
      </c>
      <c r="X35" s="48">
        <v>11.59975695</v>
      </c>
      <c r="Y35" s="48">
        <v>4801.1915995061399</v>
      </c>
      <c r="Z35" s="48">
        <v>286.32840049999999</v>
      </c>
      <c r="AA35" s="48">
        <v>7.0659999999999998</v>
      </c>
      <c r="AB35" s="48">
        <v>0.19170438570000001</v>
      </c>
      <c r="AC35" s="4" t="str">
        <f t="shared" si="0"/>
        <v>Tipper</v>
      </c>
      <c r="AD35" s="4" t="str">
        <f t="shared" si="1"/>
        <v>Operational</v>
      </c>
      <c r="AE35" s="4" t="str">
        <f t="shared" si="3"/>
        <v>Individual</v>
      </c>
    </row>
    <row r="36" spans="1:31" ht="13.5" customHeight="1" x14ac:dyDescent="0.35">
      <c r="A36" s="5">
        <v>21</v>
      </c>
      <c r="B36" s="5" t="s">
        <v>32</v>
      </c>
      <c r="C36" s="5" t="s">
        <v>66</v>
      </c>
      <c r="D36" s="53">
        <v>744.00229999999999</v>
      </c>
      <c r="E36" s="49">
        <v>559.08569999999997</v>
      </c>
      <c r="F36" s="49">
        <v>420.1748</v>
      </c>
      <c r="G36" s="49">
        <v>417.0822</v>
      </c>
      <c r="H36" s="49">
        <v>184.91659999999999</v>
      </c>
      <c r="I36" s="49">
        <v>19.265899999999998</v>
      </c>
      <c r="J36" s="49">
        <v>138.910899999999</v>
      </c>
      <c r="K36" s="49">
        <v>14.978999999999999</v>
      </c>
      <c r="L36" s="49">
        <v>417.0822</v>
      </c>
      <c r="M36" s="49">
        <v>34.244900000000001</v>
      </c>
      <c r="N36" s="49">
        <v>451.32709999999997</v>
      </c>
      <c r="O36" s="57">
        <v>0.75145695109999999</v>
      </c>
      <c r="P36" s="57">
        <v>0.74600763349999999</v>
      </c>
      <c r="Q36" s="5">
        <v>760</v>
      </c>
      <c r="R36" s="49">
        <v>28507.45</v>
      </c>
      <c r="S36" s="49">
        <v>37.509802630000003</v>
      </c>
      <c r="T36" s="5">
        <v>21</v>
      </c>
      <c r="U36" s="5">
        <f t="shared" si="2"/>
        <v>273</v>
      </c>
      <c r="V36" s="5">
        <v>13</v>
      </c>
      <c r="W36" s="49">
        <v>5050.7299999999996</v>
      </c>
      <c r="X36" s="49">
        <v>11.190841410000001</v>
      </c>
      <c r="Y36" s="49">
        <v>4667.500755</v>
      </c>
      <c r="Z36" s="49">
        <v>383.22924499999999</v>
      </c>
      <c r="AA36" s="49">
        <v>6.4670038410000004</v>
      </c>
      <c r="AB36" s="49">
        <v>0.175968602</v>
      </c>
      <c r="AC36" s="4" t="str">
        <f t="shared" si="0"/>
        <v>Tipper</v>
      </c>
      <c r="AD36" s="4" t="str">
        <f t="shared" si="1"/>
        <v>Operational</v>
      </c>
      <c r="AE36" s="4" t="str">
        <f t="shared" si="3"/>
        <v>Individual</v>
      </c>
    </row>
    <row r="37" spans="1:31" ht="13.5" customHeight="1" x14ac:dyDescent="0.35">
      <c r="A37" s="3">
        <v>22</v>
      </c>
      <c r="B37" s="3" t="s">
        <v>32</v>
      </c>
      <c r="C37" s="3" t="s">
        <v>67</v>
      </c>
      <c r="D37" s="52">
        <v>744.00149999999996</v>
      </c>
      <c r="E37" s="48">
        <v>226.46709999999899</v>
      </c>
      <c r="F37" s="48">
        <v>157.751599999999</v>
      </c>
      <c r="G37" s="48">
        <v>156.42989999999901</v>
      </c>
      <c r="H37" s="48">
        <v>517.53440000000001</v>
      </c>
      <c r="I37" s="48">
        <v>11.76</v>
      </c>
      <c r="J37" s="48">
        <v>68.715499999999906</v>
      </c>
      <c r="K37" s="48">
        <v>3.7094</v>
      </c>
      <c r="L37" s="48">
        <v>156.42989999999901</v>
      </c>
      <c r="M37" s="48">
        <v>15.4694</v>
      </c>
      <c r="N37" s="48">
        <v>171.89929999999899</v>
      </c>
      <c r="O37" s="56">
        <v>0.30439064980000002</v>
      </c>
      <c r="P37" s="56">
        <v>0.69074006779999997</v>
      </c>
      <c r="Q37" s="3">
        <v>262</v>
      </c>
      <c r="R37" s="48">
        <v>9932.67</v>
      </c>
      <c r="S37" s="48">
        <v>37.910954199999999</v>
      </c>
      <c r="T37" s="3">
        <v>31</v>
      </c>
      <c r="U37" s="3">
        <f t="shared" si="2"/>
        <v>403</v>
      </c>
      <c r="V37" s="3">
        <v>13</v>
      </c>
      <c r="W37" s="48">
        <v>1873.73</v>
      </c>
      <c r="X37" s="48">
        <v>10.90016073</v>
      </c>
      <c r="Y37" s="48">
        <v>1705.111054</v>
      </c>
      <c r="Z37" s="48">
        <v>168.61894649999999</v>
      </c>
      <c r="AA37" s="48">
        <v>6.3949829349999998</v>
      </c>
      <c r="AB37" s="48">
        <v>0.184301251</v>
      </c>
      <c r="AC37" s="4" t="str">
        <f t="shared" si="0"/>
        <v>Tipper</v>
      </c>
      <c r="AD37" s="4" t="str">
        <f t="shared" si="1"/>
        <v>Operational</v>
      </c>
      <c r="AE37" s="4" t="str">
        <f t="shared" si="3"/>
        <v>Individual</v>
      </c>
    </row>
    <row r="38" spans="1:31" ht="13.5" hidden="1" customHeight="1" x14ac:dyDescent="0.35">
      <c r="A38" s="5">
        <v>23</v>
      </c>
      <c r="B38" s="5" t="s">
        <v>32</v>
      </c>
      <c r="C38" s="5" t="s">
        <v>68</v>
      </c>
      <c r="D38" s="53">
        <v>744</v>
      </c>
      <c r="E38" s="49">
        <v>744</v>
      </c>
      <c r="F38" s="49">
        <v>744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57">
        <v>1</v>
      </c>
      <c r="P38" s="57">
        <v>0</v>
      </c>
      <c r="Q38" s="5">
        <v>0</v>
      </c>
      <c r="R38" s="49">
        <v>0</v>
      </c>
      <c r="S38" s="49">
        <v>0</v>
      </c>
      <c r="T38" s="5">
        <v>8</v>
      </c>
      <c r="U38" s="5">
        <f t="shared" si="2"/>
        <v>104</v>
      </c>
      <c r="V38" s="5">
        <v>13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" t="str">
        <f t="shared" si="0"/>
        <v>Tipper</v>
      </c>
      <c r="AD38" s="4" t="str">
        <f t="shared" si="1"/>
        <v>Operational</v>
      </c>
      <c r="AE38" s="4" t="str">
        <f t="shared" si="3"/>
        <v>Individual</v>
      </c>
    </row>
    <row r="39" spans="1:31" ht="13.5" customHeight="1" x14ac:dyDescent="0.35">
      <c r="A39" s="3">
        <v>24</v>
      </c>
      <c r="B39" s="3" t="s">
        <v>32</v>
      </c>
      <c r="C39" s="3" t="s">
        <v>69</v>
      </c>
      <c r="D39" s="52">
        <v>739.12029999999902</v>
      </c>
      <c r="E39" s="48">
        <v>470.43659999999898</v>
      </c>
      <c r="F39" s="48">
        <v>335.27099999999899</v>
      </c>
      <c r="G39" s="48">
        <v>324.050399999999</v>
      </c>
      <c r="H39" s="48">
        <v>268.68369999999999</v>
      </c>
      <c r="I39" s="48">
        <v>14.868399999999999</v>
      </c>
      <c r="J39" s="48">
        <v>135.16559999999899</v>
      </c>
      <c r="K39" s="48">
        <v>6.8925000000000001</v>
      </c>
      <c r="L39" s="48">
        <v>324.050399999999</v>
      </c>
      <c r="M39" s="48">
        <v>21.760899999999999</v>
      </c>
      <c r="N39" s="48">
        <v>345.81129999999899</v>
      </c>
      <c r="O39" s="56">
        <v>0.63648177429999997</v>
      </c>
      <c r="P39" s="56">
        <v>0.68882905790000004</v>
      </c>
      <c r="Q39" s="3">
        <v>558</v>
      </c>
      <c r="R39" s="48">
        <v>21284.98</v>
      </c>
      <c r="S39" s="48">
        <v>38.145125450000002</v>
      </c>
      <c r="T39" s="3">
        <v>2</v>
      </c>
      <c r="U39" s="3">
        <f t="shared" si="2"/>
        <v>26</v>
      </c>
      <c r="V39" s="3">
        <v>13</v>
      </c>
      <c r="W39" s="48">
        <v>4001.65</v>
      </c>
      <c r="X39" s="48">
        <v>11.571773390000001</v>
      </c>
      <c r="Y39" s="48">
        <v>3749.8377959999998</v>
      </c>
      <c r="Z39" s="48">
        <v>251.8122036</v>
      </c>
      <c r="AA39" s="48">
        <v>7.1458035710000001</v>
      </c>
      <c r="AB39" s="48">
        <v>0.18451003739999999</v>
      </c>
      <c r="AC39" s="4" t="str">
        <f t="shared" si="0"/>
        <v>Tipper</v>
      </c>
      <c r="AD39" s="4" t="str">
        <f t="shared" si="1"/>
        <v>Operational</v>
      </c>
      <c r="AE39" s="4" t="str">
        <f t="shared" si="3"/>
        <v>Individual</v>
      </c>
    </row>
    <row r="40" spans="1:31" ht="13.5" customHeight="1" x14ac:dyDescent="0.35">
      <c r="A40" s="5">
        <v>25</v>
      </c>
      <c r="B40" s="5" t="s">
        <v>32</v>
      </c>
      <c r="C40" s="5" t="s">
        <v>70</v>
      </c>
      <c r="D40" s="53">
        <v>740.66529999999898</v>
      </c>
      <c r="E40" s="49">
        <v>209.38919999999899</v>
      </c>
      <c r="F40" s="49">
        <v>99.619099999999904</v>
      </c>
      <c r="G40" s="49">
        <v>83.325199999999995</v>
      </c>
      <c r="H40" s="49">
        <v>531.27609999999902</v>
      </c>
      <c r="I40" s="49">
        <v>8.2202000000000002</v>
      </c>
      <c r="J40" s="49">
        <v>109.770099999999</v>
      </c>
      <c r="K40" s="49">
        <v>12.8657</v>
      </c>
      <c r="L40" s="49">
        <v>83.325199999999995</v>
      </c>
      <c r="M40" s="49">
        <v>21.085899999999999</v>
      </c>
      <c r="N40" s="49">
        <v>104.4111</v>
      </c>
      <c r="O40" s="57">
        <v>0.28270421200000001</v>
      </c>
      <c r="P40" s="57">
        <v>0.39794411559999998</v>
      </c>
      <c r="Q40" s="5">
        <v>155</v>
      </c>
      <c r="R40" s="49">
        <v>5838.56</v>
      </c>
      <c r="S40" s="49">
        <v>37.668129030000003</v>
      </c>
      <c r="T40" s="5">
        <v>21</v>
      </c>
      <c r="U40" s="5">
        <f t="shared" si="2"/>
        <v>273</v>
      </c>
      <c r="V40" s="5">
        <v>13</v>
      </c>
      <c r="W40" s="49">
        <v>1198.02</v>
      </c>
      <c r="X40" s="49">
        <v>11.47406741</v>
      </c>
      <c r="Y40" s="49">
        <v>956.07896189999997</v>
      </c>
      <c r="Z40" s="49">
        <v>241.94103809999999</v>
      </c>
      <c r="AA40" s="49">
        <v>6.8069318179999998</v>
      </c>
      <c r="AB40" s="49">
        <v>0.20159998379999999</v>
      </c>
      <c r="AC40" s="4" t="str">
        <f t="shared" si="0"/>
        <v>Tipper</v>
      </c>
      <c r="AD40" s="4" t="str">
        <f t="shared" si="1"/>
        <v>Operational</v>
      </c>
      <c r="AE40" s="4" t="str">
        <f t="shared" si="3"/>
        <v>Individual</v>
      </c>
    </row>
    <row r="41" spans="1:31" ht="13.5" customHeight="1" x14ac:dyDescent="0.35">
      <c r="A41" s="3">
        <v>26</v>
      </c>
      <c r="B41" s="3" t="s">
        <v>32</v>
      </c>
      <c r="C41" s="3" t="s">
        <v>71</v>
      </c>
      <c r="D41" s="52">
        <v>744.00329999999894</v>
      </c>
      <c r="E41" s="48">
        <v>556.72949999999901</v>
      </c>
      <c r="F41" s="48">
        <v>371.76919999999899</v>
      </c>
      <c r="G41" s="48">
        <v>369.19889999999901</v>
      </c>
      <c r="H41" s="48">
        <v>187.27379999999999</v>
      </c>
      <c r="I41" s="48">
        <v>18.6907</v>
      </c>
      <c r="J41" s="48">
        <v>184.96029999999899</v>
      </c>
      <c r="K41" s="48">
        <v>4.8969999999999896</v>
      </c>
      <c r="L41" s="48">
        <v>369.19889999999901</v>
      </c>
      <c r="M41" s="48">
        <v>23.587700000000002</v>
      </c>
      <c r="N41" s="48">
        <v>392.786599999999</v>
      </c>
      <c r="O41" s="56">
        <v>0.74828901969999995</v>
      </c>
      <c r="P41" s="56">
        <v>0.66315670360000001</v>
      </c>
      <c r="Q41" s="3">
        <v>688</v>
      </c>
      <c r="R41" s="48">
        <v>25924.33</v>
      </c>
      <c r="S41" s="48">
        <v>37.680712210000003</v>
      </c>
      <c r="T41" s="3">
        <v>5</v>
      </c>
      <c r="U41" s="3">
        <f t="shared" si="2"/>
        <v>65</v>
      </c>
      <c r="V41" s="3">
        <v>13</v>
      </c>
      <c r="W41" s="48">
        <v>4460.2700000000004</v>
      </c>
      <c r="X41" s="48">
        <v>11.35545357</v>
      </c>
      <c r="Y41" s="48">
        <v>4192.4209680000004</v>
      </c>
      <c r="Z41" s="48">
        <v>267.84903220000001</v>
      </c>
      <c r="AA41" s="48">
        <v>6.4361760459999999</v>
      </c>
      <c r="AB41" s="48">
        <v>0.17187719770000001</v>
      </c>
      <c r="AC41" s="4" t="str">
        <f t="shared" si="0"/>
        <v>Tipper</v>
      </c>
      <c r="AD41" s="4" t="str">
        <f t="shared" si="1"/>
        <v>Operational</v>
      </c>
      <c r="AE41" s="4" t="str">
        <f t="shared" si="3"/>
        <v>Individual</v>
      </c>
    </row>
    <row r="42" spans="1:31" ht="13.5" customHeight="1" x14ac:dyDescent="0.35">
      <c r="A42" s="5">
        <v>27</v>
      </c>
      <c r="B42" s="5" t="s">
        <v>32</v>
      </c>
      <c r="C42" s="5" t="s">
        <v>72</v>
      </c>
      <c r="D42" s="53">
        <v>744.004899999999</v>
      </c>
      <c r="E42" s="49">
        <v>664.28499999999894</v>
      </c>
      <c r="F42" s="49">
        <v>427.98119999999898</v>
      </c>
      <c r="G42" s="49">
        <v>424.12639999999999</v>
      </c>
      <c r="H42" s="49">
        <v>79.719899999999996</v>
      </c>
      <c r="I42" s="49">
        <v>20.816399999999899</v>
      </c>
      <c r="J42" s="49">
        <v>236.303799999999</v>
      </c>
      <c r="K42" s="49">
        <v>5.593</v>
      </c>
      <c r="L42" s="49">
        <v>424.12639999999999</v>
      </c>
      <c r="M42" s="49">
        <v>26.409399999999899</v>
      </c>
      <c r="N42" s="49">
        <v>450.53579999999999</v>
      </c>
      <c r="O42" s="57">
        <v>0.89285030249999997</v>
      </c>
      <c r="P42" s="57">
        <v>0.63847053600000003</v>
      </c>
      <c r="Q42" s="5">
        <v>850</v>
      </c>
      <c r="R42" s="49">
        <v>32054.68</v>
      </c>
      <c r="S42" s="49">
        <v>37.711388239999998</v>
      </c>
      <c r="T42" s="5">
        <v>20</v>
      </c>
      <c r="U42" s="5">
        <f t="shared" si="2"/>
        <v>260</v>
      </c>
      <c r="V42" s="5">
        <v>13</v>
      </c>
      <c r="W42" s="49">
        <v>5811.6399999999903</v>
      </c>
      <c r="X42" s="49">
        <v>12.89939667</v>
      </c>
      <c r="Y42" s="49">
        <v>5470.9746729999997</v>
      </c>
      <c r="Z42" s="49">
        <v>340.66532649999999</v>
      </c>
      <c r="AA42" s="49">
        <v>6.6800459769999998</v>
      </c>
      <c r="AB42" s="49">
        <v>0.17977287580000001</v>
      </c>
      <c r="AC42" s="4" t="str">
        <f t="shared" si="0"/>
        <v>Tipper</v>
      </c>
      <c r="AD42" s="4" t="str">
        <f t="shared" si="1"/>
        <v>Operational</v>
      </c>
      <c r="AE42" s="4" t="str">
        <f t="shared" si="3"/>
        <v>Individual</v>
      </c>
    </row>
    <row r="43" spans="1:31" ht="13.5" customHeight="1" x14ac:dyDescent="0.35">
      <c r="A43" s="3">
        <v>28</v>
      </c>
      <c r="B43" s="3" t="s">
        <v>32</v>
      </c>
      <c r="C43" s="3" t="s">
        <v>73</v>
      </c>
      <c r="D43" s="52">
        <v>744.004899999999</v>
      </c>
      <c r="E43" s="48">
        <v>676.49589999999898</v>
      </c>
      <c r="F43" s="48">
        <v>483.8562</v>
      </c>
      <c r="G43" s="48">
        <v>478.48319999999899</v>
      </c>
      <c r="H43" s="48">
        <v>67.509</v>
      </c>
      <c r="I43" s="48">
        <v>18.048300000000001</v>
      </c>
      <c r="J43" s="48">
        <v>192.63969999999901</v>
      </c>
      <c r="K43" s="48">
        <v>12.3516999999999</v>
      </c>
      <c r="L43" s="48">
        <v>478.48319999999899</v>
      </c>
      <c r="M43" s="48">
        <v>30.4</v>
      </c>
      <c r="N43" s="48">
        <v>508.88319999999902</v>
      </c>
      <c r="O43" s="56">
        <v>0.90926269439999996</v>
      </c>
      <c r="P43" s="56">
        <v>0.70729652610000004</v>
      </c>
      <c r="Q43" s="3">
        <v>931</v>
      </c>
      <c r="R43" s="48">
        <v>35317.760000000002</v>
      </c>
      <c r="S43" s="48">
        <v>37.935295379999999</v>
      </c>
      <c r="T43" s="3">
        <v>15</v>
      </c>
      <c r="U43" s="3">
        <f t="shared" si="2"/>
        <v>195</v>
      </c>
      <c r="V43" s="3">
        <v>13</v>
      </c>
      <c r="W43" s="48">
        <v>5607.7199999999903</v>
      </c>
      <c r="X43" s="48">
        <v>11.019660310000001</v>
      </c>
      <c r="Y43" s="48">
        <v>5272.7223270000004</v>
      </c>
      <c r="Z43" s="48">
        <v>334.99767329999997</v>
      </c>
      <c r="AA43" s="48">
        <v>5.9278224100000001</v>
      </c>
      <c r="AB43" s="48">
        <v>0.1584873537</v>
      </c>
      <c r="AC43" s="4" t="str">
        <f t="shared" si="0"/>
        <v>Tipper</v>
      </c>
      <c r="AD43" s="4" t="str">
        <f t="shared" si="1"/>
        <v>Operational</v>
      </c>
      <c r="AE43" s="4" t="str">
        <f t="shared" si="3"/>
        <v>Individual</v>
      </c>
    </row>
    <row r="44" spans="1:31" ht="13.5" customHeight="1" x14ac:dyDescent="0.35">
      <c r="A44" s="5">
        <v>29</v>
      </c>
      <c r="B44" s="5" t="s">
        <v>32</v>
      </c>
      <c r="C44" s="5" t="s">
        <v>74</v>
      </c>
      <c r="D44" s="53">
        <v>744.00189999999895</v>
      </c>
      <c r="E44" s="49">
        <v>410.67939999999999</v>
      </c>
      <c r="F44" s="49">
        <v>258.60640000000001</v>
      </c>
      <c r="G44" s="49">
        <v>254.46879999999999</v>
      </c>
      <c r="H44" s="49">
        <v>333.32249999999902</v>
      </c>
      <c r="I44" s="49">
        <v>8.43719999999999</v>
      </c>
      <c r="J44" s="49">
        <v>152.07299999999901</v>
      </c>
      <c r="K44" s="49">
        <v>4.4867999999999997</v>
      </c>
      <c r="L44" s="49">
        <v>254.46879999999999</v>
      </c>
      <c r="M44" s="49">
        <v>12.923999999999999</v>
      </c>
      <c r="N44" s="49">
        <v>267.39280000000002</v>
      </c>
      <c r="O44" s="57">
        <v>0.55198703120000003</v>
      </c>
      <c r="P44" s="57">
        <v>0.61962883940000002</v>
      </c>
      <c r="Q44" s="5">
        <v>411</v>
      </c>
      <c r="R44" s="49">
        <v>15371.16</v>
      </c>
      <c r="S44" s="49">
        <v>37.39941606</v>
      </c>
      <c r="T44" s="5">
        <v>19</v>
      </c>
      <c r="U44" s="5">
        <f t="shared" si="2"/>
        <v>247</v>
      </c>
      <c r="V44" s="5">
        <v>13</v>
      </c>
      <c r="W44" s="49">
        <v>2920.97</v>
      </c>
      <c r="X44" s="49">
        <v>10.92389174</v>
      </c>
      <c r="Y44" s="49">
        <v>2779.7896230000001</v>
      </c>
      <c r="Z44" s="49">
        <v>141.1803769</v>
      </c>
      <c r="AA44" s="49">
        <v>6.7929534880000002</v>
      </c>
      <c r="AB44" s="49">
        <v>0.18686840900000001</v>
      </c>
      <c r="AC44" s="4" t="str">
        <f t="shared" si="0"/>
        <v>Tipper</v>
      </c>
      <c r="AD44" s="4" t="str">
        <f t="shared" si="1"/>
        <v>Operational</v>
      </c>
      <c r="AE44" s="4" t="str">
        <f t="shared" si="3"/>
        <v>Individual</v>
      </c>
    </row>
    <row r="45" spans="1:31" ht="13.5" customHeight="1" x14ac:dyDescent="0.35">
      <c r="A45" s="3">
        <v>30</v>
      </c>
      <c r="B45" s="3" t="s">
        <v>32</v>
      </c>
      <c r="C45" s="3" t="s">
        <v>75</v>
      </c>
      <c r="D45" s="52">
        <v>744.00419999999895</v>
      </c>
      <c r="E45" s="48">
        <v>693.97709999999904</v>
      </c>
      <c r="F45" s="48">
        <v>481.1311</v>
      </c>
      <c r="G45" s="48">
        <v>475.58539999999999</v>
      </c>
      <c r="H45" s="48">
        <v>50.027099999999997</v>
      </c>
      <c r="I45" s="48">
        <v>17.7746</v>
      </c>
      <c r="J45" s="48">
        <v>212.84599999999901</v>
      </c>
      <c r="K45" s="48">
        <v>2.8894999999999902</v>
      </c>
      <c r="L45" s="48">
        <v>475.58539999999999</v>
      </c>
      <c r="M45" s="48">
        <v>20.664100000000001</v>
      </c>
      <c r="N45" s="48">
        <v>496.24950000000001</v>
      </c>
      <c r="O45" s="56">
        <v>0.93275965380000003</v>
      </c>
      <c r="P45" s="56">
        <v>0.68530416930000004</v>
      </c>
      <c r="Q45" s="3">
        <v>802</v>
      </c>
      <c r="R45" s="48">
        <v>30365.1</v>
      </c>
      <c r="S45" s="48">
        <v>37.861720699999999</v>
      </c>
      <c r="T45" s="3">
        <v>21</v>
      </c>
      <c r="U45" s="3">
        <f t="shared" si="2"/>
        <v>273</v>
      </c>
      <c r="V45" s="3">
        <v>13</v>
      </c>
      <c r="W45" s="48">
        <v>5149.63</v>
      </c>
      <c r="X45" s="48">
        <v>10.37709862</v>
      </c>
      <c r="Y45" s="48">
        <v>4935.1965959999998</v>
      </c>
      <c r="Z45" s="48">
        <v>214.4334035</v>
      </c>
      <c r="AA45" s="48">
        <v>6.2571445929999996</v>
      </c>
      <c r="AB45" s="48">
        <v>0.16850828370000001</v>
      </c>
      <c r="AC45" s="4" t="str">
        <f t="shared" si="0"/>
        <v>Tipper</v>
      </c>
      <c r="AD45" s="4" t="str">
        <f t="shared" si="1"/>
        <v>Operational</v>
      </c>
      <c r="AE45" s="4" t="str">
        <f t="shared" si="3"/>
        <v>Individual</v>
      </c>
    </row>
    <row r="46" spans="1:31" ht="13.5" customHeight="1" x14ac:dyDescent="0.35">
      <c r="A46" s="5">
        <v>31</v>
      </c>
      <c r="B46" s="5" t="s">
        <v>32</v>
      </c>
      <c r="C46" s="5" t="s">
        <v>76</v>
      </c>
      <c r="D46" s="53">
        <v>743.99979999999903</v>
      </c>
      <c r="E46" s="49">
        <v>656.48549999999898</v>
      </c>
      <c r="F46" s="49">
        <v>465.866299999999</v>
      </c>
      <c r="G46" s="49">
        <v>460.76899999999898</v>
      </c>
      <c r="H46" s="49">
        <v>87.514300000000006</v>
      </c>
      <c r="I46" s="49">
        <v>23.693299999999901</v>
      </c>
      <c r="J46" s="49">
        <v>190.61919999999901</v>
      </c>
      <c r="K46" s="49">
        <v>29.779</v>
      </c>
      <c r="L46" s="49">
        <v>460.76899999999898</v>
      </c>
      <c r="M46" s="49">
        <v>53.472299999999997</v>
      </c>
      <c r="N46" s="49">
        <v>514.241299999999</v>
      </c>
      <c r="O46" s="57">
        <v>0.88237322110000005</v>
      </c>
      <c r="P46" s="57">
        <v>0.70187231859999999</v>
      </c>
      <c r="Q46" s="5">
        <v>782</v>
      </c>
      <c r="R46" s="49">
        <v>29351.040000000001</v>
      </c>
      <c r="S46" s="49">
        <v>37.533299229999997</v>
      </c>
      <c r="T46" s="5">
        <v>26</v>
      </c>
      <c r="U46" s="5">
        <f t="shared" si="2"/>
        <v>338</v>
      </c>
      <c r="V46" s="5">
        <v>13</v>
      </c>
      <c r="W46" s="49">
        <v>5141.71</v>
      </c>
      <c r="X46" s="49">
        <v>9.998632937</v>
      </c>
      <c r="Y46" s="49">
        <v>4607.0600999764101</v>
      </c>
      <c r="Z46" s="49">
        <v>534.64990002358797</v>
      </c>
      <c r="AA46" s="49">
        <v>6.3635024749999998</v>
      </c>
      <c r="AB46" s="49">
        <v>0.17371792189999999</v>
      </c>
      <c r="AC46" s="4" t="str">
        <f t="shared" si="0"/>
        <v>Tipper</v>
      </c>
      <c r="AD46" s="4" t="str">
        <f t="shared" si="1"/>
        <v>Operational</v>
      </c>
      <c r="AE46" s="4" t="str">
        <f t="shared" si="3"/>
        <v>Individual</v>
      </c>
    </row>
    <row r="47" spans="1:31" ht="13.5" hidden="1" customHeight="1" x14ac:dyDescent="0.35">
      <c r="A47" s="3">
        <v>32</v>
      </c>
      <c r="B47" s="3" t="s">
        <v>32</v>
      </c>
      <c r="C47" s="3" t="s">
        <v>77</v>
      </c>
      <c r="D47" s="52">
        <v>744</v>
      </c>
      <c r="E47" s="48">
        <v>0</v>
      </c>
      <c r="F47" s="48">
        <v>0</v>
      </c>
      <c r="G47" s="48">
        <v>0</v>
      </c>
      <c r="H47" s="48">
        <v>744</v>
      </c>
      <c r="I47" s="48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56">
        <v>0</v>
      </c>
      <c r="P47" s="56">
        <v>0</v>
      </c>
      <c r="Q47" s="3">
        <v>0</v>
      </c>
      <c r="R47" s="48">
        <v>0</v>
      </c>
      <c r="S47" s="48">
        <v>0</v>
      </c>
      <c r="T47" s="3">
        <v>30</v>
      </c>
      <c r="U47" s="3">
        <f t="shared" si="2"/>
        <v>390</v>
      </c>
      <c r="V47" s="3">
        <v>13</v>
      </c>
      <c r="W47" s="48">
        <v>0</v>
      </c>
      <c r="X47" s="48">
        <v>0</v>
      </c>
      <c r="Y47" s="48">
        <v>0</v>
      </c>
      <c r="Z47" s="48">
        <v>0</v>
      </c>
      <c r="AA47" s="48">
        <v>0</v>
      </c>
      <c r="AB47" s="48">
        <v>0</v>
      </c>
      <c r="AC47" s="4" t="str">
        <f t="shared" si="0"/>
        <v>Tipper</v>
      </c>
      <c r="AD47" s="4" t="str">
        <f t="shared" si="1"/>
        <v>Non-Operational</v>
      </c>
      <c r="AE47" s="4" t="str">
        <f t="shared" si="3"/>
        <v>Individual</v>
      </c>
    </row>
    <row r="48" spans="1:31" ht="13.5" customHeight="1" x14ac:dyDescent="0.35">
      <c r="A48" s="5">
        <v>33</v>
      </c>
      <c r="B48" s="5" t="s">
        <v>32</v>
      </c>
      <c r="C48" s="5" t="s">
        <v>78</v>
      </c>
      <c r="D48" s="53">
        <v>744.00109999999995</v>
      </c>
      <c r="E48" s="49">
        <v>541.90959999999995</v>
      </c>
      <c r="F48" s="49">
        <v>277.18189999999998</v>
      </c>
      <c r="G48" s="49">
        <v>272.91800000000001</v>
      </c>
      <c r="H48" s="49">
        <v>202.091499999999</v>
      </c>
      <c r="I48" s="49">
        <v>21.7087</v>
      </c>
      <c r="J48" s="49">
        <v>264.72770000000003</v>
      </c>
      <c r="K48" s="49">
        <v>25.5886</v>
      </c>
      <c r="L48" s="49">
        <v>272.91800000000001</v>
      </c>
      <c r="M48" s="49">
        <v>47.2973</v>
      </c>
      <c r="N48" s="49">
        <v>320.21530000000001</v>
      </c>
      <c r="O48" s="57">
        <v>0.7283720414</v>
      </c>
      <c r="P48" s="57">
        <v>0.5036227445</v>
      </c>
      <c r="Q48" s="5">
        <v>346</v>
      </c>
      <c r="R48" s="49">
        <v>7653.49</v>
      </c>
      <c r="S48" s="49">
        <v>22.11991329</v>
      </c>
      <c r="T48" s="5">
        <v>1</v>
      </c>
      <c r="U48" s="5">
        <f t="shared" si="2"/>
        <v>13</v>
      </c>
      <c r="V48" s="5">
        <v>13</v>
      </c>
      <c r="W48" s="49">
        <v>2632.5599999999899</v>
      </c>
      <c r="X48" s="49">
        <v>8.221218661</v>
      </c>
      <c r="Y48" s="49">
        <v>2243.7185549999999</v>
      </c>
      <c r="Z48" s="49">
        <v>388.8414454</v>
      </c>
      <c r="AA48" s="49">
        <v>7.5866282419999997</v>
      </c>
      <c r="AB48" s="49">
        <v>0.32942042100000002</v>
      </c>
      <c r="AC48" s="4" t="str">
        <f t="shared" si="0"/>
        <v>Tipper</v>
      </c>
      <c r="AD48" s="4" t="str">
        <f t="shared" si="1"/>
        <v>Operational</v>
      </c>
      <c r="AE48" s="4" t="str">
        <f t="shared" si="3"/>
        <v>Individual</v>
      </c>
    </row>
    <row r="49" spans="1:31" ht="13.5" customHeight="1" x14ac:dyDescent="0.35">
      <c r="A49" s="3">
        <v>34</v>
      </c>
      <c r="B49" s="3" t="s">
        <v>32</v>
      </c>
      <c r="C49" s="3" t="s">
        <v>79</v>
      </c>
      <c r="D49" s="52">
        <v>744.00359999999898</v>
      </c>
      <c r="E49" s="48">
        <v>644.67729999999904</v>
      </c>
      <c r="F49" s="48">
        <v>420.902099999999</v>
      </c>
      <c r="G49" s="48">
        <v>416.13729999999902</v>
      </c>
      <c r="H49" s="48">
        <v>99.326299999999904</v>
      </c>
      <c r="I49" s="48">
        <v>15.117299999999901</v>
      </c>
      <c r="J49" s="48">
        <v>223.77519999999899</v>
      </c>
      <c r="K49" s="48">
        <v>5.1629999999999896</v>
      </c>
      <c r="L49" s="48">
        <v>416.13729999999902</v>
      </c>
      <c r="M49" s="48">
        <v>20.280299999999901</v>
      </c>
      <c r="N49" s="48">
        <v>436.41759999999903</v>
      </c>
      <c r="O49" s="56">
        <v>0.8664975546</v>
      </c>
      <c r="P49" s="56">
        <v>0.64549705719999995</v>
      </c>
      <c r="Q49" s="3">
        <v>805</v>
      </c>
      <c r="R49" s="48">
        <v>31078.67</v>
      </c>
      <c r="S49" s="48">
        <v>38.607043480000002</v>
      </c>
      <c r="T49" s="3">
        <v>32</v>
      </c>
      <c r="U49" s="3">
        <f t="shared" si="2"/>
        <v>416</v>
      </c>
      <c r="V49" s="3">
        <v>13</v>
      </c>
      <c r="W49" s="48">
        <v>5803.2999999999902</v>
      </c>
      <c r="X49" s="48">
        <v>13.2975847</v>
      </c>
      <c r="Y49" s="48">
        <v>5533.6209930000005</v>
      </c>
      <c r="Z49" s="48">
        <v>269.67900700000001</v>
      </c>
      <c r="AA49" s="48">
        <v>6.9334528080000002</v>
      </c>
      <c r="AB49" s="48">
        <v>0.18441516590000001</v>
      </c>
      <c r="AC49" s="4" t="str">
        <f t="shared" si="0"/>
        <v>Tipper</v>
      </c>
      <c r="AD49" s="4" t="str">
        <f t="shared" si="1"/>
        <v>Operational</v>
      </c>
      <c r="AE49" s="4" t="str">
        <f t="shared" si="3"/>
        <v>Individual</v>
      </c>
    </row>
    <row r="50" spans="1:31" ht="13.5" customHeight="1" x14ac:dyDescent="0.35">
      <c r="A50" s="5">
        <v>35</v>
      </c>
      <c r="B50" s="5" t="s">
        <v>32</v>
      </c>
      <c r="C50" s="5" t="s">
        <v>80</v>
      </c>
      <c r="D50" s="53">
        <v>744.00179999999898</v>
      </c>
      <c r="E50" s="49">
        <v>495.30529999999902</v>
      </c>
      <c r="F50" s="49">
        <v>312.11519999999899</v>
      </c>
      <c r="G50" s="49">
        <v>309.60099999999898</v>
      </c>
      <c r="H50" s="49">
        <v>248.69649999999899</v>
      </c>
      <c r="I50" s="49">
        <v>19.413599999999999</v>
      </c>
      <c r="J50" s="49">
        <v>183.19009999999901</v>
      </c>
      <c r="K50" s="49">
        <v>11.741400000000001</v>
      </c>
      <c r="L50" s="49">
        <v>309.60099999999898</v>
      </c>
      <c r="M50" s="49">
        <v>31.155000000000001</v>
      </c>
      <c r="N50" s="49">
        <v>340.75599999999901</v>
      </c>
      <c r="O50" s="57">
        <v>0.66573131949999997</v>
      </c>
      <c r="P50" s="57">
        <v>0.62507104199999997</v>
      </c>
      <c r="Q50" s="5">
        <v>616</v>
      </c>
      <c r="R50" s="49">
        <v>23261.81</v>
      </c>
      <c r="S50" s="49">
        <v>37.762678569999999</v>
      </c>
      <c r="T50" s="5">
        <v>16</v>
      </c>
      <c r="U50" s="5">
        <f t="shared" si="2"/>
        <v>208</v>
      </c>
      <c r="V50" s="5">
        <v>13</v>
      </c>
      <c r="W50" s="49">
        <v>4240.46</v>
      </c>
      <c r="X50" s="49">
        <v>12.44427097</v>
      </c>
      <c r="Y50" s="49">
        <v>3852.758738</v>
      </c>
      <c r="Z50" s="49">
        <v>387.70126219999997</v>
      </c>
      <c r="AA50" s="49">
        <v>6.7095886079999998</v>
      </c>
      <c r="AB50" s="49">
        <v>0.18219096100000001</v>
      </c>
      <c r="AC50" s="4" t="str">
        <f t="shared" si="0"/>
        <v>Tipper</v>
      </c>
      <c r="AD50" s="4" t="str">
        <f t="shared" si="1"/>
        <v>Operational</v>
      </c>
      <c r="AE50" s="4" t="str">
        <f t="shared" si="3"/>
        <v>Individual</v>
      </c>
    </row>
    <row r="51" spans="1:31" ht="13.5" customHeight="1" x14ac:dyDescent="0.35">
      <c r="A51" s="3">
        <v>36</v>
      </c>
      <c r="B51" s="3" t="s">
        <v>32</v>
      </c>
      <c r="C51" s="3" t="s">
        <v>81</v>
      </c>
      <c r="D51" s="52">
        <v>744.00069999999903</v>
      </c>
      <c r="E51" s="48">
        <v>128.33369999999999</v>
      </c>
      <c r="F51" s="48">
        <v>73.329499999999896</v>
      </c>
      <c r="G51" s="48">
        <v>72.966800000000006</v>
      </c>
      <c r="H51" s="48">
        <v>615.66699999999901</v>
      </c>
      <c r="I51" s="48">
        <v>2.1154999999999902</v>
      </c>
      <c r="J51" s="48">
        <v>55.004199999999997</v>
      </c>
      <c r="K51" s="48">
        <v>2.3496000000000001</v>
      </c>
      <c r="L51" s="48">
        <v>72.966800000000006</v>
      </c>
      <c r="M51" s="48">
        <v>4.4650999999999996</v>
      </c>
      <c r="N51" s="48">
        <v>77.431899999999999</v>
      </c>
      <c r="O51" s="56">
        <v>0.17249137</v>
      </c>
      <c r="P51" s="56">
        <v>0.56857084300000005</v>
      </c>
      <c r="Q51" s="3">
        <v>137</v>
      </c>
      <c r="R51" s="48">
        <v>5255.62</v>
      </c>
      <c r="S51" s="48">
        <v>38.362189780000001</v>
      </c>
      <c r="T51" s="3">
        <v>8</v>
      </c>
      <c r="U51" s="3">
        <f t="shared" si="2"/>
        <v>104</v>
      </c>
      <c r="V51" s="3">
        <v>13</v>
      </c>
      <c r="W51" s="48">
        <v>803.83</v>
      </c>
      <c r="X51" s="48">
        <v>10.38112199</v>
      </c>
      <c r="Y51" s="48">
        <v>757.47725219999995</v>
      </c>
      <c r="Z51" s="48">
        <v>46.352747809999997</v>
      </c>
      <c r="AA51" s="48">
        <v>5.5436551720000002</v>
      </c>
      <c r="AB51" s="48">
        <v>0.14172846559999999</v>
      </c>
      <c r="AC51" s="4" t="str">
        <f t="shared" si="0"/>
        <v>Tipper</v>
      </c>
      <c r="AD51" s="4" t="str">
        <f t="shared" si="1"/>
        <v>Operational</v>
      </c>
      <c r="AE51" s="4" t="str">
        <f t="shared" si="3"/>
        <v>Individual</v>
      </c>
    </row>
    <row r="52" spans="1:31" ht="13.5" customHeight="1" x14ac:dyDescent="0.35">
      <c r="A52" s="5">
        <v>37</v>
      </c>
      <c r="B52" s="5" t="s">
        <v>32</v>
      </c>
      <c r="C52" s="5" t="s">
        <v>82</v>
      </c>
      <c r="D52" s="53">
        <v>744.00329999999894</v>
      </c>
      <c r="E52" s="49">
        <v>669.34419999999898</v>
      </c>
      <c r="F52" s="49">
        <v>441.82889999999901</v>
      </c>
      <c r="G52" s="49">
        <v>438.94719999999899</v>
      </c>
      <c r="H52" s="49">
        <v>74.659099999999995</v>
      </c>
      <c r="I52" s="49">
        <v>24.9071999999999</v>
      </c>
      <c r="J52" s="49">
        <v>227.515299999999</v>
      </c>
      <c r="K52" s="49">
        <v>2.4472</v>
      </c>
      <c r="L52" s="49">
        <v>438.94719999999899</v>
      </c>
      <c r="M52" s="49">
        <v>27.354399999999899</v>
      </c>
      <c r="N52" s="49">
        <v>466.30159999999898</v>
      </c>
      <c r="O52" s="57">
        <v>0.89965219240000005</v>
      </c>
      <c r="P52" s="57">
        <v>0.65578696280000004</v>
      </c>
      <c r="Q52" s="5">
        <v>800</v>
      </c>
      <c r="R52" s="49">
        <v>30256.57</v>
      </c>
      <c r="S52" s="49">
        <v>37.820712499999999</v>
      </c>
      <c r="T52" s="5">
        <v>1</v>
      </c>
      <c r="U52" s="5">
        <f t="shared" si="2"/>
        <v>13</v>
      </c>
      <c r="V52" s="5">
        <v>13</v>
      </c>
      <c r="W52" s="49">
        <v>6280.49999999999</v>
      </c>
      <c r="X52" s="49">
        <v>13.468750699999999</v>
      </c>
      <c r="Y52" s="49">
        <v>5912.0704059999998</v>
      </c>
      <c r="Z52" s="49">
        <v>368.42959409999997</v>
      </c>
      <c r="AA52" s="49">
        <v>7.8408239699999998</v>
      </c>
      <c r="AB52" s="49">
        <v>0.2061575135</v>
      </c>
      <c r="AC52" s="4" t="str">
        <f t="shared" si="0"/>
        <v>Tipper</v>
      </c>
      <c r="AD52" s="4" t="str">
        <f t="shared" si="1"/>
        <v>Operational</v>
      </c>
      <c r="AE52" s="4" t="str">
        <f t="shared" si="3"/>
        <v>Individual</v>
      </c>
    </row>
    <row r="53" spans="1:31" ht="13.5" hidden="1" customHeight="1" x14ac:dyDescent="0.35">
      <c r="A53" s="3">
        <v>38</v>
      </c>
      <c r="B53" s="3" t="s">
        <v>32</v>
      </c>
      <c r="C53" s="3" t="s">
        <v>83</v>
      </c>
      <c r="D53" s="52">
        <v>744</v>
      </c>
      <c r="E53" s="48">
        <v>0</v>
      </c>
      <c r="F53" s="48">
        <v>0</v>
      </c>
      <c r="G53" s="48">
        <v>0</v>
      </c>
      <c r="H53" s="48">
        <v>744</v>
      </c>
      <c r="I53" s="48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56">
        <v>0</v>
      </c>
      <c r="P53" s="56">
        <v>0</v>
      </c>
      <c r="Q53" s="3">
        <v>0</v>
      </c>
      <c r="R53" s="48">
        <v>0</v>
      </c>
      <c r="S53" s="48">
        <v>0</v>
      </c>
      <c r="T53" s="3">
        <v>15</v>
      </c>
      <c r="U53" s="3">
        <f t="shared" si="2"/>
        <v>195</v>
      </c>
      <c r="V53" s="3">
        <v>13</v>
      </c>
      <c r="W53" s="48">
        <v>0</v>
      </c>
      <c r="X53" s="48">
        <v>0</v>
      </c>
      <c r="Y53" s="48">
        <v>0</v>
      </c>
      <c r="Z53" s="48">
        <v>0</v>
      </c>
      <c r="AA53" s="48">
        <v>0</v>
      </c>
      <c r="AB53" s="48">
        <v>0</v>
      </c>
      <c r="AC53" s="4" t="str">
        <f t="shared" si="0"/>
        <v>Tipper</v>
      </c>
      <c r="AD53" s="4" t="str">
        <f t="shared" si="1"/>
        <v>Non-Operational</v>
      </c>
      <c r="AE53" s="4" t="str">
        <f t="shared" si="3"/>
        <v>Individual</v>
      </c>
    </row>
    <row r="54" spans="1:31" ht="13.5" customHeight="1" x14ac:dyDescent="0.35">
      <c r="A54" s="5">
        <v>39</v>
      </c>
      <c r="B54" s="5" t="s">
        <v>32</v>
      </c>
      <c r="C54" s="5" t="s">
        <v>84</v>
      </c>
      <c r="D54" s="53">
        <v>744.00039999999899</v>
      </c>
      <c r="E54" s="49">
        <v>572.21379999999999</v>
      </c>
      <c r="F54" s="49">
        <v>383.14729999999997</v>
      </c>
      <c r="G54" s="49">
        <v>380.35229999999899</v>
      </c>
      <c r="H54" s="49">
        <v>171.786599999999</v>
      </c>
      <c r="I54" s="49">
        <v>17.838899999999899</v>
      </c>
      <c r="J54" s="49">
        <v>189.066499999999</v>
      </c>
      <c r="K54" s="49">
        <v>5.7293999999999903</v>
      </c>
      <c r="L54" s="49">
        <v>380.35229999999899</v>
      </c>
      <c r="M54" s="49">
        <v>23.568299999999901</v>
      </c>
      <c r="N54" s="49">
        <v>403.92059999999901</v>
      </c>
      <c r="O54" s="57">
        <v>0.76910415639999996</v>
      </c>
      <c r="P54" s="57">
        <v>0.66470312320000002</v>
      </c>
      <c r="Q54" s="5">
        <v>694</v>
      </c>
      <c r="R54" s="49">
        <v>26207.47</v>
      </c>
      <c r="S54" s="49">
        <v>37.762925070000001</v>
      </c>
      <c r="T54" s="5">
        <v>3</v>
      </c>
      <c r="U54" s="5">
        <f t="shared" si="2"/>
        <v>39</v>
      </c>
      <c r="V54" s="5">
        <v>13</v>
      </c>
      <c r="W54" s="49">
        <v>4985.8099999999904</v>
      </c>
      <c r="X54" s="49">
        <v>12.343539789999999</v>
      </c>
      <c r="Y54" s="49">
        <v>4694.8937509999996</v>
      </c>
      <c r="Z54" s="49">
        <v>290.91624890000003</v>
      </c>
      <c r="AA54" s="49">
        <v>7.1532424680000002</v>
      </c>
      <c r="AB54" s="49">
        <v>0.1901495282</v>
      </c>
      <c r="AC54" s="4" t="str">
        <f t="shared" si="0"/>
        <v>Tipper</v>
      </c>
      <c r="AD54" s="4" t="str">
        <f t="shared" si="1"/>
        <v>Operational</v>
      </c>
      <c r="AE54" s="4" t="str">
        <f t="shared" si="3"/>
        <v>Individual</v>
      </c>
    </row>
    <row r="55" spans="1:31" ht="13.5" customHeight="1" x14ac:dyDescent="0.35">
      <c r="A55" s="3">
        <v>40</v>
      </c>
      <c r="B55" s="3" t="s">
        <v>32</v>
      </c>
      <c r="C55" s="3" t="s">
        <v>85</v>
      </c>
      <c r="D55" s="52">
        <v>744.00229999999897</v>
      </c>
      <c r="E55" s="48">
        <v>683.01499999999896</v>
      </c>
      <c r="F55" s="48">
        <v>456.73169999999999</v>
      </c>
      <c r="G55" s="48">
        <v>452.93579999999997</v>
      </c>
      <c r="H55" s="48">
        <v>60.987299999999998</v>
      </c>
      <c r="I55" s="48">
        <v>17.5688</v>
      </c>
      <c r="J55" s="48">
        <v>226.283299999999</v>
      </c>
      <c r="K55" s="48">
        <v>4.1649000000000003</v>
      </c>
      <c r="L55" s="48">
        <v>452.93579999999997</v>
      </c>
      <c r="M55" s="48">
        <v>21.733699999999999</v>
      </c>
      <c r="N55" s="48">
        <v>474.66950000000003</v>
      </c>
      <c r="O55" s="56">
        <v>0.91802807600000003</v>
      </c>
      <c r="P55" s="56">
        <v>0.66314180509999998</v>
      </c>
      <c r="Q55" s="3">
        <v>854</v>
      </c>
      <c r="R55" s="48">
        <v>32578.25</v>
      </c>
      <c r="S55" s="48">
        <v>38.147833720000001</v>
      </c>
      <c r="T55" s="3">
        <v>21</v>
      </c>
      <c r="U55" s="3">
        <f t="shared" si="2"/>
        <v>273</v>
      </c>
      <c r="V55" s="3">
        <v>13</v>
      </c>
      <c r="W55" s="48">
        <v>6127.6699999999901</v>
      </c>
      <c r="X55" s="48">
        <v>12.90934008</v>
      </c>
      <c r="Y55" s="48">
        <v>5847.1022759999996</v>
      </c>
      <c r="Z55" s="48">
        <v>280.56772439999997</v>
      </c>
      <c r="AA55" s="48">
        <v>7.0030514290000001</v>
      </c>
      <c r="AB55" s="48">
        <v>0.18697169189999999</v>
      </c>
      <c r="AC55" s="4" t="str">
        <f t="shared" si="0"/>
        <v>Tipper</v>
      </c>
      <c r="AD55" s="4" t="str">
        <f t="shared" si="1"/>
        <v>Operational</v>
      </c>
      <c r="AE55" s="4" t="str">
        <f t="shared" si="3"/>
        <v>Individual</v>
      </c>
    </row>
    <row r="56" spans="1:31" ht="13.5" hidden="1" customHeight="1" x14ac:dyDescent="0.35">
      <c r="A56" s="5">
        <v>41</v>
      </c>
      <c r="B56" s="5" t="s">
        <v>32</v>
      </c>
      <c r="C56" s="5" t="s">
        <v>86</v>
      </c>
      <c r="D56" s="53">
        <v>744.00049999999896</v>
      </c>
      <c r="E56" s="49">
        <v>91.372499999999903</v>
      </c>
      <c r="F56" s="49">
        <v>9.0299999999999894E-2</v>
      </c>
      <c r="G56" s="49">
        <v>0</v>
      </c>
      <c r="H56" s="49">
        <v>652.62799999999902</v>
      </c>
      <c r="I56" s="49">
        <v>0</v>
      </c>
      <c r="J56" s="49">
        <v>91.282199999999904</v>
      </c>
      <c r="K56" s="49">
        <v>0</v>
      </c>
      <c r="L56" s="49">
        <v>0</v>
      </c>
      <c r="M56" s="49">
        <v>0</v>
      </c>
      <c r="N56" s="49">
        <v>0</v>
      </c>
      <c r="O56" s="57">
        <v>0.12281241750000001</v>
      </c>
      <c r="P56" s="57">
        <v>0</v>
      </c>
      <c r="Q56" s="5">
        <v>162</v>
      </c>
      <c r="R56" s="49">
        <v>6110.13</v>
      </c>
      <c r="S56" s="49">
        <v>37.716851849999998</v>
      </c>
      <c r="T56" s="5">
        <v>12</v>
      </c>
      <c r="U56" s="5">
        <f t="shared" si="2"/>
        <v>156</v>
      </c>
      <c r="V56" s="5">
        <v>13</v>
      </c>
      <c r="W56" s="49">
        <v>1334.3299999999899</v>
      </c>
      <c r="X56" s="49">
        <v>0</v>
      </c>
      <c r="Y56" s="49">
        <v>0</v>
      </c>
      <c r="Z56" s="49">
        <v>0</v>
      </c>
      <c r="AA56" s="49">
        <v>7.6685632180000001</v>
      </c>
      <c r="AB56" s="49">
        <v>0.21699492449999999</v>
      </c>
      <c r="AC56" s="4" t="str">
        <f t="shared" si="0"/>
        <v>Tipper</v>
      </c>
      <c r="AD56" s="4" t="str">
        <f t="shared" si="1"/>
        <v>Operational</v>
      </c>
      <c r="AE56" s="4" t="str">
        <f t="shared" si="3"/>
        <v>Individual</v>
      </c>
    </row>
    <row r="57" spans="1:31" ht="13.5" customHeight="1" x14ac:dyDescent="0.35">
      <c r="A57" s="3">
        <v>42</v>
      </c>
      <c r="B57" s="3" t="s">
        <v>32</v>
      </c>
      <c r="C57" s="3" t="s">
        <v>87</v>
      </c>
      <c r="D57" s="52">
        <v>744.00269999999898</v>
      </c>
      <c r="E57" s="48">
        <v>293.397999999999</v>
      </c>
      <c r="F57" s="48">
        <v>173.5307</v>
      </c>
      <c r="G57" s="48">
        <v>172.0215</v>
      </c>
      <c r="H57" s="48">
        <v>450.60469999999901</v>
      </c>
      <c r="I57" s="48">
        <v>6.4013</v>
      </c>
      <c r="J57" s="48">
        <v>119.86729999999901</v>
      </c>
      <c r="K57" s="48">
        <v>1.8169999999999999</v>
      </c>
      <c r="L57" s="48">
        <v>172.0215</v>
      </c>
      <c r="M57" s="48">
        <v>8.2182999999999993</v>
      </c>
      <c r="N57" s="48">
        <v>180.2398</v>
      </c>
      <c r="O57" s="56">
        <v>0.39435071939999999</v>
      </c>
      <c r="P57" s="56">
        <v>0.58630767760000002</v>
      </c>
      <c r="Q57" s="3">
        <v>344</v>
      </c>
      <c r="R57" s="48">
        <v>12936.93</v>
      </c>
      <c r="S57" s="48">
        <v>37.607354649999998</v>
      </c>
      <c r="T57" s="3">
        <v>3</v>
      </c>
      <c r="U57" s="3">
        <f t="shared" si="2"/>
        <v>39</v>
      </c>
      <c r="V57" s="3">
        <v>13</v>
      </c>
      <c r="W57" s="48">
        <v>2539.96</v>
      </c>
      <c r="X57" s="48">
        <v>14.092115059999999</v>
      </c>
      <c r="Y57" s="48">
        <v>2424.1467710000002</v>
      </c>
      <c r="Z57" s="48">
        <v>115.81322919999999</v>
      </c>
      <c r="AA57" s="48">
        <v>7.3197694520000001</v>
      </c>
      <c r="AB57" s="48">
        <v>0.19227656770000001</v>
      </c>
      <c r="AC57" s="4" t="str">
        <f t="shared" si="0"/>
        <v>Tipper</v>
      </c>
      <c r="AD57" s="4" t="str">
        <f t="shared" si="1"/>
        <v>Operational</v>
      </c>
      <c r="AE57" s="4" t="str">
        <f t="shared" si="3"/>
        <v>Individual</v>
      </c>
    </row>
    <row r="58" spans="1:31" ht="13.5" customHeight="1" x14ac:dyDescent="0.35">
      <c r="A58" s="5">
        <v>43</v>
      </c>
      <c r="B58" s="5" t="s">
        <v>32</v>
      </c>
      <c r="C58" s="5" t="s">
        <v>88</v>
      </c>
      <c r="D58" s="53">
        <v>744.00319999999897</v>
      </c>
      <c r="E58" s="49">
        <v>541.54209999999898</v>
      </c>
      <c r="F58" s="49">
        <v>316.88709999999998</v>
      </c>
      <c r="G58" s="49">
        <v>313.8347</v>
      </c>
      <c r="H58" s="49">
        <v>202.46109999999999</v>
      </c>
      <c r="I58" s="49">
        <v>19.3782</v>
      </c>
      <c r="J58" s="49">
        <v>224.65499999999901</v>
      </c>
      <c r="K58" s="49">
        <v>17.502800000000001</v>
      </c>
      <c r="L58" s="49">
        <v>313.8347</v>
      </c>
      <c r="M58" s="49">
        <v>36.881</v>
      </c>
      <c r="N58" s="49">
        <v>350.715699999999</v>
      </c>
      <c r="O58" s="57">
        <v>0.72787603599999995</v>
      </c>
      <c r="P58" s="57">
        <v>0.57952041030000001</v>
      </c>
      <c r="Q58" s="5">
        <v>629</v>
      </c>
      <c r="R58" s="49">
        <v>23656.97</v>
      </c>
      <c r="S58" s="49">
        <v>37.610445149999997</v>
      </c>
      <c r="T58" s="5">
        <v>4</v>
      </c>
      <c r="U58" s="5">
        <f t="shared" si="2"/>
        <v>52</v>
      </c>
      <c r="V58" s="5">
        <v>13</v>
      </c>
      <c r="W58" s="49">
        <v>4788.42</v>
      </c>
      <c r="X58" s="49">
        <v>13.653280990000001</v>
      </c>
      <c r="Y58" s="49">
        <v>4284.8733439999996</v>
      </c>
      <c r="Z58" s="49">
        <v>503.54665619999997</v>
      </c>
      <c r="AA58" s="49">
        <v>7.5646445499999997</v>
      </c>
      <c r="AB58" s="49">
        <v>0.20108453500000001</v>
      </c>
      <c r="AC58" s="4" t="str">
        <f t="shared" si="0"/>
        <v>Tipper</v>
      </c>
      <c r="AD58" s="4" t="str">
        <f t="shared" si="1"/>
        <v>Operational</v>
      </c>
      <c r="AE58" s="4" t="str">
        <f t="shared" si="3"/>
        <v>Individual</v>
      </c>
    </row>
    <row r="59" spans="1:31" ht="13.5" customHeight="1" x14ac:dyDescent="0.35">
      <c r="A59" s="3">
        <v>44</v>
      </c>
      <c r="B59" s="3" t="s">
        <v>32</v>
      </c>
      <c r="C59" s="3" t="s">
        <v>89</v>
      </c>
      <c r="D59" s="52">
        <v>744.000799999999</v>
      </c>
      <c r="E59" s="48">
        <v>463.42059999999901</v>
      </c>
      <c r="F59" s="48">
        <v>271.25469999999899</v>
      </c>
      <c r="G59" s="48">
        <v>268.93249999999898</v>
      </c>
      <c r="H59" s="48">
        <v>280.58019999999902</v>
      </c>
      <c r="I59" s="48">
        <v>18.2881</v>
      </c>
      <c r="J59" s="48">
        <v>192.165899999999</v>
      </c>
      <c r="K59" s="48">
        <v>9.3710000000000004</v>
      </c>
      <c r="L59" s="48">
        <v>268.93249999999898</v>
      </c>
      <c r="M59" s="48">
        <v>27.659099999999999</v>
      </c>
      <c r="N59" s="48">
        <v>296.591599999999</v>
      </c>
      <c r="O59" s="56">
        <v>0.62287648080000002</v>
      </c>
      <c r="P59" s="56">
        <v>0.58032055549999995</v>
      </c>
      <c r="Q59" s="3">
        <v>473</v>
      </c>
      <c r="R59" s="48">
        <v>17978.62</v>
      </c>
      <c r="S59" s="48">
        <v>38.009767439999997</v>
      </c>
      <c r="T59" s="3">
        <v>16</v>
      </c>
      <c r="U59" s="3">
        <f t="shared" si="2"/>
        <v>208</v>
      </c>
      <c r="V59" s="3">
        <v>13</v>
      </c>
      <c r="W59" s="48">
        <v>3746.3699999999899</v>
      </c>
      <c r="X59" s="48">
        <v>12.631409659999999</v>
      </c>
      <c r="Y59" s="48">
        <v>3396.9965769999999</v>
      </c>
      <c r="Z59" s="48">
        <v>349.37342280000001</v>
      </c>
      <c r="AA59" s="48">
        <v>7.6612883439999999</v>
      </c>
      <c r="AB59" s="48">
        <v>0.2079281281</v>
      </c>
      <c r="AC59" s="4" t="str">
        <f t="shared" si="0"/>
        <v>Tipper</v>
      </c>
      <c r="AD59" s="4" t="str">
        <f t="shared" si="1"/>
        <v>Operational</v>
      </c>
      <c r="AE59" s="4" t="str">
        <f t="shared" si="3"/>
        <v>Individual</v>
      </c>
    </row>
    <row r="60" spans="1:31" ht="13.5" customHeight="1" x14ac:dyDescent="0.35">
      <c r="A60" s="5">
        <v>45</v>
      </c>
      <c r="B60" s="5" t="s">
        <v>32</v>
      </c>
      <c r="C60" s="5" t="s">
        <v>90</v>
      </c>
      <c r="D60" s="53">
        <v>744.00299999999902</v>
      </c>
      <c r="E60" s="49">
        <v>663.74959999999896</v>
      </c>
      <c r="F60" s="49">
        <v>408.00899999999899</v>
      </c>
      <c r="G60" s="49">
        <v>400.03329999999897</v>
      </c>
      <c r="H60" s="49">
        <v>80.253399999999999</v>
      </c>
      <c r="I60" s="49">
        <v>31.593799999999899</v>
      </c>
      <c r="J60" s="49">
        <v>255.74059999999901</v>
      </c>
      <c r="K60" s="49">
        <v>19.329000000000001</v>
      </c>
      <c r="L60" s="49">
        <v>400.03329999999897</v>
      </c>
      <c r="M60" s="49">
        <v>50.922799999999903</v>
      </c>
      <c r="N60" s="49">
        <v>450.95609999999903</v>
      </c>
      <c r="O60" s="57">
        <v>0.89213296180000001</v>
      </c>
      <c r="P60" s="57">
        <v>0.60268706750000001</v>
      </c>
      <c r="Q60" s="5">
        <v>897</v>
      </c>
      <c r="R60" s="49">
        <v>33020.449999999997</v>
      </c>
      <c r="S60" s="49">
        <v>36.812095880000001</v>
      </c>
      <c r="T60" s="5">
        <v>2</v>
      </c>
      <c r="U60" s="5">
        <f t="shared" si="2"/>
        <v>26</v>
      </c>
      <c r="V60" s="5">
        <v>13</v>
      </c>
      <c r="W60" s="49">
        <v>5447.62</v>
      </c>
      <c r="X60" s="49">
        <v>12.080155919999999</v>
      </c>
      <c r="Y60" s="49">
        <v>4832.4646359999997</v>
      </c>
      <c r="Z60" s="49">
        <v>615.15536380000003</v>
      </c>
      <c r="AA60" s="49">
        <v>6.0596440490000001</v>
      </c>
      <c r="AB60" s="49">
        <v>0.16471776360000001</v>
      </c>
      <c r="AC60" s="4" t="str">
        <f t="shared" si="0"/>
        <v>Tipper</v>
      </c>
      <c r="AD60" s="4" t="str">
        <f t="shared" si="1"/>
        <v>Operational</v>
      </c>
      <c r="AE60" s="4" t="str">
        <f t="shared" si="3"/>
        <v>Individual</v>
      </c>
    </row>
    <row r="61" spans="1:31" ht="13.5" customHeight="1" x14ac:dyDescent="0.35">
      <c r="A61" s="3">
        <v>46</v>
      </c>
      <c r="B61" s="3" t="s">
        <v>32</v>
      </c>
      <c r="C61" s="3" t="s">
        <v>91</v>
      </c>
      <c r="D61" s="52">
        <v>744.001699999999</v>
      </c>
      <c r="E61" s="48">
        <v>688.26049999999896</v>
      </c>
      <c r="F61" s="48">
        <v>451.2921</v>
      </c>
      <c r="G61" s="48">
        <v>447.48209999999898</v>
      </c>
      <c r="H61" s="48">
        <v>55.7411999999999</v>
      </c>
      <c r="I61" s="48">
        <v>28.263399999999901</v>
      </c>
      <c r="J61" s="48">
        <v>236.96839999999901</v>
      </c>
      <c r="K61" s="48">
        <v>18.549199999999999</v>
      </c>
      <c r="L61" s="48">
        <v>447.48209999999898</v>
      </c>
      <c r="M61" s="48">
        <v>46.812599999999897</v>
      </c>
      <c r="N61" s="48">
        <v>494.29469999999901</v>
      </c>
      <c r="O61" s="56">
        <v>0.92507920340000005</v>
      </c>
      <c r="P61" s="56">
        <v>0.65016385509999997</v>
      </c>
      <c r="Q61" s="3">
        <v>961</v>
      </c>
      <c r="R61" s="48">
        <v>35361.550000000003</v>
      </c>
      <c r="S61" s="48">
        <v>36.796618109999997</v>
      </c>
      <c r="T61" s="3">
        <v>21</v>
      </c>
      <c r="U61" s="3">
        <f t="shared" si="2"/>
        <v>273</v>
      </c>
      <c r="V61" s="3">
        <v>13</v>
      </c>
      <c r="W61" s="48">
        <v>5952.5199999999904</v>
      </c>
      <c r="X61" s="48">
        <v>12.0424516</v>
      </c>
      <c r="Y61" s="48">
        <v>5388.7815303137904</v>
      </c>
      <c r="Z61" s="48">
        <v>563.7384697</v>
      </c>
      <c r="AA61" s="48">
        <v>6.0616293280000004</v>
      </c>
      <c r="AB61" s="48">
        <v>0.16734875760000001</v>
      </c>
      <c r="AC61" s="4" t="str">
        <f t="shared" si="0"/>
        <v>Tipper</v>
      </c>
      <c r="AD61" s="4" t="str">
        <f t="shared" si="1"/>
        <v>Operational</v>
      </c>
      <c r="AE61" s="4" t="str">
        <f t="shared" si="3"/>
        <v>Individual</v>
      </c>
    </row>
    <row r="62" spans="1:31" ht="13.5" customHeight="1" x14ac:dyDescent="0.35">
      <c r="A62" s="5">
        <v>47</v>
      </c>
      <c r="B62" s="5" t="s">
        <v>32</v>
      </c>
      <c r="C62" s="5" t="s">
        <v>92</v>
      </c>
      <c r="D62" s="53">
        <v>744.00289999999904</v>
      </c>
      <c r="E62" s="49">
        <v>682.58339999999896</v>
      </c>
      <c r="F62" s="49">
        <v>445.94719999999899</v>
      </c>
      <c r="G62" s="49">
        <v>441.16709999999898</v>
      </c>
      <c r="H62" s="49">
        <v>61.419499999999999</v>
      </c>
      <c r="I62" s="49">
        <v>35.540499999999902</v>
      </c>
      <c r="J62" s="49">
        <v>236.63619999999901</v>
      </c>
      <c r="K62" s="49">
        <v>17.784800000000001</v>
      </c>
      <c r="L62" s="49">
        <v>441.16709999999898</v>
      </c>
      <c r="M62" s="49">
        <v>53.325299999999999</v>
      </c>
      <c r="N62" s="49">
        <v>494.49239999999901</v>
      </c>
      <c r="O62" s="57">
        <v>0.91744723039999998</v>
      </c>
      <c r="P62" s="57">
        <v>0.64631970250000004</v>
      </c>
      <c r="Q62" s="5">
        <v>978</v>
      </c>
      <c r="R62" s="49">
        <v>35805.86</v>
      </c>
      <c r="S62" s="49">
        <v>36.611308790000002</v>
      </c>
      <c r="T62" s="5">
        <v>30</v>
      </c>
      <c r="U62" s="5">
        <f t="shared" si="2"/>
        <v>390</v>
      </c>
      <c r="V62" s="5">
        <v>13</v>
      </c>
      <c r="W62" s="49">
        <v>5664.1799999999903</v>
      </c>
      <c r="X62" s="49">
        <v>11.454533980000001</v>
      </c>
      <c r="Y62" s="49">
        <v>5053.3635389999999</v>
      </c>
      <c r="Z62" s="49">
        <v>610.816461</v>
      </c>
      <c r="AA62" s="49">
        <v>5.61922619</v>
      </c>
      <c r="AB62" s="49">
        <v>0.1580766391</v>
      </c>
      <c r="AC62" s="4" t="str">
        <f t="shared" si="0"/>
        <v>Tipper</v>
      </c>
      <c r="AD62" s="4" t="str">
        <f t="shared" si="1"/>
        <v>Operational</v>
      </c>
      <c r="AE62" s="4" t="str">
        <f t="shared" si="3"/>
        <v>Individual</v>
      </c>
    </row>
    <row r="63" spans="1:31" ht="13.5" customHeight="1" x14ac:dyDescent="0.35">
      <c r="A63" s="3">
        <v>48</v>
      </c>
      <c r="B63" s="3" t="s">
        <v>32</v>
      </c>
      <c r="C63" s="3" t="s">
        <v>93</v>
      </c>
      <c r="D63" s="52">
        <v>744.00199999999904</v>
      </c>
      <c r="E63" s="48">
        <v>656.57939999999905</v>
      </c>
      <c r="F63" s="48">
        <v>428.54209999999898</v>
      </c>
      <c r="G63" s="48">
        <v>424.35189999999898</v>
      </c>
      <c r="H63" s="48">
        <v>87.422599999999903</v>
      </c>
      <c r="I63" s="48">
        <v>29.265199999999901</v>
      </c>
      <c r="J63" s="48">
        <v>228.03729999999899</v>
      </c>
      <c r="K63" s="48">
        <v>24.362300000000001</v>
      </c>
      <c r="L63" s="48">
        <v>424.35189999999898</v>
      </c>
      <c r="M63" s="48">
        <v>53.627499999999998</v>
      </c>
      <c r="N63" s="48">
        <v>477.97939999999898</v>
      </c>
      <c r="O63" s="56">
        <v>0.88249682119999995</v>
      </c>
      <c r="P63" s="56">
        <v>0.64630705749999995</v>
      </c>
      <c r="Q63" s="3">
        <v>982</v>
      </c>
      <c r="R63" s="48">
        <v>35832.550000000003</v>
      </c>
      <c r="S63" s="48">
        <v>36.489358449999997</v>
      </c>
      <c r="T63" s="3">
        <v>27</v>
      </c>
      <c r="U63" s="3">
        <f t="shared" si="2"/>
        <v>351</v>
      </c>
      <c r="V63" s="3">
        <v>13</v>
      </c>
      <c r="W63" s="48">
        <v>6079.6199999999899</v>
      </c>
      <c r="X63" s="48">
        <v>12.719418449999999</v>
      </c>
      <c r="Y63" s="48">
        <v>5397.5093870000001</v>
      </c>
      <c r="Z63" s="48">
        <v>682.11061299999994</v>
      </c>
      <c r="AA63" s="48">
        <v>6.0253914770000003</v>
      </c>
      <c r="AB63" s="48">
        <v>0.16838463889999999</v>
      </c>
      <c r="AC63" s="4" t="str">
        <f t="shared" si="0"/>
        <v>Tipper</v>
      </c>
      <c r="AD63" s="4" t="str">
        <f t="shared" si="1"/>
        <v>Operational</v>
      </c>
      <c r="AE63" s="4" t="str">
        <f t="shared" si="3"/>
        <v>Individual</v>
      </c>
    </row>
    <row r="64" spans="1:31" ht="13.5" customHeight="1" x14ac:dyDescent="0.35">
      <c r="A64" s="5">
        <v>49</v>
      </c>
      <c r="B64" s="5" t="s">
        <v>32</v>
      </c>
      <c r="C64" s="5" t="s">
        <v>94</v>
      </c>
      <c r="D64" s="53">
        <v>744.00369999999998</v>
      </c>
      <c r="E64" s="49">
        <v>702.57860000000005</v>
      </c>
      <c r="F64" s="49">
        <v>475.92559999999997</v>
      </c>
      <c r="G64" s="49">
        <v>471.5403</v>
      </c>
      <c r="H64" s="49">
        <v>41.4251</v>
      </c>
      <c r="I64" s="49">
        <v>29.136700000000001</v>
      </c>
      <c r="J64" s="49">
        <v>226.652999999999</v>
      </c>
      <c r="K64" s="49">
        <v>6.6175999999999897</v>
      </c>
      <c r="L64" s="49">
        <v>471.5403</v>
      </c>
      <c r="M64" s="49">
        <v>35.754300000000001</v>
      </c>
      <c r="N64" s="49">
        <v>507.2946</v>
      </c>
      <c r="O64" s="57">
        <v>0.94432137900000002</v>
      </c>
      <c r="P64" s="57">
        <v>0.67115665069999997</v>
      </c>
      <c r="Q64" s="5">
        <v>1013</v>
      </c>
      <c r="R64" s="49">
        <v>37290.03</v>
      </c>
      <c r="S64" s="49">
        <v>36.811480750000001</v>
      </c>
      <c r="T64" s="5">
        <v>21</v>
      </c>
      <c r="U64" s="5">
        <f t="shared" si="2"/>
        <v>273</v>
      </c>
      <c r="V64" s="5">
        <v>13</v>
      </c>
      <c r="W64" s="49">
        <v>5975.69</v>
      </c>
      <c r="X64" s="49">
        <v>11.77952614</v>
      </c>
      <c r="Y64" s="49">
        <v>5554.5212890000003</v>
      </c>
      <c r="Z64" s="49">
        <v>421.16871140000001</v>
      </c>
      <c r="AA64" s="49">
        <v>5.7791972920000001</v>
      </c>
      <c r="AB64" s="49">
        <v>0.15859037270000001</v>
      </c>
      <c r="AC64" s="4" t="str">
        <f t="shared" si="0"/>
        <v>Tipper</v>
      </c>
      <c r="AD64" s="4" t="str">
        <f t="shared" si="1"/>
        <v>Operational</v>
      </c>
      <c r="AE64" s="4" t="str">
        <f t="shared" si="3"/>
        <v>Individual</v>
      </c>
    </row>
    <row r="65" spans="1:31" ht="13.5" customHeight="1" x14ac:dyDescent="0.35">
      <c r="A65" s="3">
        <v>50</v>
      </c>
      <c r="B65" s="3" t="s">
        <v>32</v>
      </c>
      <c r="C65" s="3" t="s">
        <v>95</v>
      </c>
      <c r="D65" s="52">
        <v>744.00119999999902</v>
      </c>
      <c r="E65" s="48">
        <v>706.460499999999</v>
      </c>
      <c r="F65" s="48">
        <v>482.307199999999</v>
      </c>
      <c r="G65" s="48">
        <v>463.05839999999898</v>
      </c>
      <c r="H65" s="48">
        <v>37.540700000000001</v>
      </c>
      <c r="I65" s="48">
        <v>35.660899999999998</v>
      </c>
      <c r="J65" s="48">
        <v>224.15329999999901</v>
      </c>
      <c r="K65" s="48">
        <v>12.213299999999901</v>
      </c>
      <c r="L65" s="48">
        <v>463.05839999999898</v>
      </c>
      <c r="M65" s="48">
        <v>47.874200000000002</v>
      </c>
      <c r="N65" s="48">
        <v>510.93259999999901</v>
      </c>
      <c r="O65" s="56">
        <v>0.94954215129999997</v>
      </c>
      <c r="P65" s="56">
        <v>0.6554625489</v>
      </c>
      <c r="Q65" s="3">
        <v>990</v>
      </c>
      <c r="R65" s="48">
        <v>36408.57</v>
      </c>
      <c r="S65" s="48">
        <v>36.77633333</v>
      </c>
      <c r="T65" s="3">
        <v>21</v>
      </c>
      <c r="U65" s="3">
        <f t="shared" si="2"/>
        <v>273</v>
      </c>
      <c r="V65" s="3">
        <v>13</v>
      </c>
      <c r="W65" s="48">
        <v>5917.1999999999898</v>
      </c>
      <c r="X65" s="48">
        <v>11.581175289999999</v>
      </c>
      <c r="Y65" s="48">
        <v>5362.7604979999996</v>
      </c>
      <c r="Z65" s="48">
        <v>554.43950189999998</v>
      </c>
      <c r="AA65" s="48">
        <v>5.8528189910000004</v>
      </c>
      <c r="AB65" s="48">
        <v>0.16097032689999999</v>
      </c>
      <c r="AC65" s="4" t="str">
        <f t="shared" si="0"/>
        <v>Tipper</v>
      </c>
      <c r="AD65" s="4" t="str">
        <f t="shared" si="1"/>
        <v>Operational</v>
      </c>
      <c r="AE65" s="4" t="str">
        <f t="shared" si="3"/>
        <v>Individual</v>
      </c>
    </row>
    <row r="66" spans="1:31" ht="13.5" customHeight="1" x14ac:dyDescent="0.35">
      <c r="A66" s="5">
        <v>51</v>
      </c>
      <c r="B66" s="5" t="s">
        <v>32</v>
      </c>
      <c r="C66" s="5" t="s">
        <v>96</v>
      </c>
      <c r="D66" s="53">
        <v>744.00049999999999</v>
      </c>
      <c r="E66" s="49">
        <v>91.565100000000001</v>
      </c>
      <c r="F66" s="49">
        <v>30.841699999999999</v>
      </c>
      <c r="G66" s="49">
        <v>30.581999999999901</v>
      </c>
      <c r="H66" s="49">
        <v>652.43539999999996</v>
      </c>
      <c r="I66" s="49">
        <v>1.4127999999999901</v>
      </c>
      <c r="J66" s="49">
        <v>60.723399999999998</v>
      </c>
      <c r="K66" s="49">
        <v>0.98529999999999995</v>
      </c>
      <c r="L66" s="49">
        <v>30.581999999999901</v>
      </c>
      <c r="M66" s="49">
        <v>2.3980999999999999</v>
      </c>
      <c r="N66" s="49">
        <v>32.9801</v>
      </c>
      <c r="O66" s="57">
        <v>0.1230712883</v>
      </c>
      <c r="P66" s="57">
        <v>0.33399188120000001</v>
      </c>
      <c r="Q66" s="5">
        <v>96</v>
      </c>
      <c r="R66" s="49">
        <v>3397.95</v>
      </c>
      <c r="S66" s="49">
        <v>35.395312500000003</v>
      </c>
      <c r="T66" s="5">
        <v>18</v>
      </c>
      <c r="U66" s="5">
        <f t="shared" si="2"/>
        <v>234</v>
      </c>
      <c r="V66" s="5">
        <v>13</v>
      </c>
      <c r="W66" s="49">
        <v>593.46</v>
      </c>
      <c r="X66" s="49">
        <v>17.994487580000001</v>
      </c>
      <c r="Y66" s="49">
        <v>550.30741929999999</v>
      </c>
      <c r="Z66" s="49">
        <v>43.15258068</v>
      </c>
      <c r="AA66" s="49">
        <v>5.2057894740000004</v>
      </c>
      <c r="AB66" s="49">
        <v>0.1616638745</v>
      </c>
      <c r="AC66" s="4" t="str">
        <f t="shared" si="0"/>
        <v>Tipper</v>
      </c>
      <c r="AD66" s="4" t="str">
        <f t="shared" si="1"/>
        <v>Operational</v>
      </c>
      <c r="AE66" s="4" t="str">
        <f t="shared" si="3"/>
        <v>Individual</v>
      </c>
    </row>
    <row r="67" spans="1:31" ht="13.5" customHeight="1" x14ac:dyDescent="0.35">
      <c r="A67" s="3">
        <v>52</v>
      </c>
      <c r="B67" s="3" t="s">
        <v>32</v>
      </c>
      <c r="C67" s="3" t="s">
        <v>97</v>
      </c>
      <c r="D67" s="52">
        <v>744.00269999999898</v>
      </c>
      <c r="E67" s="48">
        <v>675.97329999999897</v>
      </c>
      <c r="F67" s="48">
        <v>416.9787</v>
      </c>
      <c r="G67" s="48">
        <v>413.92</v>
      </c>
      <c r="H67" s="48">
        <v>68.029399999999896</v>
      </c>
      <c r="I67" s="48">
        <v>28.946300000000001</v>
      </c>
      <c r="J67" s="48">
        <v>258.99459999999902</v>
      </c>
      <c r="K67" s="48">
        <v>13.5491999999999</v>
      </c>
      <c r="L67" s="48">
        <v>413.92</v>
      </c>
      <c r="M67" s="48">
        <v>42.4955</v>
      </c>
      <c r="N67" s="48">
        <v>456.41550000000001</v>
      </c>
      <c r="O67" s="56">
        <v>0.90856296619999999</v>
      </c>
      <c r="P67" s="56">
        <v>0.61233187759999996</v>
      </c>
      <c r="Q67" s="3">
        <v>1006</v>
      </c>
      <c r="R67" s="48">
        <v>36578.75</v>
      </c>
      <c r="S67" s="48">
        <v>36.360586480000002</v>
      </c>
      <c r="T67" s="3">
        <v>2</v>
      </c>
      <c r="U67" s="3">
        <f t="shared" si="2"/>
        <v>26</v>
      </c>
      <c r="V67" s="3">
        <v>13</v>
      </c>
      <c r="W67" s="48">
        <v>6099.24</v>
      </c>
      <c r="X67" s="48">
        <v>13.36334984</v>
      </c>
      <c r="Y67" s="48">
        <v>5531.3577670000004</v>
      </c>
      <c r="Z67" s="48">
        <v>567.88223319999997</v>
      </c>
      <c r="AA67" s="48">
        <v>6.0508333329999999</v>
      </c>
      <c r="AB67" s="48">
        <v>0.1655074725</v>
      </c>
      <c r="AC67" s="4" t="str">
        <f t="shared" ref="AC67:AC130" si="4">IF(OR(TRIM(B67)="Tipper",TRIM(B67)="Volvo",TRIM(B67)="Bharatbenz"),"Tipper",IF(OR(TRIM(B67)="Dumper",TRIM(B67)="Sany",TRIM(B67)="Komatsu"),"Dumper",IF(TRIM(B67)="Excavator","Excavator",IF(OR(TRIM(B67)="Front End Loader",TRIM(B67)="Fel"),"Front End Loader",IF(OR(TRIM(B67)="Surface Miner",TRIM(B67)="Csm"),"Surface Miner",IF(TRIM(B67)="Diesel Bowser","Diesel Bowser","Other"))))))</f>
        <v>Tipper</v>
      </c>
      <c r="AD67" s="4" t="str">
        <f t="shared" ref="AD67:AD130" si="5">IF(E67=0,"Non-Operational","Operational")</f>
        <v>Operational</v>
      </c>
      <c r="AE67" s="4" t="str">
        <f t="shared" si="3"/>
        <v>Individual</v>
      </c>
    </row>
    <row r="68" spans="1:31" ht="13.5" customHeight="1" x14ac:dyDescent="0.35">
      <c r="A68" s="5">
        <v>53</v>
      </c>
      <c r="B68" s="5" t="s">
        <v>32</v>
      </c>
      <c r="C68" s="5" t="s">
        <v>98</v>
      </c>
      <c r="D68" s="53">
        <v>744.00469999999905</v>
      </c>
      <c r="E68" s="49">
        <v>557.69049999999902</v>
      </c>
      <c r="F68" s="49">
        <v>329.812199999999</v>
      </c>
      <c r="G68" s="49">
        <v>320.77879999999902</v>
      </c>
      <c r="H68" s="49">
        <v>186.3142</v>
      </c>
      <c r="I68" s="49">
        <v>16.6218</v>
      </c>
      <c r="J68" s="49">
        <v>227.878299999999</v>
      </c>
      <c r="K68" s="49">
        <v>2.3388</v>
      </c>
      <c r="L68" s="49">
        <v>320.77879999999902</v>
      </c>
      <c r="M68" s="49">
        <v>18.960599999999999</v>
      </c>
      <c r="N68" s="49">
        <v>339.73939999999902</v>
      </c>
      <c r="O68" s="57">
        <v>0.74957927010000003</v>
      </c>
      <c r="P68" s="57">
        <v>0.57519143679999996</v>
      </c>
      <c r="Q68" s="5">
        <v>981</v>
      </c>
      <c r="R68" s="49">
        <v>35980.239999999998</v>
      </c>
      <c r="S68" s="49">
        <v>36.677104989999997</v>
      </c>
      <c r="T68" s="5">
        <v>23</v>
      </c>
      <c r="U68" s="5">
        <f t="shared" ref="U68:U131" si="6">T68*V68</f>
        <v>299</v>
      </c>
      <c r="V68" s="5">
        <v>13</v>
      </c>
      <c r="W68" s="49">
        <v>5174.9299999999903</v>
      </c>
      <c r="X68" s="49">
        <v>15.232057279999999</v>
      </c>
      <c r="Y68" s="49">
        <v>4886.1210549999996</v>
      </c>
      <c r="Z68" s="49">
        <v>288.80894519999998</v>
      </c>
      <c r="AA68" s="49">
        <v>5.1543127489999998</v>
      </c>
      <c r="AB68" s="49">
        <v>0.14289765569999999</v>
      </c>
      <c r="AC68" s="4" t="str">
        <f t="shared" si="4"/>
        <v>Tipper</v>
      </c>
      <c r="AD68" s="4" t="str">
        <f t="shared" si="5"/>
        <v>Operational</v>
      </c>
      <c r="AE68" s="4" t="str">
        <f t="shared" ref="AE68:AE131" si="7">IF(OR(C68=54,C68=67,C68=10,C68=16,C68=6,C68=12,C68=28),"Aggregate","Individual")</f>
        <v>Individual</v>
      </c>
    </row>
    <row r="69" spans="1:31" ht="13.5" customHeight="1" x14ac:dyDescent="0.35">
      <c r="A69" s="3">
        <v>54</v>
      </c>
      <c r="B69" s="3" t="s">
        <v>32</v>
      </c>
      <c r="C69" s="3" t="s">
        <v>99</v>
      </c>
      <c r="D69" s="52">
        <v>744.00289999999995</v>
      </c>
      <c r="E69" s="48">
        <v>699.02970000000005</v>
      </c>
      <c r="F69" s="48">
        <v>481.81939999999997</v>
      </c>
      <c r="G69" s="48">
        <v>475.46899999999999</v>
      </c>
      <c r="H69" s="48">
        <v>44.973199999999999</v>
      </c>
      <c r="I69" s="48">
        <v>25.013500000000001</v>
      </c>
      <c r="J69" s="48">
        <v>217.21029999999899</v>
      </c>
      <c r="K69" s="48">
        <v>7.3266999999999998</v>
      </c>
      <c r="L69" s="48">
        <v>475.46899999999999</v>
      </c>
      <c r="M69" s="48">
        <v>32.340200000000003</v>
      </c>
      <c r="N69" s="48">
        <v>507.80919999999998</v>
      </c>
      <c r="O69" s="56">
        <v>0.93955238620000003</v>
      </c>
      <c r="P69" s="56">
        <v>0.68018426109999996</v>
      </c>
      <c r="Q69" s="3">
        <v>1042</v>
      </c>
      <c r="R69" s="48">
        <v>38315.21</v>
      </c>
      <c r="S69" s="48">
        <v>36.770834929999999</v>
      </c>
      <c r="T69" s="3">
        <v>29</v>
      </c>
      <c r="U69" s="3">
        <f t="shared" si="6"/>
        <v>377</v>
      </c>
      <c r="V69" s="3">
        <v>13</v>
      </c>
      <c r="W69" s="48">
        <v>5926.25</v>
      </c>
      <c r="X69" s="48">
        <v>11.67022968</v>
      </c>
      <c r="Y69" s="48">
        <v>5548.8324380000004</v>
      </c>
      <c r="Z69" s="48">
        <v>377.41756199999998</v>
      </c>
      <c r="AA69" s="48">
        <v>5.533380019</v>
      </c>
      <c r="AB69" s="48">
        <v>0.15456606610000001</v>
      </c>
      <c r="AC69" s="4" t="str">
        <f t="shared" si="4"/>
        <v>Tipper</v>
      </c>
      <c r="AD69" s="4" t="str">
        <f t="shared" si="5"/>
        <v>Operational</v>
      </c>
      <c r="AE69" s="4" t="str">
        <f t="shared" si="7"/>
        <v>Individual</v>
      </c>
    </row>
    <row r="70" spans="1:31" ht="13.5" hidden="1" customHeight="1" x14ac:dyDescent="0.35">
      <c r="A70" s="47">
        <v>2</v>
      </c>
      <c r="B70" s="47" t="s">
        <v>100</v>
      </c>
      <c r="C70" s="47">
        <v>54</v>
      </c>
      <c r="D70" s="55">
        <v>743.84998150000001</v>
      </c>
      <c r="E70" s="51">
        <v>485.42129440000002</v>
      </c>
      <c r="F70" s="51">
        <v>323.45856670000001</v>
      </c>
      <c r="G70" s="51">
        <v>303.71654999999998</v>
      </c>
      <c r="H70" s="51">
        <v>258.42868700000002</v>
      </c>
      <c r="I70" s="51">
        <v>16.4644499999999</v>
      </c>
      <c r="J70" s="51">
        <v>161.96272780000001</v>
      </c>
      <c r="K70" s="51">
        <v>8.2706962960000006</v>
      </c>
      <c r="L70" s="51">
        <v>303.71654999999998</v>
      </c>
      <c r="M70" s="51">
        <v>24.7351463</v>
      </c>
      <c r="N70" s="51">
        <v>328.45169629999998</v>
      </c>
      <c r="O70" s="59">
        <v>0.65257956110000004</v>
      </c>
      <c r="P70" s="59">
        <v>0.62567619809999997</v>
      </c>
      <c r="Q70" s="47">
        <v>31895</v>
      </c>
      <c r="R70" s="51">
        <v>1191495.8799999999</v>
      </c>
      <c r="S70" s="51">
        <v>37.356823329999997</v>
      </c>
      <c r="T70" s="47">
        <v>813</v>
      </c>
      <c r="U70" s="47">
        <f t="shared" si="6"/>
        <v>10569</v>
      </c>
      <c r="V70" s="47">
        <v>13</v>
      </c>
      <c r="W70" s="51">
        <v>4365.154082</v>
      </c>
      <c r="X70" s="51">
        <v>12.104402009999999</v>
      </c>
      <c r="Y70" s="51">
        <v>4098.2774209999998</v>
      </c>
      <c r="Z70" s="51">
        <v>330.01882869999997</v>
      </c>
      <c r="AA70" s="51">
        <v>6.6440343359999998</v>
      </c>
      <c r="AB70" s="51">
        <v>0.1825697429</v>
      </c>
      <c r="AC70" s="47" t="str">
        <f t="shared" si="4"/>
        <v>Tipper</v>
      </c>
      <c r="AD70" s="47" t="str">
        <f t="shared" si="5"/>
        <v>Operational</v>
      </c>
      <c r="AE70" s="47" t="str">
        <f t="shared" si="7"/>
        <v>Aggregate</v>
      </c>
    </row>
    <row r="71" spans="1:31" ht="13.5" customHeight="1" x14ac:dyDescent="0.35">
      <c r="A71" s="3">
        <v>1</v>
      </c>
      <c r="B71" s="3" t="s">
        <v>101</v>
      </c>
      <c r="C71" s="3" t="s">
        <v>102</v>
      </c>
      <c r="D71" s="52">
        <v>744.00129999999899</v>
      </c>
      <c r="E71" s="48">
        <v>418.97949999999997</v>
      </c>
      <c r="F71" s="48">
        <v>302.988799999999</v>
      </c>
      <c r="G71" s="48">
        <v>298.9991</v>
      </c>
      <c r="H71" s="48">
        <v>325.02179999999902</v>
      </c>
      <c r="I71" s="48">
        <v>16.060500000000001</v>
      </c>
      <c r="J71" s="48">
        <v>115.9907</v>
      </c>
      <c r="K71" s="48">
        <v>7.1713999999999896</v>
      </c>
      <c r="L71" s="48">
        <v>298.9991</v>
      </c>
      <c r="M71" s="48">
        <v>23.2319</v>
      </c>
      <c r="N71" s="48">
        <v>322.23099999999999</v>
      </c>
      <c r="O71" s="56">
        <v>0.56314350530000001</v>
      </c>
      <c r="P71" s="56">
        <v>0.71363658600000002</v>
      </c>
      <c r="Q71" s="3">
        <v>128</v>
      </c>
      <c r="R71" s="48">
        <v>5167.7</v>
      </c>
      <c r="S71" s="48">
        <v>40.372656249999999</v>
      </c>
      <c r="T71" s="3">
        <v>236</v>
      </c>
      <c r="U71" s="3">
        <f t="shared" si="6"/>
        <v>5900</v>
      </c>
      <c r="V71" s="3">
        <v>25</v>
      </c>
      <c r="W71" s="48">
        <v>4774.25</v>
      </c>
      <c r="X71" s="48">
        <v>14.81623432</v>
      </c>
      <c r="Y71" s="48">
        <v>4430.0407260000002</v>
      </c>
      <c r="Z71" s="48">
        <v>344.20927399999999</v>
      </c>
      <c r="AA71" s="48">
        <v>13.11607143</v>
      </c>
      <c r="AB71" s="48">
        <v>0.43136785420000001</v>
      </c>
      <c r="AC71" s="4" t="str">
        <f t="shared" si="4"/>
        <v>Dumper</v>
      </c>
      <c r="AD71" s="4" t="str">
        <f t="shared" si="5"/>
        <v>Operational</v>
      </c>
      <c r="AE71" s="4" t="str">
        <f t="shared" si="7"/>
        <v>Individual</v>
      </c>
    </row>
    <row r="72" spans="1:31" ht="13.5" customHeight="1" x14ac:dyDescent="0.35">
      <c r="A72" s="5">
        <v>2</v>
      </c>
      <c r="B72" s="5" t="s">
        <v>101</v>
      </c>
      <c r="C72" s="5" t="s">
        <v>103</v>
      </c>
      <c r="D72" s="53">
        <v>744.00099999999895</v>
      </c>
      <c r="E72" s="49">
        <v>265.86769999999899</v>
      </c>
      <c r="F72" s="49">
        <v>226.72899999999899</v>
      </c>
      <c r="G72" s="49">
        <v>223.663399999999</v>
      </c>
      <c r="H72" s="49">
        <v>478.133299999999</v>
      </c>
      <c r="I72" s="49">
        <v>14.2027</v>
      </c>
      <c r="J72" s="49">
        <v>39.1387</v>
      </c>
      <c r="K72" s="49">
        <v>5.8693</v>
      </c>
      <c r="L72" s="49">
        <v>223.663399999999</v>
      </c>
      <c r="M72" s="49">
        <v>20.071999999999999</v>
      </c>
      <c r="N72" s="49">
        <v>243.735399999999</v>
      </c>
      <c r="O72" s="57">
        <v>0.35734857879999998</v>
      </c>
      <c r="P72" s="57">
        <v>0.8412582649</v>
      </c>
      <c r="Q72" s="5">
        <v>130</v>
      </c>
      <c r="R72" s="49">
        <v>5063.18</v>
      </c>
      <c r="S72" s="49">
        <v>38.947538459999997</v>
      </c>
      <c r="T72" s="5">
        <v>474</v>
      </c>
      <c r="U72" s="5">
        <f t="shared" si="6"/>
        <v>11850</v>
      </c>
      <c r="V72" s="5">
        <v>25</v>
      </c>
      <c r="W72" s="49">
        <v>3718.28999999999</v>
      </c>
      <c r="X72" s="49">
        <v>15.25543684</v>
      </c>
      <c r="Y72" s="49">
        <v>3412.082872</v>
      </c>
      <c r="Z72" s="49">
        <v>306.2071282</v>
      </c>
      <c r="AA72" s="49">
        <v>6.1561092720000001</v>
      </c>
      <c r="AB72" s="49">
        <v>0.21984570610000001</v>
      </c>
      <c r="AC72" s="4" t="str">
        <f t="shared" si="4"/>
        <v>Dumper</v>
      </c>
      <c r="AD72" s="4" t="str">
        <f t="shared" si="5"/>
        <v>Operational</v>
      </c>
      <c r="AE72" s="4" t="str">
        <f t="shared" si="7"/>
        <v>Individual</v>
      </c>
    </row>
    <row r="73" spans="1:31" ht="13.5" customHeight="1" x14ac:dyDescent="0.35">
      <c r="A73" s="3">
        <v>3</v>
      </c>
      <c r="B73" s="3" t="s">
        <v>101</v>
      </c>
      <c r="C73" s="3" t="s">
        <v>104</v>
      </c>
      <c r="D73" s="52">
        <v>744.00059999999996</v>
      </c>
      <c r="E73" s="48">
        <v>290.54909999999899</v>
      </c>
      <c r="F73" s="48">
        <v>206.497399999999</v>
      </c>
      <c r="G73" s="48">
        <v>206.497399999999</v>
      </c>
      <c r="H73" s="48">
        <v>453.45150000000001</v>
      </c>
      <c r="I73" s="48">
        <v>38.640599999999999</v>
      </c>
      <c r="J73" s="48">
        <v>84.051699999999897</v>
      </c>
      <c r="K73" s="48">
        <v>145.09829999999999</v>
      </c>
      <c r="L73" s="48">
        <v>206.497399999999</v>
      </c>
      <c r="M73" s="48">
        <v>183.7389</v>
      </c>
      <c r="N73" s="48">
        <v>390.23630000000003</v>
      </c>
      <c r="O73" s="56">
        <v>0.39052266889999998</v>
      </c>
      <c r="P73" s="56">
        <v>0.71071429919999995</v>
      </c>
      <c r="Q73" s="3">
        <v>53</v>
      </c>
      <c r="R73" s="48">
        <v>2068.2600000000002</v>
      </c>
      <c r="S73" s="48">
        <v>39.023773579999997</v>
      </c>
      <c r="T73" s="3">
        <v>231</v>
      </c>
      <c r="U73" s="3">
        <f t="shared" si="6"/>
        <v>5775</v>
      </c>
      <c r="V73" s="3">
        <v>25</v>
      </c>
      <c r="W73" s="48">
        <v>3311.53999999999</v>
      </c>
      <c r="X73" s="48">
        <v>8.4859865679999995</v>
      </c>
      <c r="Y73" s="48">
        <v>1752.334163</v>
      </c>
      <c r="Z73" s="48">
        <v>1559.205837</v>
      </c>
      <c r="AA73" s="48">
        <v>11.66035211</v>
      </c>
      <c r="AB73" s="48">
        <v>0.4222147423</v>
      </c>
      <c r="AC73" s="4" t="str">
        <f t="shared" si="4"/>
        <v>Dumper</v>
      </c>
      <c r="AD73" s="4" t="str">
        <f t="shared" si="5"/>
        <v>Operational</v>
      </c>
      <c r="AE73" s="4" t="str">
        <f t="shared" si="7"/>
        <v>Individual</v>
      </c>
    </row>
    <row r="74" spans="1:31" ht="13.5" customHeight="1" x14ac:dyDescent="0.35">
      <c r="A74" s="5">
        <v>4</v>
      </c>
      <c r="B74" s="5" t="s">
        <v>101</v>
      </c>
      <c r="C74" s="5" t="s">
        <v>105</v>
      </c>
      <c r="D74" s="53">
        <v>744.00059999999905</v>
      </c>
      <c r="E74" s="49">
        <v>405.35959999999898</v>
      </c>
      <c r="F74" s="49">
        <v>351.22909999999899</v>
      </c>
      <c r="G74" s="49">
        <v>321.43060000000003</v>
      </c>
      <c r="H74" s="49">
        <v>338.640999999999</v>
      </c>
      <c r="I74" s="49">
        <v>21.2788</v>
      </c>
      <c r="J74" s="49">
        <v>54.130499999999898</v>
      </c>
      <c r="K74" s="49">
        <v>20.418399999999998</v>
      </c>
      <c r="L74" s="49">
        <v>321.43060000000003</v>
      </c>
      <c r="M74" s="49">
        <v>41.697200000000002</v>
      </c>
      <c r="N74" s="49">
        <v>363.12779999999998</v>
      </c>
      <c r="O74" s="57">
        <v>0.54483773270000002</v>
      </c>
      <c r="P74" s="57">
        <v>0.79295173959999998</v>
      </c>
      <c r="Q74" s="5">
        <v>0</v>
      </c>
      <c r="R74" s="49">
        <v>0</v>
      </c>
      <c r="S74" s="49">
        <v>0</v>
      </c>
      <c r="T74" s="5">
        <v>585</v>
      </c>
      <c r="U74" s="5">
        <f t="shared" si="6"/>
        <v>14625</v>
      </c>
      <c r="V74" s="5">
        <v>25</v>
      </c>
      <c r="W74" s="49">
        <v>4868.84</v>
      </c>
      <c r="X74" s="49">
        <v>13.40806184</v>
      </c>
      <c r="Y74" s="49">
        <v>4309.761364</v>
      </c>
      <c r="Z74" s="49">
        <v>559.07863640000005</v>
      </c>
      <c r="AA74" s="49">
        <v>0</v>
      </c>
      <c r="AB74" s="49">
        <v>0</v>
      </c>
      <c r="AC74" s="4" t="str">
        <f t="shared" si="4"/>
        <v>Dumper</v>
      </c>
      <c r="AD74" s="4" t="str">
        <f t="shared" si="5"/>
        <v>Operational</v>
      </c>
      <c r="AE74" s="4" t="str">
        <f t="shared" si="7"/>
        <v>Individual</v>
      </c>
    </row>
    <row r="75" spans="1:31" ht="13.5" customHeight="1" x14ac:dyDescent="0.35">
      <c r="A75" s="3">
        <v>5</v>
      </c>
      <c r="B75" s="3" t="s">
        <v>101</v>
      </c>
      <c r="C75" s="3" t="s">
        <v>106</v>
      </c>
      <c r="D75" s="52">
        <v>743.99999999999898</v>
      </c>
      <c r="E75" s="48">
        <v>404.42529999999903</v>
      </c>
      <c r="F75" s="48">
        <v>324.69979999999902</v>
      </c>
      <c r="G75" s="48">
        <v>320.01849999999899</v>
      </c>
      <c r="H75" s="48">
        <v>339.57469999999898</v>
      </c>
      <c r="I75" s="48">
        <v>28.400699999999901</v>
      </c>
      <c r="J75" s="48">
        <v>79.725499999999997</v>
      </c>
      <c r="K75" s="48">
        <v>24.046799999999902</v>
      </c>
      <c r="L75" s="48">
        <v>320.01849999999899</v>
      </c>
      <c r="M75" s="48">
        <v>52.447499999999899</v>
      </c>
      <c r="N75" s="48">
        <v>372.46599999999899</v>
      </c>
      <c r="O75" s="56">
        <v>0.54358239249999996</v>
      </c>
      <c r="P75" s="56">
        <v>0.79129198889999997</v>
      </c>
      <c r="Q75" s="3">
        <v>0</v>
      </c>
      <c r="R75" s="48">
        <v>0</v>
      </c>
      <c r="S75" s="48">
        <v>0</v>
      </c>
      <c r="T75" s="3">
        <v>641</v>
      </c>
      <c r="U75" s="3">
        <f t="shared" si="6"/>
        <v>16025</v>
      </c>
      <c r="V75" s="3">
        <v>25</v>
      </c>
      <c r="W75" s="48">
        <v>4924.08</v>
      </c>
      <c r="X75" s="48">
        <v>13.22021339</v>
      </c>
      <c r="Y75" s="48">
        <v>4230.7128579999999</v>
      </c>
      <c r="Z75" s="48">
        <v>693.36714170000005</v>
      </c>
      <c r="AA75" s="48">
        <v>0</v>
      </c>
      <c r="AB75" s="48">
        <v>0</v>
      </c>
      <c r="AC75" s="4" t="str">
        <f t="shared" si="4"/>
        <v>Dumper</v>
      </c>
      <c r="AD75" s="4" t="str">
        <f t="shared" si="5"/>
        <v>Operational</v>
      </c>
      <c r="AE75" s="4" t="str">
        <f t="shared" si="7"/>
        <v>Individual</v>
      </c>
    </row>
    <row r="76" spans="1:31" ht="13.5" customHeight="1" x14ac:dyDescent="0.35">
      <c r="A76" s="5">
        <v>6</v>
      </c>
      <c r="B76" s="5" t="s">
        <v>101</v>
      </c>
      <c r="C76" s="5" t="s">
        <v>107</v>
      </c>
      <c r="D76" s="53">
        <v>744.00099999999998</v>
      </c>
      <c r="E76" s="49">
        <v>577.68799999999999</v>
      </c>
      <c r="F76" s="49">
        <v>422.81229999999999</v>
      </c>
      <c r="G76" s="49">
        <v>395.62259999999998</v>
      </c>
      <c r="H76" s="49">
        <v>166.31299999999999</v>
      </c>
      <c r="I76" s="49">
        <v>28.0471</v>
      </c>
      <c r="J76" s="49">
        <v>154.875699999999</v>
      </c>
      <c r="K76" s="49">
        <v>7.1384999999999996</v>
      </c>
      <c r="L76" s="49">
        <v>395.62259999999998</v>
      </c>
      <c r="M76" s="49">
        <v>35.185600000000001</v>
      </c>
      <c r="N76" s="49">
        <v>430.8082</v>
      </c>
      <c r="O76" s="57">
        <v>0.77646132199999995</v>
      </c>
      <c r="P76" s="57">
        <v>0.68483783629999995</v>
      </c>
      <c r="Q76" s="5">
        <v>577</v>
      </c>
      <c r="R76" s="49">
        <v>23165.62</v>
      </c>
      <c r="S76" s="49">
        <v>40.14838821</v>
      </c>
      <c r="T76" s="5">
        <v>400</v>
      </c>
      <c r="U76" s="5">
        <f t="shared" si="6"/>
        <v>10000</v>
      </c>
      <c r="V76" s="5">
        <v>25</v>
      </c>
      <c r="W76" s="49">
        <v>7478.0599999999904</v>
      </c>
      <c r="X76" s="49">
        <v>17.358211839999999</v>
      </c>
      <c r="Y76" s="49">
        <v>6867.3009009999996</v>
      </c>
      <c r="Z76" s="49">
        <v>610.75909869999998</v>
      </c>
      <c r="AA76" s="49">
        <v>7.6541044009999997</v>
      </c>
      <c r="AB76" s="49">
        <v>0.22547626130000001</v>
      </c>
      <c r="AC76" s="4" t="str">
        <f t="shared" si="4"/>
        <v>Dumper</v>
      </c>
      <c r="AD76" s="4" t="str">
        <f t="shared" si="5"/>
        <v>Operational</v>
      </c>
      <c r="AE76" s="4" t="str">
        <f t="shared" si="7"/>
        <v>Individual</v>
      </c>
    </row>
    <row r="77" spans="1:31" ht="13.5" customHeight="1" x14ac:dyDescent="0.35">
      <c r="A77" s="3">
        <v>7</v>
      </c>
      <c r="B77" s="3" t="s">
        <v>101</v>
      </c>
      <c r="C77" s="3" t="s">
        <v>108</v>
      </c>
      <c r="D77" s="52">
        <v>744.00009999999997</v>
      </c>
      <c r="E77" s="48">
        <v>148.86419999999899</v>
      </c>
      <c r="F77" s="48">
        <v>107.5102</v>
      </c>
      <c r="G77" s="48">
        <v>104.646199999999</v>
      </c>
      <c r="H77" s="48">
        <v>595.13589999999999</v>
      </c>
      <c r="I77" s="48">
        <v>6.1081999999999903</v>
      </c>
      <c r="J77" s="48">
        <v>41.353999999999999</v>
      </c>
      <c r="K77" s="48">
        <v>1.7332000000000001</v>
      </c>
      <c r="L77" s="48">
        <v>104.646199999999</v>
      </c>
      <c r="M77" s="48">
        <v>7.8413999999999904</v>
      </c>
      <c r="N77" s="48">
        <v>112.48759999999901</v>
      </c>
      <c r="O77" s="56">
        <v>0.20008626339999999</v>
      </c>
      <c r="P77" s="56">
        <v>0.7029641781</v>
      </c>
      <c r="Q77" s="3">
        <v>0</v>
      </c>
      <c r="R77" s="48">
        <v>0</v>
      </c>
      <c r="S77" s="48">
        <v>0</v>
      </c>
      <c r="T77" s="3">
        <v>627</v>
      </c>
      <c r="U77" s="3">
        <f t="shared" si="6"/>
        <v>15675</v>
      </c>
      <c r="V77" s="3">
        <v>25</v>
      </c>
      <c r="W77" s="48">
        <v>5133.2</v>
      </c>
      <c r="X77" s="48">
        <v>45.633474270000001</v>
      </c>
      <c r="Y77" s="48">
        <v>4775.3696749999999</v>
      </c>
      <c r="Z77" s="48">
        <v>357.83032509999998</v>
      </c>
      <c r="AA77" s="48">
        <v>0</v>
      </c>
      <c r="AB77" s="48">
        <v>0</v>
      </c>
      <c r="AC77" s="4" t="str">
        <f t="shared" si="4"/>
        <v>Dumper</v>
      </c>
      <c r="AD77" s="4" t="str">
        <f t="shared" si="5"/>
        <v>Operational</v>
      </c>
      <c r="AE77" s="4" t="str">
        <f t="shared" si="7"/>
        <v>Individual</v>
      </c>
    </row>
    <row r="78" spans="1:31" ht="13.5" customHeight="1" x14ac:dyDescent="0.35">
      <c r="A78" s="5">
        <v>8</v>
      </c>
      <c r="B78" s="5" t="s">
        <v>101</v>
      </c>
      <c r="C78" s="5" t="s">
        <v>109</v>
      </c>
      <c r="D78" s="53">
        <v>743.99939999999901</v>
      </c>
      <c r="E78" s="49">
        <v>463.57709999999997</v>
      </c>
      <c r="F78" s="49">
        <v>388.46319999999997</v>
      </c>
      <c r="G78" s="49">
        <v>381.83139999999997</v>
      </c>
      <c r="H78" s="49">
        <v>280.42229999999898</v>
      </c>
      <c r="I78" s="49">
        <v>16.840599999999998</v>
      </c>
      <c r="J78" s="49">
        <v>75.113900000000001</v>
      </c>
      <c r="K78" s="49">
        <v>13.075699999999999</v>
      </c>
      <c r="L78" s="49">
        <v>381.83139999999997</v>
      </c>
      <c r="M78" s="49">
        <v>29.9163</v>
      </c>
      <c r="N78" s="49">
        <v>411.74770000000001</v>
      </c>
      <c r="O78" s="57">
        <v>0.62308800249999996</v>
      </c>
      <c r="P78" s="57">
        <v>0.82366320510000002</v>
      </c>
      <c r="Q78" s="5">
        <v>0</v>
      </c>
      <c r="R78" s="49">
        <v>0</v>
      </c>
      <c r="S78" s="49">
        <v>0</v>
      </c>
      <c r="T78" s="5">
        <v>701</v>
      </c>
      <c r="U78" s="5">
        <f t="shared" si="6"/>
        <v>17525</v>
      </c>
      <c r="V78" s="5">
        <v>25</v>
      </c>
      <c r="W78" s="49">
        <v>5706.5199999999904</v>
      </c>
      <c r="X78" s="49">
        <v>13.859263820000001</v>
      </c>
      <c r="Y78" s="49">
        <v>5291.9021059999995</v>
      </c>
      <c r="Z78" s="49">
        <v>414.6178941</v>
      </c>
      <c r="AA78" s="49">
        <v>0</v>
      </c>
      <c r="AB78" s="49">
        <v>0</v>
      </c>
      <c r="AC78" s="4" t="str">
        <f t="shared" si="4"/>
        <v>Dumper</v>
      </c>
      <c r="AD78" s="4" t="str">
        <f t="shared" si="5"/>
        <v>Operational</v>
      </c>
      <c r="AE78" s="4" t="str">
        <f t="shared" si="7"/>
        <v>Individual</v>
      </c>
    </row>
    <row r="79" spans="1:31" ht="13.5" customHeight="1" x14ac:dyDescent="0.35">
      <c r="A79" s="3">
        <v>9</v>
      </c>
      <c r="B79" s="3" t="s">
        <v>101</v>
      </c>
      <c r="C79" s="3" t="s">
        <v>110</v>
      </c>
      <c r="D79" s="52">
        <v>744</v>
      </c>
      <c r="E79" s="48">
        <v>549.26059999999995</v>
      </c>
      <c r="F79" s="48">
        <v>457.16570000000002</v>
      </c>
      <c r="G79" s="48">
        <v>450.9923</v>
      </c>
      <c r="H79" s="48">
        <v>194.73939999999999</v>
      </c>
      <c r="I79" s="48">
        <v>25.059899999999999</v>
      </c>
      <c r="J79" s="48">
        <v>92.094899999999896</v>
      </c>
      <c r="K79" s="48">
        <v>11.0212</v>
      </c>
      <c r="L79" s="48">
        <v>450.9923</v>
      </c>
      <c r="M79" s="48">
        <v>36.081099999999999</v>
      </c>
      <c r="N79" s="48">
        <v>487.07339999999999</v>
      </c>
      <c r="O79" s="56">
        <v>0.7382534946</v>
      </c>
      <c r="P79" s="56">
        <v>0.82108984330000001</v>
      </c>
      <c r="Q79" s="3">
        <v>0</v>
      </c>
      <c r="R79" s="48">
        <v>0</v>
      </c>
      <c r="S79" s="48">
        <v>0</v>
      </c>
      <c r="T79" s="3">
        <v>959</v>
      </c>
      <c r="U79" s="3">
        <f t="shared" si="6"/>
        <v>23975</v>
      </c>
      <c r="V79" s="3">
        <v>25</v>
      </c>
      <c r="W79" s="48">
        <v>6373.69</v>
      </c>
      <c r="X79" s="48">
        <v>13.085686880000001</v>
      </c>
      <c r="Y79" s="48">
        <v>5901.5440230000004</v>
      </c>
      <c r="Z79" s="48">
        <v>472.14597689999999</v>
      </c>
      <c r="AA79" s="48">
        <v>0</v>
      </c>
      <c r="AB79" s="48">
        <v>0</v>
      </c>
      <c r="AC79" s="4" t="str">
        <f t="shared" si="4"/>
        <v>Dumper</v>
      </c>
      <c r="AD79" s="4" t="str">
        <f t="shared" si="5"/>
        <v>Operational</v>
      </c>
      <c r="AE79" s="4" t="str">
        <f t="shared" si="7"/>
        <v>Individual</v>
      </c>
    </row>
    <row r="80" spans="1:31" ht="13.5" customHeight="1" x14ac:dyDescent="0.35">
      <c r="A80" s="5">
        <v>10</v>
      </c>
      <c r="B80" s="5" t="s">
        <v>101</v>
      </c>
      <c r="C80" s="5" t="s">
        <v>111</v>
      </c>
      <c r="D80" s="53">
        <v>744</v>
      </c>
      <c r="E80" s="49">
        <v>433.63979999999998</v>
      </c>
      <c r="F80" s="49">
        <v>347.3741</v>
      </c>
      <c r="G80" s="49">
        <v>342.9248</v>
      </c>
      <c r="H80" s="49">
        <v>310.36020000000002</v>
      </c>
      <c r="I80" s="49">
        <v>33.919199999999996</v>
      </c>
      <c r="J80" s="49">
        <v>86.265699999999995</v>
      </c>
      <c r="K80" s="49">
        <v>20.058599999999998</v>
      </c>
      <c r="L80" s="49">
        <v>342.9248</v>
      </c>
      <c r="M80" s="49">
        <v>53.977800000000002</v>
      </c>
      <c r="N80" s="49">
        <v>396.90260000000001</v>
      </c>
      <c r="O80" s="57">
        <v>0.58284919349999997</v>
      </c>
      <c r="P80" s="57">
        <v>0.79080564099999995</v>
      </c>
      <c r="Q80" s="5">
        <v>0</v>
      </c>
      <c r="R80" s="49">
        <v>0</v>
      </c>
      <c r="S80" s="49">
        <v>0</v>
      </c>
      <c r="T80" s="5">
        <v>729</v>
      </c>
      <c r="U80" s="5">
        <f t="shared" si="6"/>
        <v>18225</v>
      </c>
      <c r="V80" s="5">
        <v>25</v>
      </c>
      <c r="W80" s="49">
        <v>5283.88</v>
      </c>
      <c r="X80" s="49">
        <v>13.312787569999999</v>
      </c>
      <c r="Y80" s="49">
        <v>4565.2850150000004</v>
      </c>
      <c r="Z80" s="49">
        <v>718.59498489999999</v>
      </c>
      <c r="AA80" s="49">
        <v>0</v>
      </c>
      <c r="AB80" s="49">
        <v>0</v>
      </c>
      <c r="AC80" s="4" t="str">
        <f t="shared" si="4"/>
        <v>Dumper</v>
      </c>
      <c r="AD80" s="4" t="str">
        <f t="shared" si="5"/>
        <v>Operational</v>
      </c>
      <c r="AE80" s="4" t="str">
        <f t="shared" si="7"/>
        <v>Individual</v>
      </c>
    </row>
    <row r="81" spans="1:31" ht="13.5" customHeight="1" x14ac:dyDescent="0.35">
      <c r="A81" s="3">
        <v>11</v>
      </c>
      <c r="B81" s="3" t="s">
        <v>101</v>
      </c>
      <c r="C81" s="3" t="s">
        <v>112</v>
      </c>
      <c r="D81" s="52">
        <v>744.00009999999895</v>
      </c>
      <c r="E81" s="48">
        <v>351.11149999999901</v>
      </c>
      <c r="F81" s="48">
        <v>273.12349999999901</v>
      </c>
      <c r="G81" s="48">
        <v>269.94009999999901</v>
      </c>
      <c r="H81" s="48">
        <v>392.88859999999897</v>
      </c>
      <c r="I81" s="48">
        <v>18.8856999999999</v>
      </c>
      <c r="J81" s="48">
        <v>77.9879999999999</v>
      </c>
      <c r="K81" s="48">
        <v>15.599600000000001</v>
      </c>
      <c r="L81" s="48">
        <v>269.94009999999901</v>
      </c>
      <c r="M81" s="48">
        <v>34.485299999999903</v>
      </c>
      <c r="N81" s="48">
        <v>304.425399999999</v>
      </c>
      <c r="O81" s="56">
        <v>0.47192399569999999</v>
      </c>
      <c r="P81" s="56">
        <v>0.76881588899999997</v>
      </c>
      <c r="Q81" s="3">
        <v>204</v>
      </c>
      <c r="R81" s="48">
        <v>7972.8</v>
      </c>
      <c r="S81" s="48">
        <v>39.08235294</v>
      </c>
      <c r="T81" s="3">
        <v>452</v>
      </c>
      <c r="U81" s="3">
        <f t="shared" si="6"/>
        <v>11300</v>
      </c>
      <c r="V81" s="3">
        <v>25</v>
      </c>
      <c r="W81" s="48">
        <v>4780.41</v>
      </c>
      <c r="X81" s="48">
        <v>15.70305894</v>
      </c>
      <c r="Y81" s="48">
        <v>4238.8853010000003</v>
      </c>
      <c r="Z81" s="48">
        <v>541.52469859999997</v>
      </c>
      <c r="AA81" s="48">
        <v>7.2872103660000001</v>
      </c>
      <c r="AB81" s="48">
        <v>0.2480392055</v>
      </c>
      <c r="AC81" s="4" t="str">
        <f t="shared" si="4"/>
        <v>Dumper</v>
      </c>
      <c r="AD81" s="4" t="str">
        <f t="shared" si="5"/>
        <v>Operational</v>
      </c>
      <c r="AE81" s="4" t="str">
        <f t="shared" si="7"/>
        <v>Individual</v>
      </c>
    </row>
    <row r="82" spans="1:31" ht="13.5" hidden="1" customHeight="1" x14ac:dyDescent="0.35">
      <c r="A82" s="5">
        <v>12</v>
      </c>
      <c r="B82" s="5" t="s">
        <v>101</v>
      </c>
      <c r="C82" s="5" t="s">
        <v>113</v>
      </c>
      <c r="D82" s="53">
        <v>744</v>
      </c>
      <c r="E82" s="49">
        <v>0</v>
      </c>
      <c r="F82" s="49">
        <v>0</v>
      </c>
      <c r="G82" s="49">
        <v>0</v>
      </c>
      <c r="H82" s="49">
        <v>744</v>
      </c>
      <c r="I82" s="49">
        <v>0</v>
      </c>
      <c r="J82" s="49">
        <v>0</v>
      </c>
      <c r="K82" s="49">
        <v>0</v>
      </c>
      <c r="L82" s="49">
        <v>0</v>
      </c>
      <c r="M82" s="49">
        <v>0</v>
      </c>
      <c r="N82" s="49">
        <v>0</v>
      </c>
      <c r="O82" s="57">
        <v>0</v>
      </c>
      <c r="P82" s="57">
        <v>0</v>
      </c>
      <c r="Q82" s="5">
        <v>0</v>
      </c>
      <c r="R82" s="49">
        <v>0</v>
      </c>
      <c r="S82" s="49">
        <v>0</v>
      </c>
      <c r="T82" s="5">
        <v>122</v>
      </c>
      <c r="U82" s="5">
        <f t="shared" si="6"/>
        <v>3050</v>
      </c>
      <c r="V82" s="5">
        <v>25</v>
      </c>
      <c r="W82" s="49">
        <v>0</v>
      </c>
      <c r="X82" s="49">
        <v>0</v>
      </c>
      <c r="Y82" s="49">
        <v>0</v>
      </c>
      <c r="Z82" s="49">
        <v>0</v>
      </c>
      <c r="AA82" s="49">
        <v>0</v>
      </c>
      <c r="AB82" s="49">
        <v>0</v>
      </c>
      <c r="AC82" s="4" t="str">
        <f t="shared" si="4"/>
        <v>Dumper</v>
      </c>
      <c r="AD82" s="4" t="str">
        <f t="shared" si="5"/>
        <v>Non-Operational</v>
      </c>
      <c r="AE82" s="4" t="str">
        <f t="shared" si="7"/>
        <v>Individual</v>
      </c>
    </row>
    <row r="83" spans="1:31" ht="13.5" customHeight="1" x14ac:dyDescent="0.35">
      <c r="A83" s="3">
        <v>13</v>
      </c>
      <c r="B83" s="3" t="s">
        <v>101</v>
      </c>
      <c r="C83" s="3" t="s">
        <v>114</v>
      </c>
      <c r="D83" s="52">
        <v>738.04569999999899</v>
      </c>
      <c r="E83" s="48">
        <v>180.19980000000001</v>
      </c>
      <c r="F83" s="48">
        <v>120.09</v>
      </c>
      <c r="G83" s="48">
        <v>116.9781</v>
      </c>
      <c r="H83" s="48">
        <v>557.84589999999901</v>
      </c>
      <c r="I83" s="48">
        <v>11.8973</v>
      </c>
      <c r="J83" s="48">
        <v>60.1098</v>
      </c>
      <c r="K83" s="48">
        <v>7.7361999999999904</v>
      </c>
      <c r="L83" s="48">
        <v>116.9781</v>
      </c>
      <c r="M83" s="48">
        <v>19.633499999999898</v>
      </c>
      <c r="N83" s="48">
        <v>136.61160000000001</v>
      </c>
      <c r="O83" s="56">
        <v>0.2441580515</v>
      </c>
      <c r="P83" s="56">
        <v>0.64915776820000004</v>
      </c>
      <c r="Q83" s="3">
        <v>0</v>
      </c>
      <c r="R83" s="48">
        <v>0</v>
      </c>
      <c r="S83" s="48">
        <v>0</v>
      </c>
      <c r="T83" s="3">
        <v>164</v>
      </c>
      <c r="U83" s="3">
        <f t="shared" si="6"/>
        <v>4100</v>
      </c>
      <c r="V83" s="3">
        <v>25</v>
      </c>
      <c r="W83" s="48">
        <v>1816.21</v>
      </c>
      <c r="X83" s="48">
        <v>13.29469825</v>
      </c>
      <c r="Y83" s="48">
        <v>1555.1885420000001</v>
      </c>
      <c r="Z83" s="48">
        <v>261.02145819999998</v>
      </c>
      <c r="AA83" s="48">
        <v>0</v>
      </c>
      <c r="AB83" s="48">
        <v>0</v>
      </c>
      <c r="AC83" s="4" t="str">
        <f t="shared" si="4"/>
        <v>Dumper</v>
      </c>
      <c r="AD83" s="4" t="str">
        <f t="shared" si="5"/>
        <v>Operational</v>
      </c>
      <c r="AE83" s="4" t="str">
        <f t="shared" si="7"/>
        <v>Individual</v>
      </c>
    </row>
    <row r="84" spans="1:31" ht="13.5" customHeight="1" x14ac:dyDescent="0.35">
      <c r="A84" s="5">
        <v>14</v>
      </c>
      <c r="B84" s="5" t="s">
        <v>101</v>
      </c>
      <c r="C84" s="5" t="s">
        <v>115</v>
      </c>
      <c r="D84" s="53">
        <v>744.00099999999998</v>
      </c>
      <c r="E84" s="49">
        <v>402.78359999999998</v>
      </c>
      <c r="F84" s="49">
        <v>312.892</v>
      </c>
      <c r="G84" s="49">
        <v>308.50229999999999</v>
      </c>
      <c r="H84" s="49">
        <v>341.21739999999897</v>
      </c>
      <c r="I84" s="49">
        <v>21.5091</v>
      </c>
      <c r="J84" s="49">
        <v>89.891599999999997</v>
      </c>
      <c r="K84" s="49">
        <v>19.589700000000001</v>
      </c>
      <c r="L84" s="49">
        <v>308.50229999999999</v>
      </c>
      <c r="M84" s="49">
        <v>41.098799999999997</v>
      </c>
      <c r="N84" s="49">
        <v>349.60109999999997</v>
      </c>
      <c r="O84" s="57">
        <v>0.54137507880000002</v>
      </c>
      <c r="P84" s="57">
        <v>0.76592567320000005</v>
      </c>
      <c r="Q84" s="5">
        <v>154</v>
      </c>
      <c r="R84" s="49">
        <v>6032.18</v>
      </c>
      <c r="S84" s="49">
        <v>39.17</v>
      </c>
      <c r="T84" s="5">
        <v>304</v>
      </c>
      <c r="U84" s="5">
        <f t="shared" si="6"/>
        <v>7600</v>
      </c>
      <c r="V84" s="5">
        <v>25</v>
      </c>
      <c r="W84" s="49">
        <v>5750.8</v>
      </c>
      <c r="X84" s="49">
        <v>16.449604990000001</v>
      </c>
      <c r="Y84" s="49">
        <v>5074.7409740000003</v>
      </c>
      <c r="Z84" s="49">
        <v>676.05902570000001</v>
      </c>
      <c r="AA84" s="49">
        <v>12.55633188</v>
      </c>
      <c r="AB84" s="49">
        <v>0.42185475839999997</v>
      </c>
      <c r="AC84" s="4" t="str">
        <f t="shared" si="4"/>
        <v>Dumper</v>
      </c>
      <c r="AD84" s="4" t="str">
        <f t="shared" si="5"/>
        <v>Operational</v>
      </c>
      <c r="AE84" s="4" t="str">
        <f t="shared" si="7"/>
        <v>Individual</v>
      </c>
    </row>
    <row r="85" spans="1:31" ht="13.5" customHeight="1" x14ac:dyDescent="0.35">
      <c r="A85" s="3">
        <v>15</v>
      </c>
      <c r="B85" s="3" t="s">
        <v>101</v>
      </c>
      <c r="C85" s="3" t="s">
        <v>116</v>
      </c>
      <c r="D85" s="52">
        <v>743.99950000000001</v>
      </c>
      <c r="E85" s="48">
        <v>366.01729999999998</v>
      </c>
      <c r="F85" s="48">
        <v>318.24779999999998</v>
      </c>
      <c r="G85" s="48">
        <v>312.80689999999998</v>
      </c>
      <c r="H85" s="48">
        <v>377.98219999999901</v>
      </c>
      <c r="I85" s="48">
        <v>16.154900000000001</v>
      </c>
      <c r="J85" s="48">
        <v>47.769499999999901</v>
      </c>
      <c r="K85" s="48">
        <v>9.3882999999999992</v>
      </c>
      <c r="L85" s="48">
        <v>312.80689999999998</v>
      </c>
      <c r="M85" s="48">
        <v>25.543199999999999</v>
      </c>
      <c r="N85" s="48">
        <v>338.3501</v>
      </c>
      <c r="O85" s="56">
        <v>0.49195906719999999</v>
      </c>
      <c r="P85" s="56">
        <v>0.85462326509999997</v>
      </c>
      <c r="Q85" s="3">
        <v>0</v>
      </c>
      <c r="R85" s="48">
        <v>0</v>
      </c>
      <c r="S85" s="48">
        <v>0</v>
      </c>
      <c r="T85" s="3">
        <v>624</v>
      </c>
      <c r="U85" s="3">
        <f t="shared" si="6"/>
        <v>15600</v>
      </c>
      <c r="V85" s="3">
        <v>25</v>
      </c>
      <c r="W85" s="48">
        <v>4572.28</v>
      </c>
      <c r="X85" s="48">
        <v>13.513458399999999</v>
      </c>
      <c r="Y85" s="48">
        <v>4227.1030289999999</v>
      </c>
      <c r="Z85" s="48">
        <v>345.17697049999998</v>
      </c>
      <c r="AA85" s="48">
        <v>0</v>
      </c>
      <c r="AB85" s="48">
        <v>0</v>
      </c>
      <c r="AC85" s="4" t="str">
        <f t="shared" si="4"/>
        <v>Dumper</v>
      </c>
      <c r="AD85" s="4" t="str">
        <f t="shared" si="5"/>
        <v>Operational</v>
      </c>
      <c r="AE85" s="4" t="str">
        <f t="shared" si="7"/>
        <v>Individual</v>
      </c>
    </row>
    <row r="86" spans="1:31" ht="13.5" hidden="1" customHeight="1" x14ac:dyDescent="0.35">
      <c r="A86" s="5">
        <v>16</v>
      </c>
      <c r="B86" s="5" t="s">
        <v>101</v>
      </c>
      <c r="C86" s="5" t="s">
        <v>117</v>
      </c>
      <c r="D86" s="53">
        <v>744</v>
      </c>
      <c r="E86" s="49">
        <v>11.939500000000001</v>
      </c>
      <c r="F86" s="49">
        <v>10.2645</v>
      </c>
      <c r="G86" s="49">
        <v>9.9091000000000005</v>
      </c>
      <c r="H86" s="49">
        <v>732.06050000000005</v>
      </c>
      <c r="I86" s="49">
        <v>1.0266999999999999</v>
      </c>
      <c r="J86" s="49">
        <v>1.675</v>
      </c>
      <c r="K86" s="49">
        <v>0.1125</v>
      </c>
      <c r="L86" s="49">
        <v>9.9091000000000005</v>
      </c>
      <c r="M86" s="49">
        <v>1.1392</v>
      </c>
      <c r="N86" s="49">
        <v>11.048299999999999</v>
      </c>
      <c r="O86" s="57">
        <v>1.6047715099999998E-2</v>
      </c>
      <c r="P86" s="57">
        <v>0.82994262740000002</v>
      </c>
      <c r="Q86" s="5">
        <v>0</v>
      </c>
      <c r="R86" s="49">
        <v>0</v>
      </c>
      <c r="S86" s="49">
        <v>0</v>
      </c>
      <c r="T86" s="5">
        <v>217</v>
      </c>
      <c r="U86" s="5">
        <f t="shared" si="6"/>
        <v>5425</v>
      </c>
      <c r="V86" s="5">
        <v>25</v>
      </c>
      <c r="W86" s="49">
        <v>1084.33</v>
      </c>
      <c r="X86" s="49">
        <v>98.144510920000002</v>
      </c>
      <c r="Y86" s="49">
        <v>972.52377320000005</v>
      </c>
      <c r="Z86" s="49">
        <v>111.8062268</v>
      </c>
      <c r="AA86" s="49">
        <v>0</v>
      </c>
      <c r="AB86" s="49">
        <v>0</v>
      </c>
      <c r="AC86" s="4" t="str">
        <f t="shared" si="4"/>
        <v>Dumper</v>
      </c>
      <c r="AD86" s="4" t="str">
        <f t="shared" si="5"/>
        <v>Operational</v>
      </c>
      <c r="AE86" s="4" t="str">
        <f t="shared" si="7"/>
        <v>Individual</v>
      </c>
    </row>
    <row r="87" spans="1:31" ht="13.5" customHeight="1" x14ac:dyDescent="0.35">
      <c r="A87" s="3">
        <v>17</v>
      </c>
      <c r="B87" s="3" t="s">
        <v>101</v>
      </c>
      <c r="C87" s="3" t="s">
        <v>118</v>
      </c>
      <c r="D87" s="52">
        <v>744.00009999999895</v>
      </c>
      <c r="E87" s="48">
        <v>86.816599999999994</v>
      </c>
      <c r="F87" s="48">
        <v>51.465899999999998</v>
      </c>
      <c r="G87" s="48">
        <v>49.786499999999997</v>
      </c>
      <c r="H87" s="48">
        <v>657.18349999999896</v>
      </c>
      <c r="I87" s="48">
        <v>3.9106999999999998</v>
      </c>
      <c r="J87" s="48">
        <v>35.350700000000003</v>
      </c>
      <c r="K87" s="48">
        <v>0.80549999999999999</v>
      </c>
      <c r="L87" s="48">
        <v>49.786499999999997</v>
      </c>
      <c r="M87" s="48">
        <v>4.7161999999999997</v>
      </c>
      <c r="N87" s="48">
        <v>54.502699999999997</v>
      </c>
      <c r="O87" s="56">
        <v>0.1166889628</v>
      </c>
      <c r="P87" s="56">
        <v>0.57346751659999995</v>
      </c>
      <c r="Q87" s="3">
        <v>0</v>
      </c>
      <c r="R87" s="48">
        <v>0</v>
      </c>
      <c r="S87" s="48">
        <v>0</v>
      </c>
      <c r="T87" s="3">
        <v>350</v>
      </c>
      <c r="U87" s="3">
        <f t="shared" si="6"/>
        <v>8750</v>
      </c>
      <c r="V87" s="3">
        <v>25</v>
      </c>
      <c r="W87" s="48">
        <v>3836.37</v>
      </c>
      <c r="X87" s="48">
        <v>70.388622949999998</v>
      </c>
      <c r="Y87" s="48">
        <v>3504.4031759999998</v>
      </c>
      <c r="Z87" s="48">
        <v>331.9668236</v>
      </c>
      <c r="AA87" s="48">
        <v>0</v>
      </c>
      <c r="AB87" s="48">
        <v>0</v>
      </c>
      <c r="AC87" s="4" t="str">
        <f t="shared" si="4"/>
        <v>Dumper</v>
      </c>
      <c r="AD87" s="4" t="str">
        <f t="shared" si="5"/>
        <v>Operational</v>
      </c>
      <c r="AE87" s="4" t="str">
        <f t="shared" si="7"/>
        <v>Individual</v>
      </c>
    </row>
    <row r="88" spans="1:31" ht="13.5" hidden="1" customHeight="1" x14ac:dyDescent="0.35">
      <c r="A88" s="5">
        <v>18</v>
      </c>
      <c r="B88" s="5" t="s">
        <v>101</v>
      </c>
      <c r="C88" s="5" t="s">
        <v>119</v>
      </c>
      <c r="D88" s="53">
        <v>744.00059999999905</v>
      </c>
      <c r="E88" s="49">
        <v>21.3626</v>
      </c>
      <c r="F88" s="49">
        <v>15.529</v>
      </c>
      <c r="G88" s="49">
        <v>14.984699999999901</v>
      </c>
      <c r="H88" s="49">
        <v>722.63799999999901</v>
      </c>
      <c r="I88" s="49">
        <v>2.3794</v>
      </c>
      <c r="J88" s="49">
        <v>5.8335999999999997</v>
      </c>
      <c r="K88" s="49">
        <v>2.6547000000000001</v>
      </c>
      <c r="L88" s="49">
        <v>14.984699999999901</v>
      </c>
      <c r="M88" s="49">
        <v>5.0340999999999996</v>
      </c>
      <c r="N88" s="49">
        <v>20.018799999999999</v>
      </c>
      <c r="O88" s="57">
        <v>2.8713148899999999E-2</v>
      </c>
      <c r="P88" s="57">
        <v>0.70144551690000001</v>
      </c>
      <c r="Q88" s="5">
        <v>0</v>
      </c>
      <c r="R88" s="49">
        <v>0</v>
      </c>
      <c r="S88" s="49">
        <v>0</v>
      </c>
      <c r="T88" s="5">
        <v>135</v>
      </c>
      <c r="U88" s="5">
        <f t="shared" si="6"/>
        <v>3375</v>
      </c>
      <c r="V88" s="5">
        <v>25</v>
      </c>
      <c r="W88" s="49">
        <v>378.37</v>
      </c>
      <c r="X88" s="49">
        <v>18.90073331</v>
      </c>
      <c r="Y88" s="49">
        <v>283.22181840000002</v>
      </c>
      <c r="Z88" s="49">
        <v>95.148181559999998</v>
      </c>
      <c r="AA88" s="49">
        <v>0</v>
      </c>
      <c r="AB88" s="49">
        <v>0</v>
      </c>
      <c r="AC88" s="4" t="str">
        <f t="shared" si="4"/>
        <v>Dumper</v>
      </c>
      <c r="AD88" s="4" t="str">
        <f t="shared" si="5"/>
        <v>Operational</v>
      </c>
      <c r="AE88" s="4" t="str">
        <f t="shared" si="7"/>
        <v>Individual</v>
      </c>
    </row>
    <row r="89" spans="1:31" ht="13.5" hidden="1" customHeight="1" x14ac:dyDescent="0.35">
      <c r="A89" s="3">
        <v>19</v>
      </c>
      <c r="B89" s="3" t="s">
        <v>101</v>
      </c>
      <c r="C89" s="3" t="s">
        <v>120</v>
      </c>
      <c r="D89" s="52">
        <v>744.000799999999</v>
      </c>
      <c r="E89" s="48">
        <v>75.519099999999995</v>
      </c>
      <c r="F89" s="48">
        <v>62.331699999999998</v>
      </c>
      <c r="G89" s="48">
        <v>59.232799999999997</v>
      </c>
      <c r="H89" s="48">
        <v>668.48169999999902</v>
      </c>
      <c r="I89" s="48">
        <v>4.9085000000000001</v>
      </c>
      <c r="J89" s="48">
        <v>13.1874</v>
      </c>
      <c r="K89" s="48">
        <v>13.026199999999999</v>
      </c>
      <c r="L89" s="48">
        <v>59.232799999999997</v>
      </c>
      <c r="M89" s="48">
        <v>17.934699999999999</v>
      </c>
      <c r="N89" s="48">
        <v>77.167500000000004</v>
      </c>
      <c r="O89" s="56">
        <v>0.10150405749999999</v>
      </c>
      <c r="P89" s="56">
        <v>0.78434197439999997</v>
      </c>
      <c r="Q89" s="3">
        <v>0</v>
      </c>
      <c r="R89" s="48">
        <v>0</v>
      </c>
      <c r="S89" s="48">
        <v>0</v>
      </c>
      <c r="T89" s="3">
        <v>105</v>
      </c>
      <c r="U89" s="3">
        <f t="shared" si="6"/>
        <v>2625</v>
      </c>
      <c r="V89" s="3">
        <v>25</v>
      </c>
      <c r="W89" s="48">
        <v>1525.22</v>
      </c>
      <c r="X89" s="48">
        <v>19.765056529999999</v>
      </c>
      <c r="Y89" s="48">
        <v>1170.7396409999999</v>
      </c>
      <c r="Z89" s="48">
        <v>354.4803594</v>
      </c>
      <c r="AA89" s="48">
        <v>0</v>
      </c>
      <c r="AB89" s="48">
        <v>0</v>
      </c>
      <c r="AC89" s="4" t="str">
        <f t="shared" si="4"/>
        <v>Dumper</v>
      </c>
      <c r="AD89" s="4" t="str">
        <f t="shared" si="5"/>
        <v>Operational</v>
      </c>
      <c r="AE89" s="4" t="str">
        <f t="shared" si="7"/>
        <v>Individual</v>
      </c>
    </row>
    <row r="90" spans="1:31" ht="13.5" customHeight="1" x14ac:dyDescent="0.35">
      <c r="A90" s="5">
        <v>20</v>
      </c>
      <c r="B90" s="5" t="s">
        <v>101</v>
      </c>
      <c r="C90" s="5" t="s">
        <v>121</v>
      </c>
      <c r="D90" s="53">
        <v>744</v>
      </c>
      <c r="E90" s="49">
        <v>296.5446</v>
      </c>
      <c r="F90" s="49">
        <v>252.1198</v>
      </c>
      <c r="G90" s="49">
        <v>247.47229999999999</v>
      </c>
      <c r="H90" s="49">
        <v>447.45539999999897</v>
      </c>
      <c r="I90" s="49">
        <v>19.575999999999901</v>
      </c>
      <c r="J90" s="49">
        <v>44.424799999999898</v>
      </c>
      <c r="K90" s="49">
        <v>9.0550999999999906</v>
      </c>
      <c r="L90" s="49">
        <v>247.47229999999999</v>
      </c>
      <c r="M90" s="49">
        <v>28.631099999999901</v>
      </c>
      <c r="N90" s="49">
        <v>276.10340000000002</v>
      </c>
      <c r="O90" s="57">
        <v>0.39858145160000003</v>
      </c>
      <c r="P90" s="57">
        <v>0.83451966420000001</v>
      </c>
      <c r="Q90" s="5">
        <v>0</v>
      </c>
      <c r="R90" s="49">
        <v>0</v>
      </c>
      <c r="S90" s="49">
        <v>0</v>
      </c>
      <c r="T90" s="5">
        <v>344</v>
      </c>
      <c r="U90" s="5">
        <f t="shared" si="6"/>
        <v>8600</v>
      </c>
      <c r="V90" s="5">
        <v>25</v>
      </c>
      <c r="W90" s="49">
        <v>4115.75</v>
      </c>
      <c r="X90" s="49">
        <v>14.90655312</v>
      </c>
      <c r="Y90" s="49">
        <v>3688.958987</v>
      </c>
      <c r="Z90" s="49">
        <v>426.79101320000001</v>
      </c>
      <c r="AA90" s="49">
        <v>0</v>
      </c>
      <c r="AB90" s="49">
        <v>0</v>
      </c>
      <c r="AC90" s="4" t="str">
        <f t="shared" si="4"/>
        <v>Dumper</v>
      </c>
      <c r="AD90" s="4" t="str">
        <f t="shared" si="5"/>
        <v>Operational</v>
      </c>
      <c r="AE90" s="4" t="str">
        <f t="shared" si="7"/>
        <v>Individual</v>
      </c>
    </row>
    <row r="91" spans="1:31" ht="13.5" hidden="1" customHeight="1" x14ac:dyDescent="0.35">
      <c r="A91" s="3">
        <v>21</v>
      </c>
      <c r="B91" s="3" t="s">
        <v>101</v>
      </c>
      <c r="C91" s="3" t="s">
        <v>122</v>
      </c>
      <c r="D91" s="52">
        <v>744</v>
      </c>
      <c r="E91" s="48">
        <v>0</v>
      </c>
      <c r="F91" s="48">
        <v>0</v>
      </c>
      <c r="G91" s="48">
        <v>0</v>
      </c>
      <c r="H91" s="48">
        <v>744</v>
      </c>
      <c r="I91" s="48">
        <v>0</v>
      </c>
      <c r="J91" s="48">
        <v>0</v>
      </c>
      <c r="K91" s="48">
        <v>0</v>
      </c>
      <c r="L91" s="48">
        <v>0</v>
      </c>
      <c r="M91" s="48">
        <v>0</v>
      </c>
      <c r="N91" s="48">
        <v>0</v>
      </c>
      <c r="O91" s="56">
        <v>0</v>
      </c>
      <c r="P91" s="56">
        <v>0</v>
      </c>
      <c r="Q91" s="3">
        <v>0</v>
      </c>
      <c r="R91" s="48">
        <v>0</v>
      </c>
      <c r="S91" s="48">
        <v>0</v>
      </c>
      <c r="T91" s="3">
        <v>146</v>
      </c>
      <c r="U91" s="3">
        <f t="shared" si="6"/>
        <v>3650</v>
      </c>
      <c r="V91" s="3">
        <v>25</v>
      </c>
      <c r="W91" s="48">
        <v>525.58000000000004</v>
      </c>
      <c r="X91" s="48">
        <v>0</v>
      </c>
      <c r="Y91" s="48">
        <v>0</v>
      </c>
      <c r="Z91" s="48">
        <v>0</v>
      </c>
      <c r="AA91" s="48">
        <v>0</v>
      </c>
      <c r="AB91" s="48">
        <v>0</v>
      </c>
      <c r="AC91" s="4" t="str">
        <f t="shared" si="4"/>
        <v>Dumper</v>
      </c>
      <c r="AD91" s="4" t="str">
        <f t="shared" si="5"/>
        <v>Non-Operational</v>
      </c>
      <c r="AE91" s="4" t="str">
        <f t="shared" si="7"/>
        <v>Individual</v>
      </c>
    </row>
    <row r="92" spans="1:31" ht="13.5" customHeight="1" x14ac:dyDescent="0.35">
      <c r="A92" s="5">
        <v>22</v>
      </c>
      <c r="B92" s="5" t="s">
        <v>101</v>
      </c>
      <c r="C92" s="5" t="s">
        <v>123</v>
      </c>
      <c r="D92" s="53">
        <v>744.00080000000003</v>
      </c>
      <c r="E92" s="49">
        <v>319.30290000000002</v>
      </c>
      <c r="F92" s="49">
        <v>273.6182</v>
      </c>
      <c r="G92" s="49">
        <v>242.8716</v>
      </c>
      <c r="H92" s="49">
        <v>424.69789999999898</v>
      </c>
      <c r="I92" s="49">
        <v>20.242999999999999</v>
      </c>
      <c r="J92" s="49">
        <v>45.684699999999999</v>
      </c>
      <c r="K92" s="49">
        <v>21.3019999999999</v>
      </c>
      <c r="L92" s="49">
        <v>242.8716</v>
      </c>
      <c r="M92" s="49">
        <v>41.545000000000002</v>
      </c>
      <c r="N92" s="49">
        <v>284.41660000000002</v>
      </c>
      <c r="O92" s="57">
        <v>0.42917010300000002</v>
      </c>
      <c r="P92" s="57">
        <v>0.76063073650000002</v>
      </c>
      <c r="Q92" s="5">
        <v>0</v>
      </c>
      <c r="R92" s="49">
        <v>0</v>
      </c>
      <c r="S92" s="49">
        <v>0</v>
      </c>
      <c r="T92" s="5">
        <v>337</v>
      </c>
      <c r="U92" s="5">
        <f t="shared" si="6"/>
        <v>8425</v>
      </c>
      <c r="V92" s="5">
        <v>25</v>
      </c>
      <c r="W92" s="49">
        <v>3680.97999999999</v>
      </c>
      <c r="X92" s="49">
        <v>12.942212230000001</v>
      </c>
      <c r="Y92" s="49">
        <v>3143.2957929999998</v>
      </c>
      <c r="Z92" s="49">
        <v>537.68420730000003</v>
      </c>
      <c r="AA92" s="49">
        <v>0</v>
      </c>
      <c r="AB92" s="49">
        <v>0</v>
      </c>
      <c r="AC92" s="4" t="str">
        <f t="shared" si="4"/>
        <v>Dumper</v>
      </c>
      <c r="AD92" s="4" t="str">
        <f t="shared" si="5"/>
        <v>Operational</v>
      </c>
      <c r="AE92" s="4" t="str">
        <f t="shared" si="7"/>
        <v>Individual</v>
      </c>
    </row>
    <row r="93" spans="1:31" ht="13.5" customHeight="1" x14ac:dyDescent="0.35">
      <c r="A93" s="3">
        <v>23</v>
      </c>
      <c r="B93" s="3" t="s">
        <v>101</v>
      </c>
      <c r="C93" s="3" t="s">
        <v>124</v>
      </c>
      <c r="D93" s="52">
        <v>744.00039999999899</v>
      </c>
      <c r="E93" s="48">
        <v>223.80349999999899</v>
      </c>
      <c r="F93" s="48">
        <v>161.46369999999899</v>
      </c>
      <c r="G93" s="48">
        <v>158.666799999999</v>
      </c>
      <c r="H93" s="48">
        <v>520.19690000000003</v>
      </c>
      <c r="I93" s="48">
        <v>8.8053000000000008</v>
      </c>
      <c r="J93" s="48">
        <v>62.339799999999897</v>
      </c>
      <c r="K93" s="48">
        <v>4.2422000000000004</v>
      </c>
      <c r="L93" s="48">
        <v>158.666799999999</v>
      </c>
      <c r="M93" s="48">
        <v>13.047499999999999</v>
      </c>
      <c r="N93" s="48">
        <v>171.71429999999901</v>
      </c>
      <c r="O93" s="56">
        <v>0.30081099420000001</v>
      </c>
      <c r="P93" s="56">
        <v>0.70895584739999995</v>
      </c>
      <c r="Q93" s="3">
        <v>32</v>
      </c>
      <c r="R93" s="48">
        <v>1280.3</v>
      </c>
      <c r="S93" s="48">
        <v>40.009374999999999</v>
      </c>
      <c r="T93" s="3">
        <v>261</v>
      </c>
      <c r="U93" s="3">
        <f t="shared" si="6"/>
        <v>6525</v>
      </c>
      <c r="V93" s="3">
        <v>25</v>
      </c>
      <c r="W93" s="48">
        <v>2490.4699999999998</v>
      </c>
      <c r="X93" s="48">
        <v>14.503567840000001</v>
      </c>
      <c r="Y93" s="48">
        <v>2301.2346990000001</v>
      </c>
      <c r="Z93" s="48">
        <v>189.23530149999999</v>
      </c>
      <c r="AA93" s="48">
        <v>8.4998976109999997</v>
      </c>
      <c r="AB93" s="48">
        <v>0.31907421879999998</v>
      </c>
      <c r="AC93" s="4" t="str">
        <f t="shared" si="4"/>
        <v>Dumper</v>
      </c>
      <c r="AD93" s="4" t="str">
        <f t="shared" si="5"/>
        <v>Operational</v>
      </c>
      <c r="AE93" s="4" t="str">
        <f t="shared" si="7"/>
        <v>Individual</v>
      </c>
    </row>
    <row r="94" spans="1:31" ht="13.5" customHeight="1" x14ac:dyDescent="0.35">
      <c r="A94" s="5">
        <v>24</v>
      </c>
      <c r="B94" s="5" t="s">
        <v>101</v>
      </c>
      <c r="C94" s="5" t="s">
        <v>125</v>
      </c>
      <c r="D94" s="53">
        <v>744.00139999999897</v>
      </c>
      <c r="E94" s="49">
        <v>196.462099999999</v>
      </c>
      <c r="F94" s="49">
        <v>151.11399999999901</v>
      </c>
      <c r="G94" s="49">
        <v>124.47150000000001</v>
      </c>
      <c r="H94" s="49">
        <v>547.539299999999</v>
      </c>
      <c r="I94" s="49">
        <v>6.7940999999999896</v>
      </c>
      <c r="J94" s="49">
        <v>45.348100000000002</v>
      </c>
      <c r="K94" s="49">
        <v>3.7356999999999898</v>
      </c>
      <c r="L94" s="49">
        <v>124.47150000000001</v>
      </c>
      <c r="M94" s="49">
        <v>10.5297999999999</v>
      </c>
      <c r="N94" s="49">
        <v>135.00129999999999</v>
      </c>
      <c r="O94" s="57">
        <v>0.26406146549999998</v>
      </c>
      <c r="P94" s="57">
        <v>0.6335649471</v>
      </c>
      <c r="Q94" s="5">
        <v>77</v>
      </c>
      <c r="R94" s="49">
        <v>3062.84</v>
      </c>
      <c r="S94" s="49">
        <v>39.777142859999998</v>
      </c>
      <c r="T94" s="5">
        <v>249</v>
      </c>
      <c r="U94" s="5">
        <f t="shared" si="6"/>
        <v>6225</v>
      </c>
      <c r="V94" s="5">
        <v>25</v>
      </c>
      <c r="W94" s="49">
        <v>2249.4399999999901</v>
      </c>
      <c r="X94" s="49">
        <v>16.66235807</v>
      </c>
      <c r="Y94" s="49">
        <v>2073.9887020000001</v>
      </c>
      <c r="Z94" s="49">
        <v>175.45129800000001</v>
      </c>
      <c r="AA94" s="49">
        <v>6.9001226989999997</v>
      </c>
      <c r="AB94" s="49">
        <v>0.24219194129999999</v>
      </c>
      <c r="AC94" s="4" t="str">
        <f t="shared" si="4"/>
        <v>Dumper</v>
      </c>
      <c r="AD94" s="4" t="str">
        <f t="shared" si="5"/>
        <v>Operational</v>
      </c>
      <c r="AE94" s="4" t="str">
        <f t="shared" si="7"/>
        <v>Individual</v>
      </c>
    </row>
    <row r="95" spans="1:31" ht="13.5" customHeight="1" x14ac:dyDescent="0.35">
      <c r="A95" s="3">
        <v>25</v>
      </c>
      <c r="B95" s="3" t="s">
        <v>101</v>
      </c>
      <c r="C95" s="3" t="s">
        <v>126</v>
      </c>
      <c r="D95" s="52">
        <v>744.00160000000005</v>
      </c>
      <c r="E95" s="48">
        <v>294.32329999999899</v>
      </c>
      <c r="F95" s="48">
        <v>248.66319999999899</v>
      </c>
      <c r="G95" s="48">
        <v>243.40069999999901</v>
      </c>
      <c r="H95" s="48">
        <v>449.67829999999998</v>
      </c>
      <c r="I95" s="48">
        <v>16.055599999999998</v>
      </c>
      <c r="J95" s="48">
        <v>45.6601</v>
      </c>
      <c r="K95" s="48">
        <v>22.8354</v>
      </c>
      <c r="L95" s="48">
        <v>243.40069999999901</v>
      </c>
      <c r="M95" s="48">
        <v>38.890999999999998</v>
      </c>
      <c r="N95" s="48">
        <v>282.29169999999999</v>
      </c>
      <c r="O95" s="56">
        <v>0.39559498259999998</v>
      </c>
      <c r="P95" s="56">
        <v>0.8269841362</v>
      </c>
      <c r="Q95" s="3">
        <v>58</v>
      </c>
      <c r="R95" s="48">
        <v>2358.92</v>
      </c>
      <c r="S95" s="48">
        <v>40.671034480000003</v>
      </c>
      <c r="T95" s="3">
        <v>385</v>
      </c>
      <c r="U95" s="3">
        <f t="shared" si="6"/>
        <v>9625</v>
      </c>
      <c r="V95" s="3">
        <v>25</v>
      </c>
      <c r="W95" s="48">
        <v>3751.70999999999</v>
      </c>
      <c r="X95" s="48">
        <v>13.290188840000001</v>
      </c>
      <c r="Y95" s="48">
        <v>3234.8412659999999</v>
      </c>
      <c r="Z95" s="48">
        <v>516.86873400000002</v>
      </c>
      <c r="AA95" s="48">
        <v>8.4688713320000009</v>
      </c>
      <c r="AB95" s="48">
        <v>0.31306200309999999</v>
      </c>
      <c r="AC95" s="4" t="str">
        <f t="shared" si="4"/>
        <v>Dumper</v>
      </c>
      <c r="AD95" s="4" t="str">
        <f t="shared" si="5"/>
        <v>Operational</v>
      </c>
      <c r="AE95" s="4" t="str">
        <f t="shared" si="7"/>
        <v>Individual</v>
      </c>
    </row>
    <row r="96" spans="1:31" ht="13.5" customHeight="1" x14ac:dyDescent="0.35">
      <c r="A96" s="5">
        <v>26</v>
      </c>
      <c r="B96" s="5" t="s">
        <v>101</v>
      </c>
      <c r="C96" s="5" t="s">
        <v>127</v>
      </c>
      <c r="D96" s="53">
        <v>744.00019999999995</v>
      </c>
      <c r="E96" s="49">
        <v>409.5958</v>
      </c>
      <c r="F96" s="49">
        <v>328.99400000000003</v>
      </c>
      <c r="G96" s="49">
        <v>324.04320000000001</v>
      </c>
      <c r="H96" s="49">
        <v>334.40440000000001</v>
      </c>
      <c r="I96" s="49">
        <v>21.6754</v>
      </c>
      <c r="J96" s="49">
        <v>80.601799999999997</v>
      </c>
      <c r="K96" s="49">
        <v>6.0737999999999897</v>
      </c>
      <c r="L96" s="49">
        <v>324.04320000000001</v>
      </c>
      <c r="M96" s="49">
        <v>27.749199999999998</v>
      </c>
      <c r="N96" s="49">
        <v>351.79239999999999</v>
      </c>
      <c r="O96" s="57">
        <v>0.55053184129999999</v>
      </c>
      <c r="P96" s="57">
        <v>0.79112920590000002</v>
      </c>
      <c r="Q96" s="5">
        <v>0</v>
      </c>
      <c r="R96" s="49">
        <v>0</v>
      </c>
      <c r="S96" s="49">
        <v>0</v>
      </c>
      <c r="T96" s="5">
        <v>468</v>
      </c>
      <c r="U96" s="5">
        <f t="shared" si="6"/>
        <v>11700</v>
      </c>
      <c r="V96" s="5">
        <v>25</v>
      </c>
      <c r="W96" s="49">
        <v>4953.9799999999996</v>
      </c>
      <c r="X96" s="49">
        <v>14.08211206</v>
      </c>
      <c r="Y96" s="49">
        <v>4563.2126559999997</v>
      </c>
      <c r="Z96" s="49">
        <v>390.7673441</v>
      </c>
      <c r="AA96" s="49">
        <v>0</v>
      </c>
      <c r="AB96" s="49">
        <v>0</v>
      </c>
      <c r="AC96" s="4" t="str">
        <f t="shared" si="4"/>
        <v>Dumper</v>
      </c>
      <c r="AD96" s="4" t="str">
        <f t="shared" si="5"/>
        <v>Operational</v>
      </c>
      <c r="AE96" s="4" t="str">
        <f t="shared" si="7"/>
        <v>Individual</v>
      </c>
    </row>
    <row r="97" spans="1:31" ht="13.5" customHeight="1" x14ac:dyDescent="0.35">
      <c r="A97" s="3">
        <v>27</v>
      </c>
      <c r="B97" s="3" t="s">
        <v>101</v>
      </c>
      <c r="C97" s="3" t="s">
        <v>128</v>
      </c>
      <c r="D97" s="52">
        <v>744.00039999999899</v>
      </c>
      <c r="E97" s="48">
        <v>418.28219999999902</v>
      </c>
      <c r="F97" s="48">
        <v>361.54899999999901</v>
      </c>
      <c r="G97" s="48">
        <v>288.837099999999</v>
      </c>
      <c r="H97" s="48">
        <v>325.718199999999</v>
      </c>
      <c r="I97" s="48">
        <v>22.984499999999901</v>
      </c>
      <c r="J97" s="48">
        <v>56.733199999999997</v>
      </c>
      <c r="K97" s="48">
        <v>33.163099999999901</v>
      </c>
      <c r="L97" s="48">
        <v>288.837099999999</v>
      </c>
      <c r="M97" s="48">
        <v>56.147599999999898</v>
      </c>
      <c r="N97" s="48">
        <v>344.98469999999998</v>
      </c>
      <c r="O97" s="56">
        <v>0.56220695580000002</v>
      </c>
      <c r="P97" s="56">
        <v>0.69053165540000006</v>
      </c>
      <c r="Q97" s="3">
        <v>108</v>
      </c>
      <c r="R97" s="48">
        <v>4345.66</v>
      </c>
      <c r="S97" s="48">
        <v>40.237592589999998</v>
      </c>
      <c r="T97" s="3">
        <v>566</v>
      </c>
      <c r="U97" s="3">
        <f t="shared" si="6"/>
        <v>14150</v>
      </c>
      <c r="V97" s="3">
        <v>25</v>
      </c>
      <c r="W97" s="48">
        <v>6004.5899999999901</v>
      </c>
      <c r="X97" s="48">
        <v>17.40538059</v>
      </c>
      <c r="Y97" s="48">
        <v>5027.3196529999996</v>
      </c>
      <c r="Z97" s="48">
        <v>977.27034700000002</v>
      </c>
      <c r="AA97" s="48">
        <v>8.9088872400000003</v>
      </c>
      <c r="AB97" s="48">
        <v>0.3246485932</v>
      </c>
      <c r="AC97" s="4" t="str">
        <f t="shared" si="4"/>
        <v>Dumper</v>
      </c>
      <c r="AD97" s="4" t="str">
        <f t="shared" si="5"/>
        <v>Operational</v>
      </c>
      <c r="AE97" s="4" t="str">
        <f t="shared" si="7"/>
        <v>Individual</v>
      </c>
    </row>
    <row r="98" spans="1:31" ht="13.5" customHeight="1" x14ac:dyDescent="0.35">
      <c r="A98" s="5">
        <v>28</v>
      </c>
      <c r="B98" s="5" t="s">
        <v>101</v>
      </c>
      <c r="C98" s="5" t="s">
        <v>129</v>
      </c>
      <c r="D98" s="53">
        <v>744.00059999999996</v>
      </c>
      <c r="E98" s="49">
        <v>519.30439999999999</v>
      </c>
      <c r="F98" s="49">
        <v>419.67320000000001</v>
      </c>
      <c r="G98" s="49">
        <v>392.63609999999898</v>
      </c>
      <c r="H98" s="49">
        <v>224.6962</v>
      </c>
      <c r="I98" s="49">
        <v>20.189800000000002</v>
      </c>
      <c r="J98" s="49">
        <v>99.631200000000007</v>
      </c>
      <c r="K98" s="49">
        <v>6.1726999999999999</v>
      </c>
      <c r="L98" s="49">
        <v>392.63609999999898</v>
      </c>
      <c r="M98" s="49">
        <v>26.362500000000001</v>
      </c>
      <c r="N98" s="49">
        <v>418.99859999999899</v>
      </c>
      <c r="O98" s="57">
        <v>0.69798922210000003</v>
      </c>
      <c r="P98" s="57">
        <v>0.75608082659999998</v>
      </c>
      <c r="Q98" s="5">
        <v>587</v>
      </c>
      <c r="R98" s="49">
        <v>23173.68</v>
      </c>
      <c r="S98" s="49">
        <v>39.47816014</v>
      </c>
      <c r="T98" s="5">
        <v>366</v>
      </c>
      <c r="U98" s="5">
        <f t="shared" si="6"/>
        <v>9150</v>
      </c>
      <c r="V98" s="5">
        <v>25</v>
      </c>
      <c r="W98" s="49">
        <v>7447.74999999999</v>
      </c>
      <c r="X98" s="49">
        <v>17.775119060000002</v>
      </c>
      <c r="Y98" s="49">
        <v>6979.1534240000001</v>
      </c>
      <c r="Z98" s="49">
        <v>468.59657620000002</v>
      </c>
      <c r="AA98" s="49">
        <v>7.8150577119999998</v>
      </c>
      <c r="AB98" s="49">
        <v>0.23041157440000001</v>
      </c>
      <c r="AC98" s="4" t="str">
        <f t="shared" si="4"/>
        <v>Dumper</v>
      </c>
      <c r="AD98" s="4" t="str">
        <f t="shared" si="5"/>
        <v>Operational</v>
      </c>
      <c r="AE98" s="4" t="str">
        <f t="shared" si="7"/>
        <v>Individual</v>
      </c>
    </row>
    <row r="99" spans="1:31" ht="13.5" customHeight="1" x14ac:dyDescent="0.35">
      <c r="A99" s="3">
        <v>29</v>
      </c>
      <c r="B99" s="3" t="s">
        <v>101</v>
      </c>
      <c r="C99" s="3" t="s">
        <v>130</v>
      </c>
      <c r="D99" s="52">
        <v>744.00049999999896</v>
      </c>
      <c r="E99" s="48">
        <v>479.01449999999897</v>
      </c>
      <c r="F99" s="48">
        <v>381.89859999999902</v>
      </c>
      <c r="G99" s="48">
        <v>376.51819999999901</v>
      </c>
      <c r="H99" s="48">
        <v>264.98599999999902</v>
      </c>
      <c r="I99" s="48">
        <v>18.023</v>
      </c>
      <c r="J99" s="48">
        <v>97.115899999999897</v>
      </c>
      <c r="K99" s="48">
        <v>4.5796999999999999</v>
      </c>
      <c r="L99" s="48">
        <v>376.51819999999901</v>
      </c>
      <c r="M99" s="48">
        <v>22.602699999999999</v>
      </c>
      <c r="N99" s="48">
        <v>399.12089999999898</v>
      </c>
      <c r="O99" s="56">
        <v>0.64383626090000001</v>
      </c>
      <c r="P99" s="56">
        <v>0.78602672780000005</v>
      </c>
      <c r="Q99" s="3">
        <v>308</v>
      </c>
      <c r="R99" s="48">
        <v>11647.86</v>
      </c>
      <c r="S99" s="48">
        <v>37.817727269999999</v>
      </c>
      <c r="T99" s="3">
        <v>413</v>
      </c>
      <c r="U99" s="3">
        <f t="shared" si="6"/>
        <v>10325</v>
      </c>
      <c r="V99" s="3">
        <v>25</v>
      </c>
      <c r="W99" s="48">
        <v>6074.69</v>
      </c>
      <c r="X99" s="48">
        <v>15.22017514</v>
      </c>
      <c r="Y99" s="48">
        <v>5730.672947</v>
      </c>
      <c r="Z99" s="48">
        <v>344.0170526</v>
      </c>
      <c r="AA99" s="48">
        <v>8.4253675450000003</v>
      </c>
      <c r="AB99" s="48">
        <v>0.2764633279</v>
      </c>
      <c r="AC99" s="4" t="str">
        <f t="shared" si="4"/>
        <v>Dumper</v>
      </c>
      <c r="AD99" s="4" t="str">
        <f t="shared" si="5"/>
        <v>Operational</v>
      </c>
      <c r="AE99" s="4" t="str">
        <f t="shared" si="7"/>
        <v>Individual</v>
      </c>
    </row>
    <row r="100" spans="1:31" ht="13.5" customHeight="1" x14ac:dyDescent="0.35">
      <c r="A100" s="5">
        <v>30</v>
      </c>
      <c r="B100" s="5" t="s">
        <v>101</v>
      </c>
      <c r="C100" s="5" t="s">
        <v>131</v>
      </c>
      <c r="D100" s="53">
        <v>743.99990000000003</v>
      </c>
      <c r="E100" s="49">
        <v>332.24209999999999</v>
      </c>
      <c r="F100" s="49">
        <v>205.92619999999999</v>
      </c>
      <c r="G100" s="49">
        <v>178.792599999999</v>
      </c>
      <c r="H100" s="49">
        <v>411.75779999999997</v>
      </c>
      <c r="I100" s="49">
        <v>10.942500000000001</v>
      </c>
      <c r="J100" s="49">
        <v>126.315899999999</v>
      </c>
      <c r="K100" s="49">
        <v>8.9619</v>
      </c>
      <c r="L100" s="49">
        <v>178.792599999999</v>
      </c>
      <c r="M100" s="49">
        <v>19.904399999999999</v>
      </c>
      <c r="N100" s="49">
        <v>198.69699999999901</v>
      </c>
      <c r="O100" s="57">
        <v>0.44656202239999998</v>
      </c>
      <c r="P100" s="57">
        <v>0.53813950730000004</v>
      </c>
      <c r="Q100" s="5">
        <v>133</v>
      </c>
      <c r="R100" s="49">
        <v>5323.72</v>
      </c>
      <c r="S100" s="49">
        <v>40.027969919999997</v>
      </c>
      <c r="T100" s="5">
        <v>351</v>
      </c>
      <c r="U100" s="5">
        <f t="shared" si="6"/>
        <v>8775</v>
      </c>
      <c r="V100" s="5">
        <v>25</v>
      </c>
      <c r="W100" s="49">
        <v>3912.6799999999898</v>
      </c>
      <c r="X100" s="49">
        <v>19.691691370000001</v>
      </c>
      <c r="Y100" s="49">
        <v>3520.7286979999999</v>
      </c>
      <c r="Z100" s="49">
        <v>391.95130169999999</v>
      </c>
      <c r="AA100" s="49">
        <v>8.0840495870000009</v>
      </c>
      <c r="AB100" s="49">
        <v>0.27752022879999999</v>
      </c>
      <c r="AC100" s="4" t="str">
        <f t="shared" si="4"/>
        <v>Dumper</v>
      </c>
      <c r="AD100" s="4" t="str">
        <f t="shared" si="5"/>
        <v>Operational</v>
      </c>
      <c r="AE100" s="4" t="str">
        <f t="shared" si="7"/>
        <v>Individual</v>
      </c>
    </row>
    <row r="101" spans="1:31" ht="13.5" customHeight="1" x14ac:dyDescent="0.35">
      <c r="A101" s="3">
        <v>31</v>
      </c>
      <c r="B101" s="3" t="s">
        <v>101</v>
      </c>
      <c r="C101" s="3" t="s">
        <v>132</v>
      </c>
      <c r="D101" s="52">
        <v>744.00099999999998</v>
      </c>
      <c r="E101" s="48">
        <v>299.50990000000002</v>
      </c>
      <c r="F101" s="48">
        <v>262.46440000000001</v>
      </c>
      <c r="G101" s="48">
        <v>232.0523</v>
      </c>
      <c r="H101" s="48">
        <v>444.49109999999899</v>
      </c>
      <c r="I101" s="48">
        <v>12.993899999999901</v>
      </c>
      <c r="J101" s="48">
        <v>37.045499999999997</v>
      </c>
      <c r="K101" s="48">
        <v>9.3541000000000007</v>
      </c>
      <c r="L101" s="48">
        <v>232.0523</v>
      </c>
      <c r="M101" s="48">
        <v>22.347999999999999</v>
      </c>
      <c r="N101" s="48">
        <v>254.40029999999999</v>
      </c>
      <c r="O101" s="56">
        <v>0.40256652879999999</v>
      </c>
      <c r="P101" s="56">
        <v>0.77477338809999996</v>
      </c>
      <c r="Q101" s="3">
        <v>0</v>
      </c>
      <c r="R101" s="48">
        <v>0</v>
      </c>
      <c r="S101" s="48">
        <v>0</v>
      </c>
      <c r="T101" s="3">
        <v>498</v>
      </c>
      <c r="U101" s="3">
        <f t="shared" si="6"/>
        <v>12450</v>
      </c>
      <c r="V101" s="3">
        <v>25</v>
      </c>
      <c r="W101" s="48">
        <v>3804.0499999999902</v>
      </c>
      <c r="X101" s="48">
        <v>14.953009099999999</v>
      </c>
      <c r="Y101" s="48">
        <v>3469.8801530000001</v>
      </c>
      <c r="Z101" s="48">
        <v>334.16984730000001</v>
      </c>
      <c r="AA101" s="48">
        <v>0</v>
      </c>
      <c r="AB101" s="48">
        <v>0</v>
      </c>
      <c r="AC101" s="4" t="str">
        <f t="shared" si="4"/>
        <v>Dumper</v>
      </c>
      <c r="AD101" s="4" t="str">
        <f t="shared" si="5"/>
        <v>Operational</v>
      </c>
      <c r="AE101" s="4" t="str">
        <f t="shared" si="7"/>
        <v>Individual</v>
      </c>
    </row>
    <row r="102" spans="1:31" ht="13.5" customHeight="1" x14ac:dyDescent="0.35">
      <c r="A102" s="5">
        <v>32</v>
      </c>
      <c r="B102" s="5" t="s">
        <v>101</v>
      </c>
      <c r="C102" s="5" t="s">
        <v>133</v>
      </c>
      <c r="D102" s="53">
        <v>744.00189999999998</v>
      </c>
      <c r="E102" s="49">
        <v>499.88150000000002</v>
      </c>
      <c r="F102" s="49">
        <v>397.65260000000001</v>
      </c>
      <c r="G102" s="49">
        <v>392.99250000000001</v>
      </c>
      <c r="H102" s="49">
        <v>244.12039999999999</v>
      </c>
      <c r="I102" s="49">
        <v>16.374500000000001</v>
      </c>
      <c r="J102" s="49">
        <v>102.228899999999</v>
      </c>
      <c r="K102" s="49">
        <v>9.06069999999999</v>
      </c>
      <c r="L102" s="49">
        <v>392.99250000000001</v>
      </c>
      <c r="M102" s="49">
        <v>25.435199999999998</v>
      </c>
      <c r="N102" s="49">
        <v>418.42770000000002</v>
      </c>
      <c r="O102" s="57">
        <v>0.67188202070000003</v>
      </c>
      <c r="P102" s="57">
        <v>0.7861713226</v>
      </c>
      <c r="Q102" s="5">
        <v>454</v>
      </c>
      <c r="R102" s="49">
        <v>18626.88</v>
      </c>
      <c r="S102" s="49">
        <v>41.028370039999999</v>
      </c>
      <c r="T102" s="5">
        <v>251</v>
      </c>
      <c r="U102" s="5">
        <f t="shared" si="6"/>
        <v>6275</v>
      </c>
      <c r="V102" s="5">
        <v>25</v>
      </c>
      <c r="W102" s="49">
        <v>6705.11</v>
      </c>
      <c r="X102" s="49">
        <v>16.024536619999999</v>
      </c>
      <c r="Y102" s="49">
        <v>6297.5227059999997</v>
      </c>
      <c r="Z102" s="49">
        <v>407.58729369999998</v>
      </c>
      <c r="AA102" s="49">
        <v>9.5107943259999992</v>
      </c>
      <c r="AB102" s="49">
        <v>0.26926119630000001</v>
      </c>
      <c r="AC102" s="4" t="str">
        <f t="shared" si="4"/>
        <v>Dumper</v>
      </c>
      <c r="AD102" s="4" t="str">
        <f t="shared" si="5"/>
        <v>Operational</v>
      </c>
      <c r="AE102" s="4" t="str">
        <f t="shared" si="7"/>
        <v>Individual</v>
      </c>
    </row>
    <row r="103" spans="1:31" ht="13.5" customHeight="1" x14ac:dyDescent="0.35">
      <c r="A103" s="3">
        <v>33</v>
      </c>
      <c r="B103" s="3" t="s">
        <v>101</v>
      </c>
      <c r="C103" s="3" t="s">
        <v>134</v>
      </c>
      <c r="D103" s="52">
        <v>744.000799999999</v>
      </c>
      <c r="E103" s="48">
        <v>489.50039999999899</v>
      </c>
      <c r="F103" s="48">
        <v>375.91739999999999</v>
      </c>
      <c r="G103" s="48">
        <v>345.21140000000003</v>
      </c>
      <c r="H103" s="48">
        <v>254.50040000000001</v>
      </c>
      <c r="I103" s="48">
        <v>17.7790999999999</v>
      </c>
      <c r="J103" s="48">
        <v>113.582999999999</v>
      </c>
      <c r="K103" s="48">
        <v>12.3788</v>
      </c>
      <c r="L103" s="48">
        <v>345.21140000000003</v>
      </c>
      <c r="M103" s="48">
        <v>30.157899999999898</v>
      </c>
      <c r="N103" s="48">
        <v>375.36930000000001</v>
      </c>
      <c r="O103" s="56">
        <v>0.65792993769999997</v>
      </c>
      <c r="P103" s="56">
        <v>0.70523211009999998</v>
      </c>
      <c r="Q103" s="3">
        <v>140</v>
      </c>
      <c r="R103" s="48">
        <v>5596.48</v>
      </c>
      <c r="S103" s="48">
        <v>39.974857139999997</v>
      </c>
      <c r="T103" s="3">
        <v>460</v>
      </c>
      <c r="U103" s="3">
        <f t="shared" si="6"/>
        <v>11500</v>
      </c>
      <c r="V103" s="3">
        <v>25</v>
      </c>
      <c r="W103" s="48">
        <v>5689.92</v>
      </c>
      <c r="X103" s="48">
        <v>15.158192209999999</v>
      </c>
      <c r="Y103" s="48">
        <v>5232.7807549999998</v>
      </c>
      <c r="Z103" s="48">
        <v>457.13924489999999</v>
      </c>
      <c r="AA103" s="48">
        <v>9.4832000000000001</v>
      </c>
      <c r="AB103" s="48">
        <v>0.3328123684</v>
      </c>
      <c r="AC103" s="4" t="str">
        <f t="shared" si="4"/>
        <v>Dumper</v>
      </c>
      <c r="AD103" s="4" t="str">
        <f t="shared" si="5"/>
        <v>Operational</v>
      </c>
      <c r="AE103" s="4" t="str">
        <f t="shared" si="7"/>
        <v>Individual</v>
      </c>
    </row>
    <row r="104" spans="1:31" ht="13.5" customHeight="1" x14ac:dyDescent="0.35">
      <c r="A104" s="5">
        <v>34</v>
      </c>
      <c r="B104" s="5" t="s">
        <v>101</v>
      </c>
      <c r="C104" s="5" t="s">
        <v>135</v>
      </c>
      <c r="D104" s="53">
        <v>743.99919999999997</v>
      </c>
      <c r="E104" s="49">
        <v>545.01279999999997</v>
      </c>
      <c r="F104" s="49">
        <v>481.16129999999998</v>
      </c>
      <c r="G104" s="49">
        <v>439.99790000000002</v>
      </c>
      <c r="H104" s="49">
        <v>198.98639999999901</v>
      </c>
      <c r="I104" s="49">
        <v>18.863</v>
      </c>
      <c r="J104" s="49">
        <v>63.851499999999902</v>
      </c>
      <c r="K104" s="49">
        <v>6.5067999999999904</v>
      </c>
      <c r="L104" s="49">
        <v>439.99790000000002</v>
      </c>
      <c r="M104" s="49">
        <v>25.369800000000001</v>
      </c>
      <c r="N104" s="49">
        <v>465.36770000000001</v>
      </c>
      <c r="O104" s="57">
        <v>0.73254487369999999</v>
      </c>
      <c r="P104" s="57">
        <v>0.80731663549999999</v>
      </c>
      <c r="Q104" s="5">
        <v>0</v>
      </c>
      <c r="R104" s="49">
        <v>0</v>
      </c>
      <c r="S104" s="49">
        <v>0</v>
      </c>
      <c r="T104" s="5">
        <v>923</v>
      </c>
      <c r="U104" s="5">
        <f t="shared" si="6"/>
        <v>23075</v>
      </c>
      <c r="V104" s="5">
        <v>25</v>
      </c>
      <c r="W104" s="49">
        <v>6537.0999999999904</v>
      </c>
      <c r="X104" s="49">
        <v>14.047171730000001</v>
      </c>
      <c r="Y104" s="49">
        <v>6180.7260630000001</v>
      </c>
      <c r="Z104" s="49">
        <v>356.37393739999999</v>
      </c>
      <c r="AA104" s="49">
        <v>0</v>
      </c>
      <c r="AB104" s="49">
        <v>0</v>
      </c>
      <c r="AC104" s="4" t="str">
        <f t="shared" si="4"/>
        <v>Dumper</v>
      </c>
      <c r="AD104" s="4" t="str">
        <f t="shared" si="5"/>
        <v>Operational</v>
      </c>
      <c r="AE104" s="4" t="str">
        <f t="shared" si="7"/>
        <v>Individual</v>
      </c>
    </row>
    <row r="105" spans="1:31" ht="13.5" customHeight="1" x14ac:dyDescent="0.35">
      <c r="A105" s="3">
        <v>35</v>
      </c>
      <c r="B105" s="3" t="s">
        <v>101</v>
      </c>
      <c r="C105" s="3" t="s">
        <v>136</v>
      </c>
      <c r="D105" s="52">
        <v>744.0009</v>
      </c>
      <c r="E105" s="48">
        <v>535.26250000000005</v>
      </c>
      <c r="F105" s="48">
        <v>439.87549999999999</v>
      </c>
      <c r="G105" s="48">
        <v>433.51280000000003</v>
      </c>
      <c r="H105" s="48">
        <v>208.73840000000001</v>
      </c>
      <c r="I105" s="48">
        <v>37.668900000000001</v>
      </c>
      <c r="J105" s="48">
        <v>95.387</v>
      </c>
      <c r="K105" s="48">
        <v>17.7288</v>
      </c>
      <c r="L105" s="48">
        <v>433.51280000000003</v>
      </c>
      <c r="M105" s="48">
        <v>55.3977</v>
      </c>
      <c r="N105" s="48">
        <v>488.91050000000001</v>
      </c>
      <c r="O105" s="56">
        <v>0.71943797379999996</v>
      </c>
      <c r="P105" s="56">
        <v>0.80990691479999999</v>
      </c>
      <c r="Q105" s="3">
        <v>0</v>
      </c>
      <c r="R105" s="48">
        <v>0</v>
      </c>
      <c r="S105" s="48">
        <v>0</v>
      </c>
      <c r="T105" s="3">
        <v>858</v>
      </c>
      <c r="U105" s="3">
        <f t="shared" si="6"/>
        <v>21450</v>
      </c>
      <c r="V105" s="3">
        <v>25</v>
      </c>
      <c r="W105" s="48">
        <v>6339.12</v>
      </c>
      <c r="X105" s="48">
        <v>12.965808669999999</v>
      </c>
      <c r="Y105" s="48">
        <v>5620.8440209999999</v>
      </c>
      <c r="Z105" s="48">
        <v>718.27597900000001</v>
      </c>
      <c r="AA105" s="48">
        <v>0</v>
      </c>
      <c r="AB105" s="48">
        <v>0</v>
      </c>
      <c r="AC105" s="4" t="str">
        <f t="shared" si="4"/>
        <v>Dumper</v>
      </c>
      <c r="AD105" s="4" t="str">
        <f t="shared" si="5"/>
        <v>Operational</v>
      </c>
      <c r="AE105" s="4" t="str">
        <f t="shared" si="7"/>
        <v>Individual</v>
      </c>
    </row>
    <row r="106" spans="1:31" ht="13.5" customHeight="1" x14ac:dyDescent="0.35">
      <c r="A106" s="5">
        <v>36</v>
      </c>
      <c r="B106" s="5" t="s">
        <v>101</v>
      </c>
      <c r="C106" s="5" t="s">
        <v>137</v>
      </c>
      <c r="D106" s="53">
        <v>744.00089999999898</v>
      </c>
      <c r="E106" s="49">
        <v>483.02789999999902</v>
      </c>
      <c r="F106" s="49">
        <v>400.41039999999902</v>
      </c>
      <c r="G106" s="49">
        <v>393.87699999999899</v>
      </c>
      <c r="H106" s="49">
        <v>260.97299999999899</v>
      </c>
      <c r="I106" s="49">
        <v>16.614999999999998</v>
      </c>
      <c r="J106" s="49">
        <v>82.617500000000007</v>
      </c>
      <c r="K106" s="49">
        <v>8.4101999999999997</v>
      </c>
      <c r="L106" s="49">
        <v>393.87699999999899</v>
      </c>
      <c r="M106" s="49">
        <v>25.025200000000002</v>
      </c>
      <c r="N106" s="49">
        <v>418.90219999999903</v>
      </c>
      <c r="O106" s="57">
        <v>0.64923026299999997</v>
      </c>
      <c r="P106" s="57">
        <v>0.8154332286</v>
      </c>
      <c r="Q106" s="5">
        <v>44</v>
      </c>
      <c r="R106" s="49">
        <v>1636.62</v>
      </c>
      <c r="S106" s="49">
        <v>37.195909090000001</v>
      </c>
      <c r="T106" s="5">
        <v>847</v>
      </c>
      <c r="U106" s="5">
        <f t="shared" si="6"/>
        <v>21175</v>
      </c>
      <c r="V106" s="5">
        <v>25</v>
      </c>
      <c r="W106" s="49">
        <v>6023.4</v>
      </c>
      <c r="X106" s="49">
        <v>14.37901257</v>
      </c>
      <c r="Y106" s="49">
        <v>5663.5623349999996</v>
      </c>
      <c r="Z106" s="49">
        <v>359.83766539999999</v>
      </c>
      <c r="AA106" s="49">
        <v>6.7602693599999997</v>
      </c>
      <c r="AB106" s="49">
        <v>0.26404963790000002</v>
      </c>
      <c r="AC106" s="4" t="str">
        <f t="shared" si="4"/>
        <v>Dumper</v>
      </c>
      <c r="AD106" s="4" t="str">
        <f t="shared" si="5"/>
        <v>Operational</v>
      </c>
      <c r="AE106" s="4" t="str">
        <f t="shared" si="7"/>
        <v>Individual</v>
      </c>
    </row>
    <row r="107" spans="1:31" ht="13.5" customHeight="1" x14ac:dyDescent="0.35">
      <c r="A107" s="3">
        <v>37</v>
      </c>
      <c r="B107" s="3" t="s">
        <v>101</v>
      </c>
      <c r="C107" s="3" t="s">
        <v>138</v>
      </c>
      <c r="D107" s="52">
        <v>743.99959999999999</v>
      </c>
      <c r="E107" s="48">
        <v>179.33099999999999</v>
      </c>
      <c r="F107" s="48">
        <v>154.95769999999999</v>
      </c>
      <c r="G107" s="48">
        <v>152.95599999999999</v>
      </c>
      <c r="H107" s="48">
        <v>564.66859999999997</v>
      </c>
      <c r="I107" s="48">
        <v>6.2957999999999901</v>
      </c>
      <c r="J107" s="48">
        <v>24.373299999999901</v>
      </c>
      <c r="K107" s="48">
        <v>2.8424999999999998</v>
      </c>
      <c r="L107" s="48">
        <v>152.95599999999999</v>
      </c>
      <c r="M107" s="48">
        <v>9.1382999999999992</v>
      </c>
      <c r="N107" s="48">
        <v>162.0943</v>
      </c>
      <c r="O107" s="56">
        <v>0.24103641989999999</v>
      </c>
      <c r="P107" s="56">
        <v>0.85292559570000004</v>
      </c>
      <c r="Q107" s="3">
        <v>5</v>
      </c>
      <c r="R107" s="48">
        <v>178.48</v>
      </c>
      <c r="S107" s="48">
        <v>35.695999999999998</v>
      </c>
      <c r="T107" s="3">
        <v>296</v>
      </c>
      <c r="U107" s="3">
        <f t="shared" si="6"/>
        <v>7400</v>
      </c>
      <c r="V107" s="3">
        <v>25</v>
      </c>
      <c r="W107" s="48">
        <v>2387.5299999999902</v>
      </c>
      <c r="X107" s="48">
        <v>14.72926562</v>
      </c>
      <c r="Y107" s="48">
        <v>2252.9295520000001</v>
      </c>
      <c r="Z107" s="48">
        <v>134.600448</v>
      </c>
      <c r="AA107" s="48">
        <v>7.9319933550000004</v>
      </c>
      <c r="AB107" s="48">
        <v>0.31504074700000001</v>
      </c>
      <c r="AC107" s="4" t="str">
        <f t="shared" si="4"/>
        <v>Dumper</v>
      </c>
      <c r="AD107" s="4" t="str">
        <f t="shared" si="5"/>
        <v>Operational</v>
      </c>
      <c r="AE107" s="4" t="str">
        <f t="shared" si="7"/>
        <v>Individual</v>
      </c>
    </row>
    <row r="108" spans="1:31" ht="13.5" customHeight="1" x14ac:dyDescent="0.35">
      <c r="A108" s="5">
        <v>38</v>
      </c>
      <c r="B108" s="5" t="s">
        <v>101</v>
      </c>
      <c r="C108" s="5" t="s">
        <v>139</v>
      </c>
      <c r="D108" s="53">
        <v>743.999899999999</v>
      </c>
      <c r="E108" s="49">
        <v>512.09159999999895</v>
      </c>
      <c r="F108" s="49">
        <v>395.79999999999899</v>
      </c>
      <c r="G108" s="49">
        <v>391.2167</v>
      </c>
      <c r="H108" s="49">
        <v>231.9083</v>
      </c>
      <c r="I108" s="49">
        <v>21.0764999999999</v>
      </c>
      <c r="J108" s="49">
        <v>116.29159999999899</v>
      </c>
      <c r="K108" s="49">
        <v>7.0654000000000003</v>
      </c>
      <c r="L108" s="49">
        <v>391.2167</v>
      </c>
      <c r="M108" s="49">
        <v>28.1418999999999</v>
      </c>
      <c r="N108" s="49">
        <v>419.35860000000002</v>
      </c>
      <c r="O108" s="57">
        <v>0.68829525380000001</v>
      </c>
      <c r="P108" s="57">
        <v>0.76395844020000003</v>
      </c>
      <c r="Q108" s="5">
        <v>563</v>
      </c>
      <c r="R108" s="49">
        <v>21542.080000000002</v>
      </c>
      <c r="S108" s="49">
        <v>38.263019540000002</v>
      </c>
      <c r="T108" s="5">
        <v>361</v>
      </c>
      <c r="U108" s="5">
        <f t="shared" si="6"/>
        <v>9025</v>
      </c>
      <c r="V108" s="5">
        <v>25</v>
      </c>
      <c r="W108" s="49">
        <v>6599.6699999999901</v>
      </c>
      <c r="X108" s="49">
        <v>15.73753346</v>
      </c>
      <c r="Y108" s="49">
        <v>6156.7859070000004</v>
      </c>
      <c r="Z108" s="49">
        <v>442.88409289999998</v>
      </c>
      <c r="AA108" s="49">
        <v>7.1424999999999903</v>
      </c>
      <c r="AB108" s="49">
        <v>0.21590776740000001</v>
      </c>
      <c r="AC108" s="4" t="str">
        <f t="shared" si="4"/>
        <v>Dumper</v>
      </c>
      <c r="AD108" s="4" t="str">
        <f t="shared" si="5"/>
        <v>Operational</v>
      </c>
      <c r="AE108" s="4" t="str">
        <f t="shared" si="7"/>
        <v>Individual</v>
      </c>
    </row>
    <row r="109" spans="1:31" ht="13.5" customHeight="1" x14ac:dyDescent="0.35">
      <c r="A109" s="3">
        <v>39</v>
      </c>
      <c r="B109" s="3" t="s">
        <v>101</v>
      </c>
      <c r="C109" s="3" t="s">
        <v>140</v>
      </c>
      <c r="D109" s="52">
        <v>743.99950000000001</v>
      </c>
      <c r="E109" s="48">
        <v>483.54809999999998</v>
      </c>
      <c r="F109" s="48">
        <v>412.81169999999997</v>
      </c>
      <c r="G109" s="48">
        <v>381.67429999999899</v>
      </c>
      <c r="H109" s="48">
        <v>260.45139999999998</v>
      </c>
      <c r="I109" s="48">
        <v>26.496700000000001</v>
      </c>
      <c r="J109" s="48">
        <v>70.736399999999904</v>
      </c>
      <c r="K109" s="48">
        <v>7.7694000000000001</v>
      </c>
      <c r="L109" s="48">
        <v>381.67429999999899</v>
      </c>
      <c r="M109" s="48">
        <v>34.266100000000002</v>
      </c>
      <c r="N109" s="48">
        <v>415.94039999999899</v>
      </c>
      <c r="O109" s="56">
        <v>0.64993067869999999</v>
      </c>
      <c r="P109" s="56">
        <v>0.78932023520000005</v>
      </c>
      <c r="Q109" s="3">
        <v>0</v>
      </c>
      <c r="R109" s="48">
        <v>0</v>
      </c>
      <c r="S109" s="48">
        <v>0</v>
      </c>
      <c r="T109" s="3">
        <v>591</v>
      </c>
      <c r="U109" s="3">
        <f t="shared" si="6"/>
        <v>14775</v>
      </c>
      <c r="V109" s="3">
        <v>25</v>
      </c>
      <c r="W109" s="48">
        <v>5716.53999999999</v>
      </c>
      <c r="X109" s="48">
        <v>13.74365173</v>
      </c>
      <c r="Y109" s="48">
        <v>5245.5986549999998</v>
      </c>
      <c r="Z109" s="48">
        <v>470.9413447</v>
      </c>
      <c r="AA109" s="48">
        <v>0</v>
      </c>
      <c r="AB109" s="48">
        <v>0</v>
      </c>
      <c r="AC109" s="4" t="str">
        <f t="shared" si="4"/>
        <v>Dumper</v>
      </c>
      <c r="AD109" s="4" t="str">
        <f t="shared" si="5"/>
        <v>Operational</v>
      </c>
      <c r="AE109" s="4" t="str">
        <f t="shared" si="7"/>
        <v>Individual</v>
      </c>
    </row>
    <row r="110" spans="1:31" ht="13.5" customHeight="1" x14ac:dyDescent="0.35">
      <c r="A110" s="5">
        <v>40</v>
      </c>
      <c r="B110" s="5" t="s">
        <v>101</v>
      </c>
      <c r="C110" s="5" t="s">
        <v>141</v>
      </c>
      <c r="D110" s="53">
        <v>744.00019999999995</v>
      </c>
      <c r="E110" s="49">
        <v>199.97710000000001</v>
      </c>
      <c r="F110" s="49">
        <v>154.4436</v>
      </c>
      <c r="G110" s="49">
        <v>151.0112</v>
      </c>
      <c r="H110" s="49">
        <v>544.0231</v>
      </c>
      <c r="I110" s="49">
        <v>6.6852999999999998</v>
      </c>
      <c r="J110" s="49">
        <v>45.533499999999997</v>
      </c>
      <c r="K110" s="49">
        <v>3.2101999999999902</v>
      </c>
      <c r="L110" s="49">
        <v>151.0112</v>
      </c>
      <c r="M110" s="49">
        <v>9.8955000000000002</v>
      </c>
      <c r="N110" s="49">
        <v>160.9067</v>
      </c>
      <c r="O110" s="57">
        <v>0.26878635249999999</v>
      </c>
      <c r="P110" s="57">
        <v>0.75514246380000005</v>
      </c>
      <c r="Q110" s="5">
        <v>0</v>
      </c>
      <c r="R110" s="49">
        <v>0</v>
      </c>
      <c r="S110" s="49">
        <v>0</v>
      </c>
      <c r="T110" s="5">
        <v>313</v>
      </c>
      <c r="U110" s="5">
        <f t="shared" si="6"/>
        <v>7825</v>
      </c>
      <c r="V110" s="5">
        <v>25</v>
      </c>
      <c r="W110" s="49">
        <v>3544.22</v>
      </c>
      <c r="X110" s="49">
        <v>22.026553280000002</v>
      </c>
      <c r="Y110" s="49">
        <v>3326.2562419999999</v>
      </c>
      <c r="Z110" s="49">
        <v>217.96375789999999</v>
      </c>
      <c r="AA110" s="49">
        <v>0</v>
      </c>
      <c r="AB110" s="49">
        <v>0</v>
      </c>
      <c r="AC110" s="4" t="str">
        <f t="shared" si="4"/>
        <v>Dumper</v>
      </c>
      <c r="AD110" s="4" t="str">
        <f t="shared" si="5"/>
        <v>Operational</v>
      </c>
      <c r="AE110" s="4" t="str">
        <f t="shared" si="7"/>
        <v>Individual</v>
      </c>
    </row>
    <row r="111" spans="1:31" ht="13.5" customHeight="1" x14ac:dyDescent="0.35">
      <c r="A111" s="3">
        <v>41</v>
      </c>
      <c r="B111" s="3" t="s">
        <v>101</v>
      </c>
      <c r="C111" s="3" t="s">
        <v>142</v>
      </c>
      <c r="D111" s="52">
        <v>744.00040000000001</v>
      </c>
      <c r="E111" s="48">
        <v>545.81089999999995</v>
      </c>
      <c r="F111" s="48">
        <v>452.41109999999901</v>
      </c>
      <c r="G111" s="48">
        <v>447.62119999999999</v>
      </c>
      <c r="H111" s="48">
        <v>198.18950000000001</v>
      </c>
      <c r="I111" s="48">
        <v>23.948499999999999</v>
      </c>
      <c r="J111" s="48">
        <v>93.399799999999999</v>
      </c>
      <c r="K111" s="48">
        <v>5.5035999999999996</v>
      </c>
      <c r="L111" s="48">
        <v>447.62119999999999</v>
      </c>
      <c r="M111" s="48">
        <v>29.452100000000002</v>
      </c>
      <c r="N111" s="48">
        <v>477.07330000000002</v>
      </c>
      <c r="O111" s="56">
        <v>0.73361640669999995</v>
      </c>
      <c r="P111" s="56">
        <v>0.82010307969999996</v>
      </c>
      <c r="Q111" s="3">
        <v>0</v>
      </c>
      <c r="R111" s="48">
        <v>0</v>
      </c>
      <c r="S111" s="48">
        <v>0</v>
      </c>
      <c r="T111" s="3">
        <v>901</v>
      </c>
      <c r="U111" s="3">
        <f t="shared" si="6"/>
        <v>22525</v>
      </c>
      <c r="V111" s="3">
        <v>25</v>
      </c>
      <c r="W111" s="48">
        <v>6412.7199999999903</v>
      </c>
      <c r="X111" s="48">
        <v>13.44179186</v>
      </c>
      <c r="Y111" s="48">
        <v>6016.8310019999999</v>
      </c>
      <c r="Z111" s="48">
        <v>395.88899800000002</v>
      </c>
      <c r="AA111" s="48">
        <v>0</v>
      </c>
      <c r="AB111" s="48">
        <v>0</v>
      </c>
      <c r="AC111" s="4" t="str">
        <f t="shared" si="4"/>
        <v>Dumper</v>
      </c>
      <c r="AD111" s="4" t="str">
        <f t="shared" si="5"/>
        <v>Operational</v>
      </c>
      <c r="AE111" s="4" t="str">
        <f t="shared" si="7"/>
        <v>Individual</v>
      </c>
    </row>
    <row r="112" spans="1:31" ht="13.5" customHeight="1" x14ac:dyDescent="0.35">
      <c r="A112" s="5">
        <v>42</v>
      </c>
      <c r="B112" s="5" t="s">
        <v>101</v>
      </c>
      <c r="C112" s="5" t="s">
        <v>143</v>
      </c>
      <c r="D112" s="53">
        <v>744.00029999999902</v>
      </c>
      <c r="E112" s="49">
        <v>553.85329999999999</v>
      </c>
      <c r="F112" s="49">
        <v>485.94380000000001</v>
      </c>
      <c r="G112" s="49">
        <v>454.57679999999903</v>
      </c>
      <c r="H112" s="49">
        <v>190.14699999999999</v>
      </c>
      <c r="I112" s="49">
        <v>23.424800000000001</v>
      </c>
      <c r="J112" s="49">
        <v>67.909499999999994</v>
      </c>
      <c r="K112" s="49">
        <v>5.7127999999999997</v>
      </c>
      <c r="L112" s="49">
        <v>454.57679999999903</v>
      </c>
      <c r="M112" s="49">
        <v>29.137599999999999</v>
      </c>
      <c r="N112" s="49">
        <v>483.71439999999899</v>
      </c>
      <c r="O112" s="57">
        <v>0.74442617830000002</v>
      </c>
      <c r="P112" s="57">
        <v>0.82075307669999997</v>
      </c>
      <c r="Q112" s="5">
        <v>0</v>
      </c>
      <c r="R112" s="49">
        <v>0</v>
      </c>
      <c r="S112" s="49">
        <v>0</v>
      </c>
      <c r="T112" s="5">
        <v>878</v>
      </c>
      <c r="U112" s="5">
        <f t="shared" si="6"/>
        <v>21950</v>
      </c>
      <c r="V112" s="5">
        <v>25</v>
      </c>
      <c r="W112" s="49">
        <v>6605.11</v>
      </c>
      <c r="X112" s="49">
        <v>13.65497905</v>
      </c>
      <c r="Y112" s="49">
        <v>6207.2366819999997</v>
      </c>
      <c r="Z112" s="49">
        <v>397.87331769999997</v>
      </c>
      <c r="AA112" s="49">
        <v>0</v>
      </c>
      <c r="AB112" s="49">
        <v>0</v>
      </c>
      <c r="AC112" s="4" t="str">
        <f t="shared" si="4"/>
        <v>Dumper</v>
      </c>
      <c r="AD112" s="4" t="str">
        <f t="shared" si="5"/>
        <v>Operational</v>
      </c>
      <c r="AE112" s="4" t="str">
        <f t="shared" si="7"/>
        <v>Individual</v>
      </c>
    </row>
    <row r="113" spans="1:31" ht="13.5" customHeight="1" x14ac:dyDescent="0.35">
      <c r="A113" s="3">
        <v>43</v>
      </c>
      <c r="B113" s="3" t="s">
        <v>101</v>
      </c>
      <c r="C113" s="3" t="s">
        <v>144</v>
      </c>
      <c r="D113" s="52">
        <v>744.00029999999902</v>
      </c>
      <c r="E113" s="48">
        <v>449.64600000000002</v>
      </c>
      <c r="F113" s="48">
        <v>381.43310000000002</v>
      </c>
      <c r="G113" s="48">
        <v>380.9479</v>
      </c>
      <c r="H113" s="48">
        <v>294.354299999999</v>
      </c>
      <c r="I113" s="48">
        <v>40.642000000000003</v>
      </c>
      <c r="J113" s="48">
        <v>68.212900000000005</v>
      </c>
      <c r="K113" s="48">
        <v>10.681999999999899</v>
      </c>
      <c r="L113" s="48">
        <v>380.9479</v>
      </c>
      <c r="M113" s="48">
        <v>51.323999999999998</v>
      </c>
      <c r="N113" s="48">
        <v>432.27190000000002</v>
      </c>
      <c r="O113" s="56">
        <v>0.60436265950000001</v>
      </c>
      <c r="P113" s="56">
        <v>0.84721736660000002</v>
      </c>
      <c r="Q113" s="3">
        <v>0</v>
      </c>
      <c r="R113" s="48">
        <v>0</v>
      </c>
      <c r="S113" s="48">
        <v>0</v>
      </c>
      <c r="T113" s="3">
        <v>902</v>
      </c>
      <c r="U113" s="3">
        <f t="shared" si="6"/>
        <v>22550</v>
      </c>
      <c r="V113" s="3">
        <v>25</v>
      </c>
      <c r="W113" s="48">
        <v>6959.2</v>
      </c>
      <c r="X113" s="48">
        <v>16.099126500000001</v>
      </c>
      <c r="Y113" s="48">
        <v>6132.9284319999997</v>
      </c>
      <c r="Z113" s="48">
        <v>826.27156839999998</v>
      </c>
      <c r="AA113" s="48">
        <v>0</v>
      </c>
      <c r="AB113" s="48">
        <v>0</v>
      </c>
      <c r="AC113" s="4" t="str">
        <f t="shared" si="4"/>
        <v>Dumper</v>
      </c>
      <c r="AD113" s="4" t="str">
        <f t="shared" si="5"/>
        <v>Operational</v>
      </c>
      <c r="AE113" s="4" t="str">
        <f t="shared" si="7"/>
        <v>Individual</v>
      </c>
    </row>
    <row r="114" spans="1:31" ht="13.5" customHeight="1" x14ac:dyDescent="0.35">
      <c r="A114" s="5">
        <v>44</v>
      </c>
      <c r="B114" s="5" t="s">
        <v>101</v>
      </c>
      <c r="C114" s="5" t="s">
        <v>145</v>
      </c>
      <c r="D114" s="53">
        <v>744.00030000000004</v>
      </c>
      <c r="E114" s="49">
        <v>555.68799999999999</v>
      </c>
      <c r="F114" s="49">
        <v>460.83159999999998</v>
      </c>
      <c r="G114" s="49">
        <v>453.79070000000002</v>
      </c>
      <c r="H114" s="49">
        <v>188.31229999999999</v>
      </c>
      <c r="I114" s="49">
        <v>19.752599999999902</v>
      </c>
      <c r="J114" s="49">
        <v>94.856399999999894</v>
      </c>
      <c r="K114" s="49">
        <v>8.1422999999999899</v>
      </c>
      <c r="L114" s="49">
        <v>453.79070000000002</v>
      </c>
      <c r="M114" s="49">
        <v>27.8948999999999</v>
      </c>
      <c r="N114" s="49">
        <v>481.68560000000002</v>
      </c>
      <c r="O114" s="57">
        <v>0.74689217200000002</v>
      </c>
      <c r="P114" s="57">
        <v>0.81662857570000003</v>
      </c>
      <c r="Q114" s="5">
        <v>0</v>
      </c>
      <c r="R114" s="49">
        <v>0</v>
      </c>
      <c r="S114" s="49">
        <v>0</v>
      </c>
      <c r="T114" s="5">
        <v>975</v>
      </c>
      <c r="U114" s="5">
        <f t="shared" si="6"/>
        <v>24375</v>
      </c>
      <c r="V114" s="5">
        <v>25</v>
      </c>
      <c r="W114" s="49">
        <v>6082.4099999999899</v>
      </c>
      <c r="X114" s="49">
        <v>12.62734448</v>
      </c>
      <c r="Y114" s="49">
        <v>5730.1714890000003</v>
      </c>
      <c r="Z114" s="49">
        <v>352.23851139999999</v>
      </c>
      <c r="AA114" s="49">
        <v>0</v>
      </c>
      <c r="AB114" s="49">
        <v>0</v>
      </c>
      <c r="AC114" s="4" t="str">
        <f t="shared" si="4"/>
        <v>Dumper</v>
      </c>
      <c r="AD114" s="4" t="str">
        <f t="shared" si="5"/>
        <v>Operational</v>
      </c>
      <c r="AE114" s="4" t="str">
        <f t="shared" si="7"/>
        <v>Individual</v>
      </c>
    </row>
    <row r="115" spans="1:31" ht="13.5" customHeight="1" x14ac:dyDescent="0.35">
      <c r="A115" s="3">
        <v>45</v>
      </c>
      <c r="B115" s="3" t="s">
        <v>101</v>
      </c>
      <c r="C115" s="3" t="s">
        <v>146</v>
      </c>
      <c r="D115" s="52">
        <v>744.00029999999902</v>
      </c>
      <c r="E115" s="48">
        <v>559.65009999999904</v>
      </c>
      <c r="F115" s="48">
        <v>431.01729999999901</v>
      </c>
      <c r="G115" s="48">
        <v>424.92189999999903</v>
      </c>
      <c r="H115" s="48">
        <v>184.3502</v>
      </c>
      <c r="I115" s="48">
        <v>19.829799999999899</v>
      </c>
      <c r="J115" s="48">
        <v>128.63279999999901</v>
      </c>
      <c r="K115" s="48">
        <v>3.2326000000000001</v>
      </c>
      <c r="L115" s="48">
        <v>424.92189999999903</v>
      </c>
      <c r="M115" s="48">
        <v>23.062399999999901</v>
      </c>
      <c r="N115" s="48">
        <v>447.984299999999</v>
      </c>
      <c r="O115" s="56">
        <v>0.75221757300000003</v>
      </c>
      <c r="P115" s="56">
        <v>0.75926351130000003</v>
      </c>
      <c r="Q115" s="3">
        <v>274</v>
      </c>
      <c r="R115" s="48">
        <v>10688.38</v>
      </c>
      <c r="S115" s="48">
        <v>39.008686130000001</v>
      </c>
      <c r="T115" s="3">
        <v>740</v>
      </c>
      <c r="U115" s="3">
        <f t="shared" si="6"/>
        <v>18500</v>
      </c>
      <c r="V115" s="3">
        <v>25</v>
      </c>
      <c r="W115" s="48">
        <v>6617.91</v>
      </c>
      <c r="X115" s="48">
        <v>14.772638239999999</v>
      </c>
      <c r="Y115" s="48">
        <v>6277.2175079999997</v>
      </c>
      <c r="Z115" s="48">
        <v>340.69249209999998</v>
      </c>
      <c r="AA115" s="48">
        <v>6.5265384620000004</v>
      </c>
      <c r="AB115" s="48">
        <v>0.22673097989999999</v>
      </c>
      <c r="AC115" s="4" t="str">
        <f t="shared" si="4"/>
        <v>Dumper</v>
      </c>
      <c r="AD115" s="4" t="str">
        <f t="shared" si="5"/>
        <v>Operational</v>
      </c>
      <c r="AE115" s="4" t="str">
        <f t="shared" si="7"/>
        <v>Individual</v>
      </c>
    </row>
    <row r="116" spans="1:31" ht="13.5" customHeight="1" x14ac:dyDescent="0.35">
      <c r="A116" s="5">
        <v>46</v>
      </c>
      <c r="B116" s="5" t="s">
        <v>101</v>
      </c>
      <c r="C116" s="5" t="s">
        <v>147</v>
      </c>
      <c r="D116" s="53">
        <v>744.00019999999904</v>
      </c>
      <c r="E116" s="49">
        <v>390.39559999999898</v>
      </c>
      <c r="F116" s="49">
        <v>331.72359999999901</v>
      </c>
      <c r="G116" s="49">
        <v>328.60399999999902</v>
      </c>
      <c r="H116" s="49">
        <v>353.60459999999898</v>
      </c>
      <c r="I116" s="49">
        <v>15.64</v>
      </c>
      <c r="J116" s="49">
        <v>58.671999999999898</v>
      </c>
      <c r="K116" s="49">
        <v>5.0661999999999896</v>
      </c>
      <c r="L116" s="49">
        <v>328.60399999999902</v>
      </c>
      <c r="M116" s="49">
        <v>20.706199999999999</v>
      </c>
      <c r="N116" s="49">
        <v>349.31019999999899</v>
      </c>
      <c r="O116" s="57">
        <v>0.52472512780000002</v>
      </c>
      <c r="P116" s="57">
        <v>0.84172055219999997</v>
      </c>
      <c r="Q116" s="5">
        <v>460</v>
      </c>
      <c r="R116" s="49">
        <v>18135.36</v>
      </c>
      <c r="S116" s="49">
        <v>39.424695649999997</v>
      </c>
      <c r="T116" s="5">
        <v>271</v>
      </c>
      <c r="U116" s="5">
        <f t="shared" si="6"/>
        <v>6775</v>
      </c>
      <c r="V116" s="5">
        <v>25</v>
      </c>
      <c r="W116" s="49">
        <v>5119.8999999999996</v>
      </c>
      <c r="X116" s="49">
        <v>14.65717291</v>
      </c>
      <c r="Y116" s="49">
        <v>4816.4056460000002</v>
      </c>
      <c r="Z116" s="49">
        <v>303.49435369999998</v>
      </c>
      <c r="AA116" s="49">
        <v>7.003967168</v>
      </c>
      <c r="AB116" s="49">
        <v>0.20553295899999999</v>
      </c>
      <c r="AC116" s="4" t="str">
        <f t="shared" si="4"/>
        <v>Dumper</v>
      </c>
      <c r="AD116" s="4" t="str">
        <f t="shared" si="5"/>
        <v>Operational</v>
      </c>
      <c r="AE116" s="4" t="str">
        <f t="shared" si="7"/>
        <v>Individual</v>
      </c>
    </row>
    <row r="117" spans="1:31" ht="13.5" customHeight="1" x14ac:dyDescent="0.35">
      <c r="A117" s="3">
        <v>47</v>
      </c>
      <c r="B117" s="3" t="s">
        <v>101</v>
      </c>
      <c r="C117" s="3" t="s">
        <v>148</v>
      </c>
      <c r="D117" s="52">
        <v>744.00049999999896</v>
      </c>
      <c r="E117" s="48">
        <v>571.14599999999905</v>
      </c>
      <c r="F117" s="48">
        <v>478.25319999999903</v>
      </c>
      <c r="G117" s="48">
        <v>467.68920000000003</v>
      </c>
      <c r="H117" s="48">
        <v>172.85449999999901</v>
      </c>
      <c r="I117" s="48">
        <v>18.395499999999998</v>
      </c>
      <c r="J117" s="48">
        <v>92.892799999999895</v>
      </c>
      <c r="K117" s="48">
        <v>5.7092999999999998</v>
      </c>
      <c r="L117" s="48">
        <v>467.68920000000003</v>
      </c>
      <c r="M117" s="48">
        <v>24.104799999999901</v>
      </c>
      <c r="N117" s="48">
        <v>491.79399999999998</v>
      </c>
      <c r="O117" s="56">
        <v>0.76766883890000004</v>
      </c>
      <c r="P117" s="56">
        <v>0.81886102679999995</v>
      </c>
      <c r="Q117" s="3">
        <v>0</v>
      </c>
      <c r="R117" s="48">
        <v>0</v>
      </c>
      <c r="S117" s="48">
        <v>0</v>
      </c>
      <c r="T117" s="3">
        <v>684</v>
      </c>
      <c r="U117" s="3">
        <f t="shared" si="6"/>
        <v>17100</v>
      </c>
      <c r="V117" s="3">
        <v>25</v>
      </c>
      <c r="W117" s="48">
        <v>6580.93</v>
      </c>
      <c r="X117" s="48">
        <v>13.3814768</v>
      </c>
      <c r="Y117" s="48">
        <v>6258.3721779999996</v>
      </c>
      <c r="Z117" s="48">
        <v>322.55782190000002</v>
      </c>
      <c r="AA117" s="48">
        <v>0</v>
      </c>
      <c r="AB117" s="48">
        <v>0</v>
      </c>
      <c r="AC117" s="4" t="str">
        <f t="shared" si="4"/>
        <v>Dumper</v>
      </c>
      <c r="AD117" s="4" t="str">
        <f t="shared" si="5"/>
        <v>Operational</v>
      </c>
      <c r="AE117" s="4" t="str">
        <f t="shared" si="7"/>
        <v>Individual</v>
      </c>
    </row>
    <row r="118" spans="1:31" ht="13.5" customHeight="1" x14ac:dyDescent="0.35">
      <c r="A118" s="5">
        <v>48</v>
      </c>
      <c r="B118" s="5" t="s">
        <v>101</v>
      </c>
      <c r="C118" s="5" t="s">
        <v>149</v>
      </c>
      <c r="D118" s="53">
        <v>744.00070000000005</v>
      </c>
      <c r="E118" s="49">
        <v>272.43319999999898</v>
      </c>
      <c r="F118" s="49">
        <v>240.72379999999899</v>
      </c>
      <c r="G118" s="49">
        <v>213.19209999999899</v>
      </c>
      <c r="H118" s="49">
        <v>471.5675</v>
      </c>
      <c r="I118" s="49">
        <v>10.4939999999999</v>
      </c>
      <c r="J118" s="49">
        <v>31.709399999999899</v>
      </c>
      <c r="K118" s="49">
        <v>5.6797999999999904</v>
      </c>
      <c r="L118" s="49">
        <v>213.19209999999899</v>
      </c>
      <c r="M118" s="49">
        <v>16.1737999999999</v>
      </c>
      <c r="N118" s="49">
        <v>229.36589999999899</v>
      </c>
      <c r="O118" s="57">
        <v>0.36617331139999998</v>
      </c>
      <c r="P118" s="57">
        <v>0.78254816230000002</v>
      </c>
      <c r="Q118" s="5">
        <v>0</v>
      </c>
      <c r="R118" s="49">
        <v>0</v>
      </c>
      <c r="S118" s="49">
        <v>0</v>
      </c>
      <c r="T118" s="5">
        <v>738</v>
      </c>
      <c r="U118" s="5">
        <f t="shared" si="6"/>
        <v>18450</v>
      </c>
      <c r="V118" s="5">
        <v>25</v>
      </c>
      <c r="W118" s="49">
        <v>3459.18</v>
      </c>
      <c r="X118" s="49">
        <v>15.08149206</v>
      </c>
      <c r="Y118" s="49">
        <v>3215.2549640000002</v>
      </c>
      <c r="Z118" s="49">
        <v>243.92503629999999</v>
      </c>
      <c r="AA118" s="49">
        <v>0</v>
      </c>
      <c r="AB118" s="49">
        <v>0</v>
      </c>
      <c r="AC118" s="4" t="str">
        <f t="shared" si="4"/>
        <v>Dumper</v>
      </c>
      <c r="AD118" s="4" t="str">
        <f t="shared" si="5"/>
        <v>Operational</v>
      </c>
      <c r="AE118" s="4" t="str">
        <f t="shared" si="7"/>
        <v>Individual</v>
      </c>
    </row>
    <row r="119" spans="1:31" ht="13.5" customHeight="1" x14ac:dyDescent="0.35">
      <c r="A119" s="3">
        <v>49</v>
      </c>
      <c r="B119" s="3" t="s">
        <v>101</v>
      </c>
      <c r="C119" s="3" t="s">
        <v>150</v>
      </c>
      <c r="D119" s="52">
        <v>744</v>
      </c>
      <c r="E119" s="48">
        <v>633.79</v>
      </c>
      <c r="F119" s="48">
        <v>491.50049999999999</v>
      </c>
      <c r="G119" s="48">
        <v>484.77460000000002</v>
      </c>
      <c r="H119" s="48">
        <v>110.21</v>
      </c>
      <c r="I119" s="48">
        <v>19.529</v>
      </c>
      <c r="J119" s="48">
        <v>142.2895</v>
      </c>
      <c r="K119" s="48">
        <v>6.9948999999999897</v>
      </c>
      <c r="L119" s="48">
        <v>484.77460000000002</v>
      </c>
      <c r="M119" s="48">
        <v>26.523899999999902</v>
      </c>
      <c r="N119" s="48">
        <v>511.29849999999999</v>
      </c>
      <c r="O119" s="56">
        <v>0.8518682796</v>
      </c>
      <c r="P119" s="56">
        <v>0.76488205870000003</v>
      </c>
      <c r="Q119" s="3">
        <v>0</v>
      </c>
      <c r="R119" s="48">
        <v>0</v>
      </c>
      <c r="S119" s="48">
        <v>0</v>
      </c>
      <c r="T119" s="3">
        <v>696</v>
      </c>
      <c r="U119" s="3">
        <f t="shared" si="6"/>
        <v>17400</v>
      </c>
      <c r="V119" s="3">
        <v>25</v>
      </c>
      <c r="W119" s="48">
        <v>6638.17</v>
      </c>
      <c r="X119" s="48">
        <v>12.982963959999999</v>
      </c>
      <c r="Y119" s="48">
        <v>6293.811162</v>
      </c>
      <c r="Z119" s="48">
        <v>344.35883790000003</v>
      </c>
      <c r="AA119" s="48">
        <v>0</v>
      </c>
      <c r="AB119" s="48">
        <v>0</v>
      </c>
      <c r="AC119" s="4" t="str">
        <f t="shared" si="4"/>
        <v>Dumper</v>
      </c>
      <c r="AD119" s="4" t="str">
        <f t="shared" si="5"/>
        <v>Operational</v>
      </c>
      <c r="AE119" s="4" t="str">
        <f t="shared" si="7"/>
        <v>Individual</v>
      </c>
    </row>
    <row r="120" spans="1:31" ht="13.5" customHeight="1" x14ac:dyDescent="0.35">
      <c r="A120" s="5">
        <v>50</v>
      </c>
      <c r="B120" s="5" t="s">
        <v>101</v>
      </c>
      <c r="C120" s="5" t="s">
        <v>151</v>
      </c>
      <c r="D120" s="53">
        <v>744.00029999999902</v>
      </c>
      <c r="E120" s="49">
        <v>521.52699999999902</v>
      </c>
      <c r="F120" s="49">
        <v>458.21109999999902</v>
      </c>
      <c r="G120" s="49">
        <v>427.04919999999902</v>
      </c>
      <c r="H120" s="49">
        <v>222.473299999999</v>
      </c>
      <c r="I120" s="49">
        <v>20.487399999999901</v>
      </c>
      <c r="J120" s="49">
        <v>63.315899999999999</v>
      </c>
      <c r="K120" s="49">
        <v>3.7084999999999999</v>
      </c>
      <c r="L120" s="49">
        <v>427.04919999999902</v>
      </c>
      <c r="M120" s="49">
        <v>24.195899999999899</v>
      </c>
      <c r="N120" s="49">
        <v>451.24509999999901</v>
      </c>
      <c r="O120" s="57">
        <v>0.70097686790000002</v>
      </c>
      <c r="P120" s="57">
        <v>0.81884389489999998</v>
      </c>
      <c r="Q120" s="5">
        <v>0</v>
      </c>
      <c r="R120" s="49">
        <v>0</v>
      </c>
      <c r="S120" s="49">
        <v>0</v>
      </c>
      <c r="T120" s="5">
        <v>908</v>
      </c>
      <c r="U120" s="5">
        <f t="shared" si="6"/>
        <v>22700</v>
      </c>
      <c r="V120" s="5">
        <v>25</v>
      </c>
      <c r="W120" s="49">
        <v>6287.83</v>
      </c>
      <c r="X120" s="49">
        <v>13.93440062</v>
      </c>
      <c r="Y120" s="49">
        <v>5950.6746359999997</v>
      </c>
      <c r="Z120" s="49">
        <v>337.1553639</v>
      </c>
      <c r="AA120" s="49">
        <v>0</v>
      </c>
      <c r="AB120" s="49">
        <v>0</v>
      </c>
      <c r="AC120" s="4" t="str">
        <f t="shared" si="4"/>
        <v>Dumper</v>
      </c>
      <c r="AD120" s="4" t="str">
        <f t="shared" si="5"/>
        <v>Operational</v>
      </c>
      <c r="AE120" s="4" t="str">
        <f t="shared" si="7"/>
        <v>Individual</v>
      </c>
    </row>
    <row r="121" spans="1:31" ht="13.5" customHeight="1" x14ac:dyDescent="0.35">
      <c r="A121" s="3">
        <v>51</v>
      </c>
      <c r="B121" s="3" t="s">
        <v>101</v>
      </c>
      <c r="C121" s="3" t="s">
        <v>152</v>
      </c>
      <c r="D121" s="52">
        <v>744.00039999999899</v>
      </c>
      <c r="E121" s="48">
        <v>560.53549999999996</v>
      </c>
      <c r="F121" s="48">
        <v>468.469999999999</v>
      </c>
      <c r="G121" s="48">
        <v>460.99919999999997</v>
      </c>
      <c r="H121" s="48">
        <v>183.4649</v>
      </c>
      <c r="I121" s="48">
        <v>23.368699999999901</v>
      </c>
      <c r="J121" s="48">
        <v>92.065499999999901</v>
      </c>
      <c r="K121" s="48">
        <v>3.01629999999999</v>
      </c>
      <c r="L121" s="48">
        <v>460.99919999999997</v>
      </c>
      <c r="M121" s="48">
        <v>26.384999999999899</v>
      </c>
      <c r="N121" s="48">
        <v>487.38420000000002</v>
      </c>
      <c r="O121" s="56">
        <v>0.75340752499999997</v>
      </c>
      <c r="P121" s="56">
        <v>0.82242641189999999</v>
      </c>
      <c r="Q121" s="3">
        <v>0</v>
      </c>
      <c r="R121" s="48">
        <v>0</v>
      </c>
      <c r="S121" s="48">
        <v>0</v>
      </c>
      <c r="T121" s="3">
        <v>919</v>
      </c>
      <c r="U121" s="3">
        <f t="shared" si="6"/>
        <v>22975</v>
      </c>
      <c r="V121" s="3">
        <v>25</v>
      </c>
      <c r="W121" s="48">
        <v>6603.2299999999896</v>
      </c>
      <c r="X121" s="48">
        <v>13.54830542</v>
      </c>
      <c r="Y121" s="48">
        <v>6245.7579610000003</v>
      </c>
      <c r="Z121" s="48">
        <v>357.47203860000002</v>
      </c>
      <c r="AA121" s="48">
        <v>0</v>
      </c>
      <c r="AB121" s="48">
        <v>0</v>
      </c>
      <c r="AC121" s="4" t="str">
        <f t="shared" si="4"/>
        <v>Dumper</v>
      </c>
      <c r="AD121" s="4" t="str">
        <f t="shared" si="5"/>
        <v>Operational</v>
      </c>
      <c r="AE121" s="4" t="str">
        <f t="shared" si="7"/>
        <v>Individual</v>
      </c>
    </row>
    <row r="122" spans="1:31" ht="13.5" customHeight="1" x14ac:dyDescent="0.35">
      <c r="A122" s="5">
        <v>52</v>
      </c>
      <c r="B122" s="5" t="s">
        <v>101</v>
      </c>
      <c r="C122" s="5" t="s">
        <v>153</v>
      </c>
      <c r="D122" s="53">
        <v>743.99879999999996</v>
      </c>
      <c r="E122" s="49">
        <v>526.59590000000003</v>
      </c>
      <c r="F122" s="49">
        <v>459.65359999999998</v>
      </c>
      <c r="G122" s="49">
        <v>450.33199999999999</v>
      </c>
      <c r="H122" s="49">
        <v>217.40289999999999</v>
      </c>
      <c r="I122" s="49">
        <v>21.0002999999999</v>
      </c>
      <c r="J122" s="49">
        <v>66.942300000000003</v>
      </c>
      <c r="K122" s="49">
        <v>8.7059999999999995</v>
      </c>
      <c r="L122" s="49">
        <v>450.33199999999999</v>
      </c>
      <c r="M122" s="49">
        <v>29.706299999999899</v>
      </c>
      <c r="N122" s="49">
        <v>480.03829999999999</v>
      </c>
      <c r="O122" s="57">
        <v>0.70779132980000004</v>
      </c>
      <c r="P122" s="57">
        <v>0.85517566700000003</v>
      </c>
      <c r="Q122" s="5">
        <v>0</v>
      </c>
      <c r="R122" s="49">
        <v>0</v>
      </c>
      <c r="S122" s="49">
        <v>0</v>
      </c>
      <c r="T122" s="5">
        <v>895</v>
      </c>
      <c r="U122" s="5">
        <f t="shared" si="6"/>
        <v>22375</v>
      </c>
      <c r="V122" s="5">
        <v>25</v>
      </c>
      <c r="W122" s="49">
        <v>6078.9199999999901</v>
      </c>
      <c r="X122" s="49">
        <v>12.66340623</v>
      </c>
      <c r="Y122" s="49">
        <v>5702.7370549999996</v>
      </c>
      <c r="Z122" s="49">
        <v>376.18294459999998</v>
      </c>
      <c r="AA122" s="49">
        <v>0</v>
      </c>
      <c r="AB122" s="49">
        <v>0</v>
      </c>
      <c r="AC122" s="4" t="str">
        <f t="shared" si="4"/>
        <v>Dumper</v>
      </c>
      <c r="AD122" s="4" t="str">
        <f t="shared" si="5"/>
        <v>Operational</v>
      </c>
      <c r="AE122" s="4" t="str">
        <f t="shared" si="7"/>
        <v>Individual</v>
      </c>
    </row>
    <row r="123" spans="1:31" ht="13.5" customHeight="1" x14ac:dyDescent="0.35">
      <c r="A123" s="3">
        <v>53</v>
      </c>
      <c r="B123" s="3" t="s">
        <v>101</v>
      </c>
      <c r="C123" s="3" t="s">
        <v>154</v>
      </c>
      <c r="D123" s="52">
        <v>743.99969999999996</v>
      </c>
      <c r="E123" s="48">
        <v>412.43299999999999</v>
      </c>
      <c r="F123" s="48">
        <v>337.52280000000002</v>
      </c>
      <c r="G123" s="48">
        <v>331.87569999999999</v>
      </c>
      <c r="H123" s="48">
        <v>331.566699999999</v>
      </c>
      <c r="I123" s="48">
        <v>20.304099999999899</v>
      </c>
      <c r="J123" s="48">
        <v>74.910200000000003</v>
      </c>
      <c r="K123" s="48">
        <v>3.6825999999999999</v>
      </c>
      <c r="L123" s="48">
        <v>331.87569999999999</v>
      </c>
      <c r="M123" s="48">
        <v>23.9866999999999</v>
      </c>
      <c r="N123" s="48">
        <v>355.86239999999998</v>
      </c>
      <c r="O123" s="56">
        <v>0.55434565359999999</v>
      </c>
      <c r="P123" s="56">
        <v>0.80467785069999997</v>
      </c>
      <c r="Q123" s="3">
        <v>0</v>
      </c>
      <c r="R123" s="48">
        <v>0</v>
      </c>
      <c r="S123" s="48">
        <v>0</v>
      </c>
      <c r="T123" s="3">
        <v>872</v>
      </c>
      <c r="U123" s="3">
        <f t="shared" si="6"/>
        <v>21800</v>
      </c>
      <c r="V123" s="3">
        <v>25</v>
      </c>
      <c r="W123" s="48">
        <v>5865.65</v>
      </c>
      <c r="X123" s="48">
        <v>16.482915869999999</v>
      </c>
      <c r="Y123" s="48">
        <v>5470.2792419999996</v>
      </c>
      <c r="Z123" s="48">
        <v>395.37075809999999</v>
      </c>
      <c r="AA123" s="48">
        <v>0</v>
      </c>
      <c r="AB123" s="48">
        <v>0</v>
      </c>
      <c r="AC123" s="4" t="str">
        <f t="shared" si="4"/>
        <v>Dumper</v>
      </c>
      <c r="AD123" s="4" t="str">
        <f t="shared" si="5"/>
        <v>Operational</v>
      </c>
      <c r="AE123" s="4" t="str">
        <f t="shared" si="7"/>
        <v>Individual</v>
      </c>
    </row>
    <row r="124" spans="1:31" ht="13.5" customHeight="1" x14ac:dyDescent="0.35">
      <c r="A124" s="5">
        <v>54</v>
      </c>
      <c r="B124" s="5" t="s">
        <v>101</v>
      </c>
      <c r="C124" s="5" t="s">
        <v>155</v>
      </c>
      <c r="D124" s="53">
        <v>743.99900000000002</v>
      </c>
      <c r="E124" s="49">
        <v>531.23350000000005</v>
      </c>
      <c r="F124" s="49">
        <v>438.79730000000001</v>
      </c>
      <c r="G124" s="49">
        <v>431.02949999999998</v>
      </c>
      <c r="H124" s="49">
        <v>212.7655</v>
      </c>
      <c r="I124" s="49">
        <v>32.391599999999997</v>
      </c>
      <c r="J124" s="49">
        <v>92.436199999999999</v>
      </c>
      <c r="K124" s="49">
        <v>5.8602999999999899</v>
      </c>
      <c r="L124" s="49">
        <v>431.02949999999998</v>
      </c>
      <c r="M124" s="49">
        <v>38.2518999999999</v>
      </c>
      <c r="N124" s="49">
        <v>469.28140000000002</v>
      </c>
      <c r="O124" s="57">
        <v>0.71402448119999995</v>
      </c>
      <c r="P124" s="57">
        <v>0.81137484739999999</v>
      </c>
      <c r="Q124" s="5">
        <v>0</v>
      </c>
      <c r="R124" s="49">
        <v>0</v>
      </c>
      <c r="S124" s="49">
        <v>0</v>
      </c>
      <c r="T124" s="5">
        <v>952</v>
      </c>
      <c r="U124" s="5">
        <f t="shared" si="6"/>
        <v>23800</v>
      </c>
      <c r="V124" s="5">
        <v>25</v>
      </c>
      <c r="W124" s="49">
        <v>6367.26</v>
      </c>
      <c r="X124" s="49">
        <v>13.56810647</v>
      </c>
      <c r="Y124" s="49">
        <v>5848.254148</v>
      </c>
      <c r="Z124" s="49">
        <v>519.00585190000004</v>
      </c>
      <c r="AA124" s="49">
        <v>0</v>
      </c>
      <c r="AB124" s="49">
        <v>0</v>
      </c>
      <c r="AC124" s="4" t="str">
        <f t="shared" si="4"/>
        <v>Dumper</v>
      </c>
      <c r="AD124" s="4" t="str">
        <f t="shared" si="5"/>
        <v>Operational</v>
      </c>
      <c r="AE124" s="4" t="str">
        <f t="shared" si="7"/>
        <v>Individual</v>
      </c>
    </row>
    <row r="125" spans="1:31" ht="13.5" customHeight="1" x14ac:dyDescent="0.35">
      <c r="A125" s="3">
        <v>55</v>
      </c>
      <c r="B125" s="3" t="s">
        <v>101</v>
      </c>
      <c r="C125" s="3" t="s">
        <v>156</v>
      </c>
      <c r="D125" s="52">
        <v>744.00030000000004</v>
      </c>
      <c r="E125" s="48">
        <v>523.2192</v>
      </c>
      <c r="F125" s="48">
        <v>453.1071</v>
      </c>
      <c r="G125" s="48">
        <v>443.8537</v>
      </c>
      <c r="H125" s="48">
        <v>220.78110000000001</v>
      </c>
      <c r="I125" s="48">
        <v>17.519299999999902</v>
      </c>
      <c r="J125" s="48">
        <v>70.112099999999998</v>
      </c>
      <c r="K125" s="48">
        <v>4.5065999999999997</v>
      </c>
      <c r="L125" s="48">
        <v>443.8537</v>
      </c>
      <c r="M125" s="48">
        <v>22.025899999999901</v>
      </c>
      <c r="N125" s="48">
        <v>465.87959999999998</v>
      </c>
      <c r="O125" s="56">
        <v>0.70325132930000001</v>
      </c>
      <c r="P125" s="56">
        <v>0.84831309710000002</v>
      </c>
      <c r="Q125" s="3">
        <v>0</v>
      </c>
      <c r="R125" s="48">
        <v>0</v>
      </c>
      <c r="S125" s="48">
        <v>0</v>
      </c>
      <c r="T125" s="3">
        <v>874</v>
      </c>
      <c r="U125" s="3">
        <f t="shared" si="6"/>
        <v>21850</v>
      </c>
      <c r="V125" s="3">
        <v>25</v>
      </c>
      <c r="W125" s="48">
        <v>6607.28999999999</v>
      </c>
      <c r="X125" s="48">
        <v>14.1823982</v>
      </c>
      <c r="Y125" s="48">
        <v>6294.9099159999996</v>
      </c>
      <c r="Z125" s="48">
        <v>312.38008450000001</v>
      </c>
      <c r="AA125" s="48">
        <v>0</v>
      </c>
      <c r="AB125" s="48">
        <v>0</v>
      </c>
      <c r="AC125" s="4" t="str">
        <f t="shared" si="4"/>
        <v>Dumper</v>
      </c>
      <c r="AD125" s="4" t="str">
        <f t="shared" si="5"/>
        <v>Operational</v>
      </c>
      <c r="AE125" s="4" t="str">
        <f t="shared" si="7"/>
        <v>Individual</v>
      </c>
    </row>
    <row r="126" spans="1:31" ht="13.5" customHeight="1" x14ac:dyDescent="0.35">
      <c r="A126" s="5">
        <v>56</v>
      </c>
      <c r="B126" s="5" t="s">
        <v>101</v>
      </c>
      <c r="C126" s="5" t="s">
        <v>157</v>
      </c>
      <c r="D126" s="53">
        <v>744.00030000000004</v>
      </c>
      <c r="E126" s="49">
        <v>556.63070000000005</v>
      </c>
      <c r="F126" s="49">
        <v>460.72629999999998</v>
      </c>
      <c r="G126" s="49">
        <v>452.797899999999</v>
      </c>
      <c r="H126" s="49">
        <v>187.36959999999999</v>
      </c>
      <c r="I126" s="49">
        <v>22.991899999999902</v>
      </c>
      <c r="J126" s="49">
        <v>95.904399999999995</v>
      </c>
      <c r="K126" s="49">
        <v>10.965399999999899</v>
      </c>
      <c r="L126" s="49">
        <v>452.797899999999</v>
      </c>
      <c r="M126" s="49">
        <v>33.957299999999897</v>
      </c>
      <c r="N126" s="49">
        <v>486.75519999999898</v>
      </c>
      <c r="O126" s="57">
        <v>0.7481592413</v>
      </c>
      <c r="P126" s="57">
        <v>0.81346195960000001</v>
      </c>
      <c r="Q126" s="5">
        <v>0</v>
      </c>
      <c r="R126" s="49">
        <v>0</v>
      </c>
      <c r="S126" s="49">
        <v>0</v>
      </c>
      <c r="T126" s="5">
        <v>960</v>
      </c>
      <c r="U126" s="5">
        <f t="shared" si="6"/>
        <v>24000</v>
      </c>
      <c r="V126" s="5">
        <v>25</v>
      </c>
      <c r="W126" s="49">
        <v>5999.6499999999896</v>
      </c>
      <c r="X126" s="49">
        <v>12.32580566</v>
      </c>
      <c r="Y126" s="49">
        <v>5581.098919</v>
      </c>
      <c r="Z126" s="49">
        <v>418.55108059999998</v>
      </c>
      <c r="AA126" s="49">
        <v>0</v>
      </c>
      <c r="AB126" s="49">
        <v>0</v>
      </c>
      <c r="AC126" s="4" t="str">
        <f t="shared" si="4"/>
        <v>Dumper</v>
      </c>
      <c r="AD126" s="4" t="str">
        <f t="shared" si="5"/>
        <v>Operational</v>
      </c>
      <c r="AE126" s="4" t="str">
        <f t="shared" si="7"/>
        <v>Individual</v>
      </c>
    </row>
    <row r="127" spans="1:31" ht="13.5" customHeight="1" x14ac:dyDescent="0.35">
      <c r="A127" s="3">
        <v>57</v>
      </c>
      <c r="B127" s="3" t="s">
        <v>101</v>
      </c>
      <c r="C127" s="3" t="s">
        <v>158</v>
      </c>
      <c r="D127" s="52">
        <v>744.00059999999996</v>
      </c>
      <c r="E127" s="48">
        <v>574.09960000000001</v>
      </c>
      <c r="F127" s="48">
        <v>505.722299999999</v>
      </c>
      <c r="G127" s="48">
        <v>481.88069999999999</v>
      </c>
      <c r="H127" s="48">
        <v>169.90099999999899</v>
      </c>
      <c r="I127" s="48">
        <v>30.089700000000001</v>
      </c>
      <c r="J127" s="48">
        <v>68.377299999999906</v>
      </c>
      <c r="K127" s="48">
        <v>48.121400000000001</v>
      </c>
      <c r="L127" s="48">
        <v>481.88069999999999</v>
      </c>
      <c r="M127" s="48">
        <v>78.211100000000002</v>
      </c>
      <c r="N127" s="48">
        <v>560.09180000000003</v>
      </c>
      <c r="O127" s="56">
        <v>0.77163862500000002</v>
      </c>
      <c r="P127" s="56">
        <v>0.83936776820000003</v>
      </c>
      <c r="Q127" s="3">
        <v>0</v>
      </c>
      <c r="R127" s="48">
        <v>0</v>
      </c>
      <c r="S127" s="48">
        <v>0</v>
      </c>
      <c r="T127" s="3">
        <v>962</v>
      </c>
      <c r="U127" s="3">
        <f t="shared" si="6"/>
        <v>26936</v>
      </c>
      <c r="V127" s="3">
        <v>28</v>
      </c>
      <c r="W127" s="48">
        <v>8273.6200000000008</v>
      </c>
      <c r="X127" s="48">
        <v>14.77189989</v>
      </c>
      <c r="Y127" s="48">
        <v>7118.2934603470303</v>
      </c>
      <c r="Z127" s="48">
        <v>1155.32653965296</v>
      </c>
      <c r="AA127" s="48">
        <v>0</v>
      </c>
      <c r="AB127" s="48">
        <v>0</v>
      </c>
      <c r="AC127" s="4" t="str">
        <f t="shared" si="4"/>
        <v>Dumper</v>
      </c>
      <c r="AD127" s="4" t="str">
        <f t="shared" si="5"/>
        <v>Operational</v>
      </c>
      <c r="AE127" s="4" t="str">
        <f t="shared" si="7"/>
        <v>Individual</v>
      </c>
    </row>
    <row r="128" spans="1:31" ht="13.5" customHeight="1" x14ac:dyDescent="0.35">
      <c r="A128" s="5">
        <v>58</v>
      </c>
      <c r="B128" s="5" t="s">
        <v>101</v>
      </c>
      <c r="C128" s="5" t="s">
        <v>159</v>
      </c>
      <c r="D128" s="53">
        <v>744.00070000000005</v>
      </c>
      <c r="E128" s="49">
        <v>560.66010000000006</v>
      </c>
      <c r="F128" s="49">
        <v>470.94409999999999</v>
      </c>
      <c r="G128" s="49">
        <v>463.01859999999903</v>
      </c>
      <c r="H128" s="49">
        <v>183.34059999999999</v>
      </c>
      <c r="I128" s="49">
        <v>22.4499999999999</v>
      </c>
      <c r="J128" s="49">
        <v>89.715999999999994</v>
      </c>
      <c r="K128" s="49">
        <v>12.2052</v>
      </c>
      <c r="L128" s="49">
        <v>463.01859999999903</v>
      </c>
      <c r="M128" s="49">
        <v>34.655199999999901</v>
      </c>
      <c r="N128" s="49">
        <v>497.67379999999901</v>
      </c>
      <c r="O128" s="57">
        <v>0.75357469420000001</v>
      </c>
      <c r="P128" s="57">
        <v>0.82584546319999996</v>
      </c>
      <c r="Q128" s="5">
        <v>0</v>
      </c>
      <c r="R128" s="49">
        <v>0</v>
      </c>
      <c r="S128" s="49">
        <v>0</v>
      </c>
      <c r="T128" s="5">
        <v>1068</v>
      </c>
      <c r="U128" s="5">
        <f t="shared" si="6"/>
        <v>29904</v>
      </c>
      <c r="V128" s="5">
        <v>28</v>
      </c>
      <c r="W128" s="49">
        <v>7792.98</v>
      </c>
      <c r="X128" s="49">
        <v>15.658811050000001</v>
      </c>
      <c r="Y128" s="49">
        <v>7250.3207709999997</v>
      </c>
      <c r="Z128" s="49">
        <v>542.65922880000005</v>
      </c>
      <c r="AA128" s="49">
        <v>0</v>
      </c>
      <c r="AB128" s="49">
        <v>0</v>
      </c>
      <c r="AC128" s="4" t="str">
        <f t="shared" si="4"/>
        <v>Dumper</v>
      </c>
      <c r="AD128" s="4" t="str">
        <f t="shared" si="5"/>
        <v>Operational</v>
      </c>
      <c r="AE128" s="4" t="str">
        <f t="shared" si="7"/>
        <v>Individual</v>
      </c>
    </row>
    <row r="129" spans="1:31" ht="13.5" customHeight="1" x14ac:dyDescent="0.35">
      <c r="A129" s="3">
        <v>59</v>
      </c>
      <c r="B129" s="3" t="s">
        <v>101</v>
      </c>
      <c r="C129" s="3" t="s">
        <v>160</v>
      </c>
      <c r="D129" s="52">
        <v>744.00009999999997</v>
      </c>
      <c r="E129" s="48">
        <v>551.80510000000004</v>
      </c>
      <c r="F129" s="48">
        <v>488.35680000000002</v>
      </c>
      <c r="G129" s="48">
        <v>466.643699999999</v>
      </c>
      <c r="H129" s="48">
        <v>192.19499999999999</v>
      </c>
      <c r="I129" s="48">
        <v>45.728299999999997</v>
      </c>
      <c r="J129" s="48">
        <v>63.448299999999897</v>
      </c>
      <c r="K129" s="48">
        <v>57.153199999999899</v>
      </c>
      <c r="L129" s="48">
        <v>466.643699999999</v>
      </c>
      <c r="M129" s="48">
        <v>102.8815</v>
      </c>
      <c r="N129" s="48">
        <v>569.52519999999902</v>
      </c>
      <c r="O129" s="56">
        <v>0.74167342179999995</v>
      </c>
      <c r="P129" s="56">
        <v>0.8456676098</v>
      </c>
      <c r="Q129" s="3">
        <v>0</v>
      </c>
      <c r="R129" s="48">
        <v>0</v>
      </c>
      <c r="S129" s="48">
        <v>0</v>
      </c>
      <c r="T129" s="3">
        <v>969</v>
      </c>
      <c r="U129" s="3">
        <f t="shared" si="6"/>
        <v>27132</v>
      </c>
      <c r="V129" s="3">
        <v>28</v>
      </c>
      <c r="W129" s="48">
        <v>7706.59</v>
      </c>
      <c r="X129" s="48">
        <v>13.531604919999999</v>
      </c>
      <c r="Y129" s="48">
        <v>6314.4381880000001</v>
      </c>
      <c r="Z129" s="48">
        <v>1392.1518120000001</v>
      </c>
      <c r="AA129" s="48">
        <v>0</v>
      </c>
      <c r="AB129" s="48">
        <v>0</v>
      </c>
      <c r="AC129" s="4" t="str">
        <f t="shared" si="4"/>
        <v>Dumper</v>
      </c>
      <c r="AD129" s="4" t="str">
        <f t="shared" si="5"/>
        <v>Operational</v>
      </c>
      <c r="AE129" s="4" t="str">
        <f t="shared" si="7"/>
        <v>Individual</v>
      </c>
    </row>
    <row r="130" spans="1:31" ht="13.5" customHeight="1" x14ac:dyDescent="0.35">
      <c r="A130" s="5">
        <v>60</v>
      </c>
      <c r="B130" s="5" t="s">
        <v>101</v>
      </c>
      <c r="C130" s="5" t="s">
        <v>161</v>
      </c>
      <c r="D130" s="53">
        <v>744</v>
      </c>
      <c r="E130" s="49">
        <v>393.29169999999999</v>
      </c>
      <c r="F130" s="49">
        <v>338.84350000000001</v>
      </c>
      <c r="G130" s="49">
        <v>332.60210000000001</v>
      </c>
      <c r="H130" s="49">
        <v>350.70829999999899</v>
      </c>
      <c r="I130" s="49">
        <v>20.519099999999899</v>
      </c>
      <c r="J130" s="49">
        <v>54.4482</v>
      </c>
      <c r="K130" s="49">
        <v>5.0057999999999998</v>
      </c>
      <c r="L130" s="49">
        <v>332.60210000000001</v>
      </c>
      <c r="M130" s="49">
        <v>25.524899999999999</v>
      </c>
      <c r="N130" s="49">
        <v>358.12700000000001</v>
      </c>
      <c r="O130" s="57">
        <v>0.52861787630000001</v>
      </c>
      <c r="P130" s="57">
        <v>0.84568807329999995</v>
      </c>
      <c r="Q130" s="5">
        <v>0</v>
      </c>
      <c r="R130" s="49">
        <v>0</v>
      </c>
      <c r="S130" s="49">
        <v>0</v>
      </c>
      <c r="T130" s="5">
        <v>751</v>
      </c>
      <c r="U130" s="5">
        <f t="shared" si="6"/>
        <v>21028</v>
      </c>
      <c r="V130" s="5">
        <v>28</v>
      </c>
      <c r="W130" s="49">
        <v>5324.21</v>
      </c>
      <c r="X130" s="49">
        <v>14.866820990000001</v>
      </c>
      <c r="Y130" s="49">
        <v>4944.7358809999996</v>
      </c>
      <c r="Z130" s="49">
        <v>379.47411899999997</v>
      </c>
      <c r="AA130" s="49">
        <v>0</v>
      </c>
      <c r="AB130" s="49">
        <v>0</v>
      </c>
      <c r="AC130" s="4" t="str">
        <f t="shared" si="4"/>
        <v>Dumper</v>
      </c>
      <c r="AD130" s="4" t="str">
        <f t="shared" si="5"/>
        <v>Operational</v>
      </c>
      <c r="AE130" s="4" t="str">
        <f t="shared" si="7"/>
        <v>Individual</v>
      </c>
    </row>
    <row r="131" spans="1:31" ht="13.5" customHeight="1" x14ac:dyDescent="0.35">
      <c r="A131" s="3">
        <v>61</v>
      </c>
      <c r="B131" s="3" t="s">
        <v>101</v>
      </c>
      <c r="C131" s="3" t="s">
        <v>162</v>
      </c>
      <c r="D131" s="52">
        <v>744.00029999999902</v>
      </c>
      <c r="E131" s="48">
        <v>530.27899999999897</v>
      </c>
      <c r="F131" s="48">
        <v>446.04729999999898</v>
      </c>
      <c r="G131" s="48">
        <v>442.156599999999</v>
      </c>
      <c r="H131" s="48">
        <v>213.72129999999899</v>
      </c>
      <c r="I131" s="48">
        <v>45.928299999999901</v>
      </c>
      <c r="J131" s="48">
        <v>84.231700000000004</v>
      </c>
      <c r="K131" s="48">
        <v>31.4345</v>
      </c>
      <c r="L131" s="48">
        <v>442.156599999999</v>
      </c>
      <c r="M131" s="48">
        <v>77.362799999999993</v>
      </c>
      <c r="N131" s="48">
        <v>519.519399999999</v>
      </c>
      <c r="O131" s="56">
        <v>0.71274030399999999</v>
      </c>
      <c r="P131" s="56">
        <v>0.83381880100000005</v>
      </c>
      <c r="Q131" s="3">
        <v>0</v>
      </c>
      <c r="R131" s="48">
        <v>0</v>
      </c>
      <c r="S131" s="48">
        <v>0</v>
      </c>
      <c r="T131" s="3">
        <v>855</v>
      </c>
      <c r="U131" s="3">
        <f t="shared" si="6"/>
        <v>23940</v>
      </c>
      <c r="V131" s="3">
        <v>28</v>
      </c>
      <c r="W131" s="48">
        <v>7252.97</v>
      </c>
      <c r="X131" s="48">
        <v>13.96092234</v>
      </c>
      <c r="Y131" s="48">
        <v>6172.9139569999998</v>
      </c>
      <c r="Z131" s="48">
        <v>1080.056043</v>
      </c>
      <c r="AA131" s="48">
        <v>0</v>
      </c>
      <c r="AB131" s="48">
        <v>0</v>
      </c>
      <c r="AC131" s="4" t="str">
        <f t="shared" ref="AC131:AC194" si="8">IF(OR(TRIM(B131)="Tipper",TRIM(B131)="Volvo",TRIM(B131)="Bharatbenz"),"Tipper",IF(OR(TRIM(B131)="Dumper",TRIM(B131)="Sany",TRIM(B131)="Komatsu"),"Dumper",IF(TRIM(B131)="Excavator","Excavator",IF(OR(TRIM(B131)="Front End Loader",TRIM(B131)="Fel"),"Front End Loader",IF(OR(TRIM(B131)="Surface Miner",TRIM(B131)="Csm"),"Surface Miner",IF(TRIM(B131)="Diesel Bowser","Diesel Bowser","Other"))))))</f>
        <v>Dumper</v>
      </c>
      <c r="AD131" s="4" t="str">
        <f t="shared" ref="AD131:AD194" si="9">IF(E131=0,"Non-Operational","Operational")</f>
        <v>Operational</v>
      </c>
      <c r="AE131" s="4" t="str">
        <f t="shared" si="7"/>
        <v>Individual</v>
      </c>
    </row>
    <row r="132" spans="1:31" ht="13.5" customHeight="1" x14ac:dyDescent="0.35">
      <c r="A132" s="5">
        <v>62</v>
      </c>
      <c r="B132" s="5" t="s">
        <v>101</v>
      </c>
      <c r="C132" s="5" t="s">
        <v>163</v>
      </c>
      <c r="D132" s="53">
        <v>743.99959999999999</v>
      </c>
      <c r="E132" s="49">
        <v>556.54579999999999</v>
      </c>
      <c r="F132" s="49">
        <v>460.642799999999</v>
      </c>
      <c r="G132" s="49">
        <v>451.076899999999</v>
      </c>
      <c r="H132" s="49">
        <v>187.4538</v>
      </c>
      <c r="I132" s="49">
        <v>28.9833</v>
      </c>
      <c r="J132" s="49">
        <v>95.903000000000006</v>
      </c>
      <c r="K132" s="49">
        <v>16.156099999999999</v>
      </c>
      <c r="L132" s="49">
        <v>451.076899999999</v>
      </c>
      <c r="M132" s="49">
        <v>45.139400000000002</v>
      </c>
      <c r="N132" s="49">
        <v>496.21629999999902</v>
      </c>
      <c r="O132" s="57">
        <v>0.74804583229999999</v>
      </c>
      <c r="P132" s="57">
        <v>0.81049376350000002</v>
      </c>
      <c r="Q132" s="5">
        <v>0</v>
      </c>
      <c r="R132" s="49">
        <v>0</v>
      </c>
      <c r="S132" s="49">
        <v>0</v>
      </c>
      <c r="T132" s="5">
        <v>1028</v>
      </c>
      <c r="U132" s="5">
        <f t="shared" ref="U132:U195" si="10">T132*V132</f>
        <v>28784</v>
      </c>
      <c r="V132" s="5">
        <v>28</v>
      </c>
      <c r="W132" s="49">
        <v>7929.88</v>
      </c>
      <c r="X132" s="49">
        <v>15.98069229</v>
      </c>
      <c r="Y132" s="49">
        <v>7208.5211380000001</v>
      </c>
      <c r="Z132" s="49">
        <v>721.35886159999995</v>
      </c>
      <c r="AA132" s="49">
        <v>0</v>
      </c>
      <c r="AB132" s="49">
        <v>0</v>
      </c>
      <c r="AC132" s="4" t="str">
        <f t="shared" si="8"/>
        <v>Dumper</v>
      </c>
      <c r="AD132" s="4" t="str">
        <f t="shared" si="9"/>
        <v>Operational</v>
      </c>
      <c r="AE132" s="4" t="str">
        <f t="shared" ref="AE132:AE195" si="11">IF(OR(C132=54,C132=67,C132=10,C132=16,C132=6,C132=12,C132=28),"Aggregate","Individual")</f>
        <v>Individual</v>
      </c>
    </row>
    <row r="133" spans="1:31" ht="13.5" customHeight="1" x14ac:dyDescent="0.35">
      <c r="A133" s="3">
        <v>63</v>
      </c>
      <c r="B133" s="3" t="s">
        <v>101</v>
      </c>
      <c r="C133" s="3" t="s">
        <v>164</v>
      </c>
      <c r="D133" s="52">
        <v>744.00130000000001</v>
      </c>
      <c r="E133" s="48">
        <v>571.85329999999999</v>
      </c>
      <c r="F133" s="48">
        <v>497.81299999999999</v>
      </c>
      <c r="G133" s="48">
        <v>474.44560000000001</v>
      </c>
      <c r="H133" s="48">
        <v>172.148</v>
      </c>
      <c r="I133" s="48">
        <v>40.662199999999999</v>
      </c>
      <c r="J133" s="48">
        <v>74.040299999999903</v>
      </c>
      <c r="K133" s="48">
        <v>19.1097</v>
      </c>
      <c r="L133" s="48">
        <v>474.44560000000001</v>
      </c>
      <c r="M133" s="48">
        <v>59.771900000000002</v>
      </c>
      <c r="N133" s="48">
        <v>534.21749999999997</v>
      </c>
      <c r="O133" s="56">
        <v>0.76861868389999999</v>
      </c>
      <c r="P133" s="56">
        <v>0.82966313209999998</v>
      </c>
      <c r="Q133" s="3">
        <v>0</v>
      </c>
      <c r="R133" s="48">
        <v>0</v>
      </c>
      <c r="S133" s="48">
        <v>0</v>
      </c>
      <c r="T133" s="3">
        <v>984</v>
      </c>
      <c r="U133" s="3">
        <f t="shared" si="10"/>
        <v>27552</v>
      </c>
      <c r="V133" s="3">
        <v>28</v>
      </c>
      <c r="W133" s="48">
        <v>7901.3599999999897</v>
      </c>
      <c r="X133" s="48">
        <v>14.790530070000001</v>
      </c>
      <c r="Y133" s="48">
        <v>7017.301915</v>
      </c>
      <c r="Z133" s="48">
        <v>884.05808460000003</v>
      </c>
      <c r="AA133" s="48">
        <v>0</v>
      </c>
      <c r="AB133" s="48">
        <v>0</v>
      </c>
      <c r="AC133" s="4" t="str">
        <f t="shared" si="8"/>
        <v>Dumper</v>
      </c>
      <c r="AD133" s="4" t="str">
        <f t="shared" si="9"/>
        <v>Operational</v>
      </c>
      <c r="AE133" s="4" t="str">
        <f t="shared" si="11"/>
        <v>Individual</v>
      </c>
    </row>
    <row r="134" spans="1:31" ht="13.5" customHeight="1" x14ac:dyDescent="0.35">
      <c r="A134" s="5">
        <v>64</v>
      </c>
      <c r="B134" s="5" t="s">
        <v>101</v>
      </c>
      <c r="C134" s="5" t="s">
        <v>165</v>
      </c>
      <c r="D134" s="53">
        <v>744.00049999999896</v>
      </c>
      <c r="E134" s="49">
        <v>381.35909999999899</v>
      </c>
      <c r="F134" s="49">
        <v>274.06359999999898</v>
      </c>
      <c r="G134" s="49">
        <v>269.62569999999999</v>
      </c>
      <c r="H134" s="49">
        <v>362.64139999999998</v>
      </c>
      <c r="I134" s="49">
        <v>16.070799999999899</v>
      </c>
      <c r="J134" s="49">
        <v>107.295499999999</v>
      </c>
      <c r="K134" s="49">
        <v>3.0577999999999999</v>
      </c>
      <c r="L134" s="49">
        <v>269.62569999999999</v>
      </c>
      <c r="M134" s="49">
        <v>19.128599999999899</v>
      </c>
      <c r="N134" s="49">
        <v>288.7543</v>
      </c>
      <c r="O134" s="57">
        <v>0.51257909099999999</v>
      </c>
      <c r="P134" s="57">
        <v>0.70701262929999997</v>
      </c>
      <c r="Q134" s="5">
        <v>0</v>
      </c>
      <c r="R134" s="49">
        <v>0</v>
      </c>
      <c r="S134" s="49">
        <v>0</v>
      </c>
      <c r="T134" s="5">
        <v>994</v>
      </c>
      <c r="U134" s="5">
        <f t="shared" si="10"/>
        <v>27832</v>
      </c>
      <c r="V134" s="5">
        <v>28</v>
      </c>
      <c r="W134" s="49">
        <v>7240.9199999999901</v>
      </c>
      <c r="X134" s="49">
        <v>25.076405789999999</v>
      </c>
      <c r="Y134" s="49">
        <v>6761.2434640000001</v>
      </c>
      <c r="Z134" s="49">
        <v>479.67653580000001</v>
      </c>
      <c r="AA134" s="49">
        <v>0</v>
      </c>
      <c r="AB134" s="49">
        <v>0</v>
      </c>
      <c r="AC134" s="4" t="str">
        <f t="shared" si="8"/>
        <v>Dumper</v>
      </c>
      <c r="AD134" s="4" t="str">
        <f t="shared" si="9"/>
        <v>Operational</v>
      </c>
      <c r="AE134" s="4" t="str">
        <f t="shared" si="11"/>
        <v>Individual</v>
      </c>
    </row>
    <row r="135" spans="1:31" ht="13.5" customHeight="1" x14ac:dyDescent="0.35">
      <c r="A135" s="3">
        <v>65</v>
      </c>
      <c r="B135" s="3" t="s">
        <v>101</v>
      </c>
      <c r="C135" s="3" t="s">
        <v>166</v>
      </c>
      <c r="D135" s="52">
        <v>743.99950000000001</v>
      </c>
      <c r="E135" s="48">
        <v>456.03349999999898</v>
      </c>
      <c r="F135" s="48">
        <v>379.30119999999903</v>
      </c>
      <c r="G135" s="48">
        <v>374.711399999999</v>
      </c>
      <c r="H135" s="48">
        <v>287.96600000000001</v>
      </c>
      <c r="I135" s="48">
        <v>30.4664</v>
      </c>
      <c r="J135" s="48">
        <v>76.732299999999995</v>
      </c>
      <c r="K135" s="48">
        <v>15.837399999999899</v>
      </c>
      <c r="L135" s="48">
        <v>374.711399999999</v>
      </c>
      <c r="M135" s="48">
        <v>46.303800000000003</v>
      </c>
      <c r="N135" s="48">
        <v>421.01519999999903</v>
      </c>
      <c r="O135" s="56">
        <v>0.61294866459999997</v>
      </c>
      <c r="P135" s="56">
        <v>0.82167516200000001</v>
      </c>
      <c r="Q135" s="3">
        <v>0</v>
      </c>
      <c r="R135" s="48">
        <v>0</v>
      </c>
      <c r="S135" s="48">
        <v>0</v>
      </c>
      <c r="T135" s="3">
        <v>911</v>
      </c>
      <c r="U135" s="3">
        <f t="shared" si="10"/>
        <v>25508</v>
      </c>
      <c r="V135" s="3">
        <v>28</v>
      </c>
      <c r="W135" s="48">
        <v>7563.0899999999901</v>
      </c>
      <c r="X135" s="48">
        <v>17.96393574</v>
      </c>
      <c r="Y135" s="48">
        <v>6731.2915119999998</v>
      </c>
      <c r="Z135" s="48">
        <v>831.79848790000005</v>
      </c>
      <c r="AA135" s="48">
        <v>0</v>
      </c>
      <c r="AB135" s="48">
        <v>0</v>
      </c>
      <c r="AC135" s="4" t="str">
        <f t="shared" si="8"/>
        <v>Dumper</v>
      </c>
      <c r="AD135" s="4" t="str">
        <f t="shared" si="9"/>
        <v>Operational</v>
      </c>
      <c r="AE135" s="4" t="str">
        <f t="shared" si="11"/>
        <v>Individual</v>
      </c>
    </row>
    <row r="136" spans="1:31" ht="13.5" customHeight="1" x14ac:dyDescent="0.35">
      <c r="A136" s="5">
        <v>66</v>
      </c>
      <c r="B136" s="5" t="s">
        <v>101</v>
      </c>
      <c r="C136" s="5" t="s">
        <v>167</v>
      </c>
      <c r="D136" s="53">
        <v>744.000799999999</v>
      </c>
      <c r="E136" s="49">
        <v>580.45259999999905</v>
      </c>
      <c r="F136" s="49">
        <v>487.744699999999</v>
      </c>
      <c r="G136" s="49">
        <v>476.62719999999899</v>
      </c>
      <c r="H136" s="49">
        <v>163.54820000000001</v>
      </c>
      <c r="I136" s="49">
        <v>22.8292</v>
      </c>
      <c r="J136" s="49">
        <v>92.707899999999995</v>
      </c>
      <c r="K136" s="49">
        <v>20.024000000000001</v>
      </c>
      <c r="L136" s="49">
        <v>476.62719999999899</v>
      </c>
      <c r="M136" s="49">
        <v>42.853200000000001</v>
      </c>
      <c r="N136" s="49">
        <v>519.48039999999901</v>
      </c>
      <c r="O136" s="57">
        <v>0.78017738690000005</v>
      </c>
      <c r="P136" s="57">
        <v>0.82113026970000003</v>
      </c>
      <c r="Q136" s="5">
        <v>0</v>
      </c>
      <c r="R136" s="49">
        <v>0</v>
      </c>
      <c r="S136" s="49">
        <v>0</v>
      </c>
      <c r="T136" s="5">
        <v>1039</v>
      </c>
      <c r="U136" s="5">
        <f t="shared" si="10"/>
        <v>29092</v>
      </c>
      <c r="V136" s="5">
        <v>28</v>
      </c>
      <c r="W136" s="49">
        <v>8155.7</v>
      </c>
      <c r="X136" s="49">
        <v>15.69972611</v>
      </c>
      <c r="Y136" s="49">
        <v>7482.9164970000002</v>
      </c>
      <c r="Z136" s="49">
        <v>672.783503</v>
      </c>
      <c r="AA136" s="49">
        <v>0</v>
      </c>
      <c r="AB136" s="49">
        <v>0</v>
      </c>
      <c r="AC136" s="4" t="str">
        <f t="shared" si="8"/>
        <v>Dumper</v>
      </c>
      <c r="AD136" s="4" t="str">
        <f t="shared" si="9"/>
        <v>Operational</v>
      </c>
      <c r="AE136" s="4" t="str">
        <f t="shared" si="11"/>
        <v>Individual</v>
      </c>
    </row>
    <row r="137" spans="1:31" ht="13.5" customHeight="1" x14ac:dyDescent="0.35">
      <c r="A137" s="3">
        <v>67</v>
      </c>
      <c r="B137" s="3" t="s">
        <v>101</v>
      </c>
      <c r="C137" s="3" t="s">
        <v>168</v>
      </c>
      <c r="D137" s="52">
        <v>744.00039999999899</v>
      </c>
      <c r="E137" s="48">
        <v>676.83669999999995</v>
      </c>
      <c r="F137" s="48">
        <v>468.71449999999902</v>
      </c>
      <c r="G137" s="48">
        <v>466.00099999999998</v>
      </c>
      <c r="H137" s="48">
        <v>67.163699999999906</v>
      </c>
      <c r="I137" s="48">
        <v>33.837299999999999</v>
      </c>
      <c r="J137" s="48">
        <v>208.12219999999999</v>
      </c>
      <c r="K137" s="48">
        <v>27.779199999999999</v>
      </c>
      <c r="L137" s="48">
        <v>466.00099999999998</v>
      </c>
      <c r="M137" s="48">
        <v>61.616500000000002</v>
      </c>
      <c r="N137" s="48">
        <v>527.61749999999995</v>
      </c>
      <c r="O137" s="56">
        <v>0.90972625819999997</v>
      </c>
      <c r="P137" s="56">
        <v>0.68849842210000001</v>
      </c>
      <c r="Q137" s="3">
        <v>477</v>
      </c>
      <c r="R137" s="48">
        <v>30121.26</v>
      </c>
      <c r="S137" s="48">
        <v>63.1472956</v>
      </c>
      <c r="T137" s="3">
        <v>0</v>
      </c>
      <c r="U137" s="3">
        <f t="shared" si="10"/>
        <v>0</v>
      </c>
      <c r="V137" s="3">
        <v>28</v>
      </c>
      <c r="W137" s="48">
        <v>9210.2000000000007</v>
      </c>
      <c r="X137" s="48">
        <v>17.456206439999999</v>
      </c>
      <c r="Y137" s="48">
        <v>8134.6096559999996</v>
      </c>
      <c r="Z137" s="48">
        <v>1075.590344</v>
      </c>
      <c r="AA137" s="48">
        <v>0</v>
      </c>
      <c r="AB137" s="48">
        <v>0</v>
      </c>
      <c r="AC137" s="4" t="str">
        <f t="shared" si="8"/>
        <v>Dumper</v>
      </c>
      <c r="AD137" s="4" t="str">
        <f t="shared" si="9"/>
        <v>Operational</v>
      </c>
      <c r="AE137" s="4" t="str">
        <f t="shared" si="11"/>
        <v>Individual</v>
      </c>
    </row>
    <row r="138" spans="1:31" ht="13.5" hidden="1" customHeight="1" x14ac:dyDescent="0.35">
      <c r="A138" s="47">
        <v>3</v>
      </c>
      <c r="B138" s="47" t="s">
        <v>169</v>
      </c>
      <c r="C138" s="47">
        <v>67</v>
      </c>
      <c r="D138" s="55">
        <v>743.91144929999996</v>
      </c>
      <c r="E138" s="51">
        <v>405.489306</v>
      </c>
      <c r="F138" s="51">
        <v>331.46938060000002</v>
      </c>
      <c r="G138" s="51">
        <v>319.90782239999999</v>
      </c>
      <c r="H138" s="51">
        <v>338.42214330000002</v>
      </c>
      <c r="I138" s="51">
        <v>20.039591040000001</v>
      </c>
      <c r="J138" s="51">
        <v>74.019925369999996</v>
      </c>
      <c r="K138" s="51">
        <v>13.16486716</v>
      </c>
      <c r="L138" s="51">
        <v>319.90782239999999</v>
      </c>
      <c r="M138" s="51">
        <v>33.204458209999999</v>
      </c>
      <c r="N138" s="51">
        <v>353.11228060000002</v>
      </c>
      <c r="O138" s="59">
        <v>0.54507738299999997</v>
      </c>
      <c r="P138" s="59">
        <v>0.78894268649999999</v>
      </c>
      <c r="Q138" s="47">
        <v>4966</v>
      </c>
      <c r="R138" s="51">
        <v>207188.26</v>
      </c>
      <c r="S138" s="51">
        <v>41.721357230000002</v>
      </c>
      <c r="T138" s="47">
        <v>40066</v>
      </c>
      <c r="U138" s="47">
        <f t="shared" si="10"/>
        <v>1121848</v>
      </c>
      <c r="V138" s="47">
        <v>28</v>
      </c>
      <c r="W138" s="51">
        <v>5401.628788</v>
      </c>
      <c r="X138" s="51">
        <v>17.661555</v>
      </c>
      <c r="Y138" s="51">
        <v>4976.1840089999996</v>
      </c>
      <c r="Z138" s="51">
        <v>500.46091460000002</v>
      </c>
      <c r="AA138" s="51">
        <v>8.4945847929999996</v>
      </c>
      <c r="AB138" s="51">
        <v>0.2890753036</v>
      </c>
      <c r="AC138" s="47" t="str">
        <f t="shared" si="8"/>
        <v>Dumper</v>
      </c>
      <c r="AD138" s="47" t="str">
        <f t="shared" si="9"/>
        <v>Operational</v>
      </c>
      <c r="AE138" s="47" t="str">
        <f t="shared" si="11"/>
        <v>Aggregate</v>
      </c>
    </row>
    <row r="139" spans="1:31" ht="13.5" customHeight="1" x14ac:dyDescent="0.35">
      <c r="A139" s="3">
        <v>1</v>
      </c>
      <c r="B139" s="3" t="s">
        <v>101</v>
      </c>
      <c r="C139" s="3" t="s">
        <v>170</v>
      </c>
      <c r="D139" s="52">
        <v>743.99969999999996</v>
      </c>
      <c r="E139" s="48">
        <v>538.06359999999995</v>
      </c>
      <c r="F139" s="48">
        <v>476.28289999999998</v>
      </c>
      <c r="G139" s="48">
        <v>468.63749999999999</v>
      </c>
      <c r="H139" s="48">
        <v>205.93610000000001</v>
      </c>
      <c r="I139" s="48">
        <v>12.5801</v>
      </c>
      <c r="J139" s="48">
        <v>61.780700000000003</v>
      </c>
      <c r="K139" s="48">
        <v>3.8892000000000002</v>
      </c>
      <c r="L139" s="48">
        <v>468.63749999999999</v>
      </c>
      <c r="M139" s="48">
        <v>16.4693</v>
      </c>
      <c r="N139" s="48">
        <v>485.10680000000002</v>
      </c>
      <c r="O139" s="56">
        <v>0.72320405509999997</v>
      </c>
      <c r="P139" s="56">
        <v>0.87097045780000004</v>
      </c>
      <c r="Q139" s="3">
        <v>0</v>
      </c>
      <c r="R139" s="48">
        <v>0</v>
      </c>
      <c r="S139" s="48">
        <v>0</v>
      </c>
      <c r="T139" s="3">
        <v>80</v>
      </c>
      <c r="U139" s="3">
        <f t="shared" si="10"/>
        <v>3360</v>
      </c>
      <c r="V139" s="3">
        <v>42</v>
      </c>
      <c r="W139" s="48">
        <v>19766.919999999998</v>
      </c>
      <c r="X139" s="48">
        <v>40.747563220000004</v>
      </c>
      <c r="Y139" s="48">
        <v>19095.836157110101</v>
      </c>
      <c r="Z139" s="48">
        <v>671.08384290000004</v>
      </c>
      <c r="AA139" s="48">
        <v>247.0865</v>
      </c>
      <c r="AB139" s="48">
        <v>5.883011905</v>
      </c>
      <c r="AC139" s="4" t="str">
        <f t="shared" si="8"/>
        <v>Dumper</v>
      </c>
      <c r="AD139" s="4" t="str">
        <f t="shared" si="9"/>
        <v>Operational</v>
      </c>
      <c r="AE139" s="4" t="str">
        <f t="shared" si="11"/>
        <v>Individual</v>
      </c>
    </row>
    <row r="140" spans="1:31" ht="13.5" customHeight="1" x14ac:dyDescent="0.35">
      <c r="A140" s="5">
        <v>2</v>
      </c>
      <c r="B140" s="5" t="s">
        <v>101</v>
      </c>
      <c r="C140" s="5" t="s">
        <v>171</v>
      </c>
      <c r="D140" s="53">
        <v>743.99950000000001</v>
      </c>
      <c r="E140" s="49">
        <v>498.00259999999997</v>
      </c>
      <c r="F140" s="49">
        <v>428.44600000000003</v>
      </c>
      <c r="G140" s="49">
        <v>421.08530000000002</v>
      </c>
      <c r="H140" s="49">
        <v>245.99690000000001</v>
      </c>
      <c r="I140" s="49">
        <v>10.6238999999999</v>
      </c>
      <c r="J140" s="49">
        <v>69.556600000000003</v>
      </c>
      <c r="K140" s="49">
        <v>8.2995000000000001</v>
      </c>
      <c r="L140" s="49">
        <v>421.08530000000002</v>
      </c>
      <c r="M140" s="49">
        <v>18.923399999999901</v>
      </c>
      <c r="N140" s="49">
        <v>440.00869999999998</v>
      </c>
      <c r="O140" s="57">
        <v>0.66935878319999997</v>
      </c>
      <c r="P140" s="57">
        <v>0.84554839670000004</v>
      </c>
      <c r="Q140" s="5">
        <v>0</v>
      </c>
      <c r="R140" s="49">
        <v>0</v>
      </c>
      <c r="S140" s="49">
        <v>0</v>
      </c>
      <c r="T140" s="5">
        <v>1618</v>
      </c>
      <c r="U140" s="5">
        <f t="shared" si="10"/>
        <v>67956</v>
      </c>
      <c r="V140" s="5">
        <v>42</v>
      </c>
      <c r="W140" s="49">
        <v>18146.3</v>
      </c>
      <c r="X140" s="49">
        <v>41.240775470000003</v>
      </c>
      <c r="Y140" s="49">
        <v>17365.884309537501</v>
      </c>
      <c r="Z140" s="49">
        <v>780.41569049999998</v>
      </c>
      <c r="AA140" s="49">
        <v>11.215265759999999</v>
      </c>
      <c r="AB140" s="49">
        <v>0.26703013710000001</v>
      </c>
      <c r="AC140" s="4" t="str">
        <f t="shared" si="8"/>
        <v>Dumper</v>
      </c>
      <c r="AD140" s="4" t="str">
        <f t="shared" si="9"/>
        <v>Operational</v>
      </c>
      <c r="AE140" s="4" t="str">
        <f t="shared" si="11"/>
        <v>Individual</v>
      </c>
    </row>
    <row r="141" spans="1:31" ht="13.5" customHeight="1" x14ac:dyDescent="0.35">
      <c r="A141" s="3">
        <v>3</v>
      </c>
      <c r="B141" s="3" t="s">
        <v>101</v>
      </c>
      <c r="C141" s="3" t="s">
        <v>172</v>
      </c>
      <c r="D141" s="52">
        <v>744.00019999999904</v>
      </c>
      <c r="E141" s="48">
        <v>342.48880000000003</v>
      </c>
      <c r="F141" s="48">
        <v>300.46390000000002</v>
      </c>
      <c r="G141" s="48">
        <v>273.50629999999899</v>
      </c>
      <c r="H141" s="48">
        <v>401.51139999999901</v>
      </c>
      <c r="I141" s="48">
        <v>9.4403999999999897</v>
      </c>
      <c r="J141" s="48">
        <v>42.024900000000002</v>
      </c>
      <c r="K141" s="48">
        <v>1.6049</v>
      </c>
      <c r="L141" s="48">
        <v>273.50629999999899</v>
      </c>
      <c r="M141" s="48">
        <v>11.045299999999999</v>
      </c>
      <c r="N141" s="48">
        <v>284.55159999999898</v>
      </c>
      <c r="O141" s="56">
        <v>0.4603342849</v>
      </c>
      <c r="P141" s="56">
        <v>0.79858465440000004</v>
      </c>
      <c r="Q141" s="3">
        <v>0</v>
      </c>
      <c r="R141" s="48">
        <v>0</v>
      </c>
      <c r="S141" s="48">
        <v>0</v>
      </c>
      <c r="T141" s="3">
        <v>1524</v>
      </c>
      <c r="U141" s="3">
        <f t="shared" si="10"/>
        <v>64008</v>
      </c>
      <c r="V141" s="3">
        <v>42</v>
      </c>
      <c r="W141" s="48">
        <v>12852.11</v>
      </c>
      <c r="X141" s="48">
        <v>45.166184270000002</v>
      </c>
      <c r="Y141" s="48">
        <v>12353.2359448795</v>
      </c>
      <c r="Z141" s="48">
        <v>498.87405510000002</v>
      </c>
      <c r="AA141" s="48">
        <v>8.4331430449999996</v>
      </c>
      <c r="AB141" s="48">
        <v>0.2007891201</v>
      </c>
      <c r="AC141" s="4" t="str">
        <f t="shared" si="8"/>
        <v>Dumper</v>
      </c>
      <c r="AD141" s="4" t="str">
        <f t="shared" si="9"/>
        <v>Operational</v>
      </c>
      <c r="AE141" s="4" t="str">
        <f t="shared" si="11"/>
        <v>Individual</v>
      </c>
    </row>
    <row r="142" spans="1:31" ht="13.5" customHeight="1" x14ac:dyDescent="0.35">
      <c r="A142" s="5">
        <v>4</v>
      </c>
      <c r="B142" s="5" t="s">
        <v>101</v>
      </c>
      <c r="C142" s="5" t="s">
        <v>173</v>
      </c>
      <c r="D142" s="53">
        <v>743.9991</v>
      </c>
      <c r="E142" s="49">
        <v>534.88419999999996</v>
      </c>
      <c r="F142" s="49">
        <v>444.24059999999997</v>
      </c>
      <c r="G142" s="49">
        <v>438.41390000000001</v>
      </c>
      <c r="H142" s="49">
        <v>209.11489999999901</v>
      </c>
      <c r="I142" s="49">
        <v>13.243599999999899</v>
      </c>
      <c r="J142" s="49">
        <v>90.643600000000006</v>
      </c>
      <c r="K142" s="49">
        <v>21.696300000000001</v>
      </c>
      <c r="L142" s="49">
        <v>438.41390000000001</v>
      </c>
      <c r="M142" s="49">
        <v>34.939900000000002</v>
      </c>
      <c r="N142" s="49">
        <v>473.35379999999998</v>
      </c>
      <c r="O142" s="57">
        <v>0.71893124600000002</v>
      </c>
      <c r="P142" s="57">
        <v>0.81964264409999998</v>
      </c>
      <c r="Q142" s="5">
        <v>0</v>
      </c>
      <c r="R142" s="49">
        <v>0</v>
      </c>
      <c r="S142" s="49">
        <v>0</v>
      </c>
      <c r="T142" s="5">
        <v>1004</v>
      </c>
      <c r="U142" s="5">
        <f t="shared" si="10"/>
        <v>42168</v>
      </c>
      <c r="V142" s="5">
        <v>42</v>
      </c>
      <c r="W142" s="49">
        <v>19406.669999999998</v>
      </c>
      <c r="X142" s="49">
        <v>40.9982343</v>
      </c>
      <c r="Y142" s="49">
        <v>17974.195793322</v>
      </c>
      <c r="Z142" s="49">
        <v>1432.474207</v>
      </c>
      <c r="AA142" s="49">
        <v>19.329352589999999</v>
      </c>
      <c r="AB142" s="49">
        <v>0.4602226807</v>
      </c>
      <c r="AC142" s="4" t="str">
        <f t="shared" si="8"/>
        <v>Dumper</v>
      </c>
      <c r="AD142" s="4" t="str">
        <f t="shared" si="9"/>
        <v>Operational</v>
      </c>
      <c r="AE142" s="4" t="str">
        <f t="shared" si="11"/>
        <v>Individual</v>
      </c>
    </row>
    <row r="143" spans="1:31" ht="13.5" customHeight="1" x14ac:dyDescent="0.35">
      <c r="A143" s="3">
        <v>5</v>
      </c>
      <c r="B143" s="3" t="s">
        <v>101</v>
      </c>
      <c r="C143" s="3" t="s">
        <v>174</v>
      </c>
      <c r="D143" s="52">
        <v>743.99980000000005</v>
      </c>
      <c r="E143" s="48">
        <v>511.83569999999997</v>
      </c>
      <c r="F143" s="48">
        <v>448.83210000000003</v>
      </c>
      <c r="G143" s="48">
        <v>442.97820000000002</v>
      </c>
      <c r="H143" s="48">
        <v>232.164099999999</v>
      </c>
      <c r="I143" s="48">
        <v>13.7541999999999</v>
      </c>
      <c r="J143" s="48">
        <v>63.003599999999899</v>
      </c>
      <c r="K143" s="48">
        <v>5.4783999999999997</v>
      </c>
      <c r="L143" s="48">
        <v>442.97820000000002</v>
      </c>
      <c r="M143" s="48">
        <v>19.232599999999898</v>
      </c>
      <c r="N143" s="48">
        <v>462.21080000000001</v>
      </c>
      <c r="O143" s="56">
        <v>0.68795139459999999</v>
      </c>
      <c r="P143" s="56">
        <v>0.86546952470000005</v>
      </c>
      <c r="Q143" s="3">
        <v>0</v>
      </c>
      <c r="R143" s="48">
        <v>0</v>
      </c>
      <c r="S143" s="48">
        <v>0</v>
      </c>
      <c r="T143" s="3">
        <v>1390</v>
      </c>
      <c r="U143" s="3">
        <f t="shared" si="10"/>
        <v>58380</v>
      </c>
      <c r="V143" s="3">
        <v>42</v>
      </c>
      <c r="W143" s="48">
        <v>18978.599999999999</v>
      </c>
      <c r="X143" s="48">
        <v>41.060485819999997</v>
      </c>
      <c r="Y143" s="48">
        <v>18188.900100387</v>
      </c>
      <c r="Z143" s="48">
        <v>789.69989959999998</v>
      </c>
      <c r="AA143" s="48">
        <v>13.65366906</v>
      </c>
      <c r="AB143" s="48">
        <v>0.3250873587</v>
      </c>
      <c r="AC143" s="4" t="str">
        <f t="shared" si="8"/>
        <v>Dumper</v>
      </c>
      <c r="AD143" s="4" t="str">
        <f t="shared" si="9"/>
        <v>Operational</v>
      </c>
      <c r="AE143" s="4" t="str">
        <f t="shared" si="11"/>
        <v>Individual</v>
      </c>
    </row>
    <row r="144" spans="1:31" ht="13.5" customHeight="1" x14ac:dyDescent="0.35">
      <c r="A144" s="5">
        <v>6</v>
      </c>
      <c r="B144" s="5" t="s">
        <v>101</v>
      </c>
      <c r="C144" s="5" t="s">
        <v>175</v>
      </c>
      <c r="D144" s="53">
        <v>743.999899999999</v>
      </c>
      <c r="E144" s="49">
        <v>361.49339999999899</v>
      </c>
      <c r="F144" s="49">
        <v>290.6703</v>
      </c>
      <c r="G144" s="49">
        <v>286.85209999999898</v>
      </c>
      <c r="H144" s="49">
        <v>382.50649999999899</v>
      </c>
      <c r="I144" s="49">
        <v>8.0127000000000006</v>
      </c>
      <c r="J144" s="49">
        <v>70.823099999999897</v>
      </c>
      <c r="K144" s="49">
        <v>1.2397</v>
      </c>
      <c r="L144" s="49">
        <v>286.85209999999898</v>
      </c>
      <c r="M144" s="49">
        <v>9.2523999999999997</v>
      </c>
      <c r="N144" s="49">
        <v>296.10449999999997</v>
      </c>
      <c r="O144" s="57">
        <v>0.48587829110000003</v>
      </c>
      <c r="P144" s="57">
        <v>0.79351960509999997</v>
      </c>
      <c r="Q144" s="5">
        <v>0</v>
      </c>
      <c r="R144" s="49">
        <v>0</v>
      </c>
      <c r="S144" s="49">
        <v>0</v>
      </c>
      <c r="T144" s="5">
        <v>1639</v>
      </c>
      <c r="U144" s="5">
        <f t="shared" si="10"/>
        <v>68838</v>
      </c>
      <c r="V144" s="5">
        <v>42</v>
      </c>
      <c r="W144" s="49">
        <v>12185.71</v>
      </c>
      <c r="X144" s="49">
        <v>41.153410370000003</v>
      </c>
      <c r="Y144" s="49">
        <v>11804.9421859208</v>
      </c>
      <c r="Z144" s="49">
        <v>380.76781410000001</v>
      </c>
      <c r="AA144" s="49">
        <v>7.4348444169999999</v>
      </c>
      <c r="AB144" s="49">
        <v>0.1770201052</v>
      </c>
      <c r="AC144" s="4" t="str">
        <f t="shared" si="8"/>
        <v>Dumper</v>
      </c>
      <c r="AD144" s="4" t="str">
        <f t="shared" si="9"/>
        <v>Operational</v>
      </c>
      <c r="AE144" s="4" t="str">
        <f t="shared" si="11"/>
        <v>Individual</v>
      </c>
    </row>
    <row r="145" spans="1:31" ht="13.5" hidden="1" customHeight="1" x14ac:dyDescent="0.35">
      <c r="A145" s="3">
        <v>7</v>
      </c>
      <c r="B145" s="3" t="s">
        <v>101</v>
      </c>
      <c r="C145" s="3" t="s">
        <v>176</v>
      </c>
      <c r="D145" s="52">
        <v>744</v>
      </c>
      <c r="E145" s="48">
        <v>0</v>
      </c>
      <c r="F145" s="48">
        <v>0</v>
      </c>
      <c r="G145" s="48">
        <v>0</v>
      </c>
      <c r="H145" s="48">
        <v>744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56">
        <v>0</v>
      </c>
      <c r="P145" s="56">
        <v>0</v>
      </c>
      <c r="Q145" s="3">
        <v>0</v>
      </c>
      <c r="R145" s="48">
        <v>0</v>
      </c>
      <c r="S145" s="48">
        <v>0</v>
      </c>
      <c r="T145" s="3">
        <v>886</v>
      </c>
      <c r="U145" s="3">
        <f t="shared" si="10"/>
        <v>37212</v>
      </c>
      <c r="V145" s="3">
        <v>42</v>
      </c>
      <c r="W145" s="48">
        <v>0</v>
      </c>
      <c r="X145" s="48">
        <v>0</v>
      </c>
      <c r="Y145" s="48">
        <v>0</v>
      </c>
      <c r="Z145" s="48">
        <v>0</v>
      </c>
      <c r="AA145" s="48">
        <v>0</v>
      </c>
      <c r="AB145" s="48">
        <v>0</v>
      </c>
      <c r="AC145" s="4" t="str">
        <f t="shared" si="8"/>
        <v>Dumper</v>
      </c>
      <c r="AD145" s="4" t="str">
        <f t="shared" si="9"/>
        <v>Non-Operational</v>
      </c>
      <c r="AE145" s="4" t="str">
        <f t="shared" si="11"/>
        <v>Individual</v>
      </c>
    </row>
    <row r="146" spans="1:31" ht="13.5" customHeight="1" x14ac:dyDescent="0.35">
      <c r="A146" s="5">
        <v>8</v>
      </c>
      <c r="B146" s="5" t="s">
        <v>101</v>
      </c>
      <c r="C146" s="5" t="s">
        <v>177</v>
      </c>
      <c r="D146" s="53">
        <v>744.000799999999</v>
      </c>
      <c r="E146" s="49">
        <v>483.53729999999899</v>
      </c>
      <c r="F146" s="49">
        <v>421.289999999999</v>
      </c>
      <c r="G146" s="49">
        <v>415.16369999999898</v>
      </c>
      <c r="H146" s="49">
        <v>260.46349999999899</v>
      </c>
      <c r="I146" s="49">
        <v>12.806900000000001</v>
      </c>
      <c r="J146" s="49">
        <v>62.247299999999903</v>
      </c>
      <c r="K146" s="49">
        <v>4.4095000000000004</v>
      </c>
      <c r="L146" s="49">
        <v>415.16369999999898</v>
      </c>
      <c r="M146" s="49">
        <v>17.2164</v>
      </c>
      <c r="N146" s="49">
        <v>432.380099999999</v>
      </c>
      <c r="O146" s="57">
        <v>0.64991502700000003</v>
      </c>
      <c r="P146" s="57">
        <v>0.85859705139999998</v>
      </c>
      <c r="Q146" s="5">
        <v>0</v>
      </c>
      <c r="R146" s="49">
        <v>0</v>
      </c>
      <c r="S146" s="49">
        <v>0</v>
      </c>
      <c r="T146" s="5">
        <v>0</v>
      </c>
      <c r="U146" s="5">
        <f t="shared" si="10"/>
        <v>0</v>
      </c>
      <c r="V146" s="5">
        <v>42</v>
      </c>
      <c r="W146" s="49">
        <v>18738.73</v>
      </c>
      <c r="X146" s="49">
        <v>43.338557899999998</v>
      </c>
      <c r="Y146" s="49">
        <v>17992.596051716901</v>
      </c>
      <c r="Z146" s="49">
        <v>746.13394830000004</v>
      </c>
      <c r="AA146" s="49">
        <v>0</v>
      </c>
      <c r="AB146" s="49">
        <v>0</v>
      </c>
      <c r="AC146" s="4" t="str">
        <f t="shared" si="8"/>
        <v>Dumper</v>
      </c>
      <c r="AD146" s="4" t="str">
        <f t="shared" si="9"/>
        <v>Operational</v>
      </c>
      <c r="AE146" s="4" t="str">
        <f t="shared" si="11"/>
        <v>Individual</v>
      </c>
    </row>
    <row r="147" spans="1:31" ht="13.5" customHeight="1" x14ac:dyDescent="0.35">
      <c r="A147" s="3">
        <v>9</v>
      </c>
      <c r="B147" s="3" t="s">
        <v>101</v>
      </c>
      <c r="C147" s="3" t="s">
        <v>178</v>
      </c>
      <c r="D147" s="52">
        <v>744.00059999999996</v>
      </c>
      <c r="E147" s="48">
        <v>514.17819999999995</v>
      </c>
      <c r="F147" s="48">
        <v>453.85489999999999</v>
      </c>
      <c r="G147" s="48">
        <v>424.7946</v>
      </c>
      <c r="H147" s="48">
        <v>229.82239999999899</v>
      </c>
      <c r="I147" s="48">
        <v>11.9674</v>
      </c>
      <c r="J147" s="48">
        <v>60.323300000000003</v>
      </c>
      <c r="K147" s="48">
        <v>4.35719999999999</v>
      </c>
      <c r="L147" s="48">
        <v>424.7946</v>
      </c>
      <c r="M147" s="48">
        <v>16.324599999999901</v>
      </c>
      <c r="N147" s="48">
        <v>441.11919999999998</v>
      </c>
      <c r="O147" s="56">
        <v>0.69109917379999997</v>
      </c>
      <c r="P147" s="56">
        <v>0.82616221379999999</v>
      </c>
      <c r="Q147" s="3">
        <v>0</v>
      </c>
      <c r="R147" s="48">
        <v>0</v>
      </c>
      <c r="S147" s="48">
        <v>0</v>
      </c>
      <c r="T147" s="3">
        <v>1566</v>
      </c>
      <c r="U147" s="3">
        <f t="shared" si="10"/>
        <v>65772</v>
      </c>
      <c r="V147" s="3">
        <v>42</v>
      </c>
      <c r="W147" s="48">
        <v>18735.14</v>
      </c>
      <c r="X147" s="48">
        <v>42.471830740000001</v>
      </c>
      <c r="Y147" s="48">
        <v>18041.804351848601</v>
      </c>
      <c r="Z147" s="48">
        <v>693.33564820000004</v>
      </c>
      <c r="AA147" s="48">
        <v>11.96369093</v>
      </c>
      <c r="AB147" s="48">
        <v>0.2848497841</v>
      </c>
      <c r="AC147" s="4" t="str">
        <f t="shared" si="8"/>
        <v>Dumper</v>
      </c>
      <c r="AD147" s="4" t="str">
        <f t="shared" si="9"/>
        <v>Operational</v>
      </c>
      <c r="AE147" s="4" t="str">
        <f t="shared" si="11"/>
        <v>Individual</v>
      </c>
    </row>
    <row r="148" spans="1:31" ht="13.5" hidden="1" customHeight="1" x14ac:dyDescent="0.35">
      <c r="A148" s="5">
        <v>10</v>
      </c>
      <c r="B148" s="5" t="s">
        <v>101</v>
      </c>
      <c r="C148" s="5" t="s">
        <v>179</v>
      </c>
      <c r="D148" s="53">
        <v>744</v>
      </c>
      <c r="E148" s="49">
        <v>1.1863999999999999</v>
      </c>
      <c r="F148" s="49">
        <v>1.1863999999999999</v>
      </c>
      <c r="G148" s="49">
        <v>1.1629</v>
      </c>
      <c r="H148" s="49">
        <v>742.81359999999995</v>
      </c>
      <c r="I148" s="49">
        <v>0</v>
      </c>
      <c r="J148" s="49">
        <v>0</v>
      </c>
      <c r="K148" s="49">
        <v>0.4763</v>
      </c>
      <c r="L148" s="49">
        <v>1.1629</v>
      </c>
      <c r="M148" s="49">
        <v>0.4763</v>
      </c>
      <c r="N148" s="49">
        <v>1.6392</v>
      </c>
      <c r="O148" s="57">
        <v>1.5946236999999999E-3</v>
      </c>
      <c r="P148" s="57">
        <v>0.98019217800000003</v>
      </c>
      <c r="Q148" s="5">
        <v>0</v>
      </c>
      <c r="R148" s="49">
        <v>0</v>
      </c>
      <c r="S148" s="49">
        <v>0</v>
      </c>
      <c r="T148" s="5">
        <v>1302</v>
      </c>
      <c r="U148" s="5">
        <f t="shared" si="10"/>
        <v>54684</v>
      </c>
      <c r="V148" s="5">
        <v>42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" t="str">
        <f t="shared" si="8"/>
        <v>Dumper</v>
      </c>
      <c r="AD148" s="4" t="str">
        <f t="shared" si="9"/>
        <v>Operational</v>
      </c>
      <c r="AE148" s="4" t="str">
        <f t="shared" si="11"/>
        <v>Individual</v>
      </c>
    </row>
    <row r="149" spans="1:31" ht="13.5" hidden="1" customHeight="1" x14ac:dyDescent="0.35">
      <c r="A149" s="46">
        <v>4</v>
      </c>
      <c r="B149" s="46" t="s">
        <v>180</v>
      </c>
      <c r="C149" s="46">
        <v>10</v>
      </c>
      <c r="D149" s="54">
        <v>743.99995999999999</v>
      </c>
      <c r="E149" s="50">
        <v>378.56702000000001</v>
      </c>
      <c r="F149" s="50">
        <v>326.52670999999998</v>
      </c>
      <c r="G149" s="50">
        <v>317.25945000000002</v>
      </c>
      <c r="H149" s="50">
        <v>365.43293999999997</v>
      </c>
      <c r="I149" s="50">
        <v>9.2429199999999998</v>
      </c>
      <c r="J149" s="50">
        <v>52.040309999999998</v>
      </c>
      <c r="K149" s="50">
        <v>5.1451000000000002</v>
      </c>
      <c r="L149" s="50">
        <v>317.25945000000002</v>
      </c>
      <c r="M149" s="50">
        <v>14.388019999999999</v>
      </c>
      <c r="N149" s="50">
        <v>331.64747</v>
      </c>
      <c r="O149" s="58">
        <v>0.50882666710000002</v>
      </c>
      <c r="P149" s="58">
        <v>0.83805358959999998</v>
      </c>
      <c r="Q149" s="46">
        <v>0</v>
      </c>
      <c r="R149" s="50">
        <v>0</v>
      </c>
      <c r="S149" s="50">
        <v>0</v>
      </c>
      <c r="T149" s="46">
        <v>11009</v>
      </c>
      <c r="U149" s="46">
        <f t="shared" si="10"/>
        <v>462378</v>
      </c>
      <c r="V149" s="46">
        <v>42</v>
      </c>
      <c r="W149" s="50">
        <v>17351.272499999999</v>
      </c>
      <c r="X149" s="50">
        <v>42.022130259999997</v>
      </c>
      <c r="Y149" s="50">
        <v>16602.174361840302</v>
      </c>
      <c r="Z149" s="50">
        <v>749.09813819999999</v>
      </c>
      <c r="AA149" s="50">
        <v>45.58806654</v>
      </c>
      <c r="AB149" s="50">
        <v>1.0854301559999999</v>
      </c>
      <c r="AC149" s="47" t="str">
        <f t="shared" si="8"/>
        <v>Dumper</v>
      </c>
      <c r="AD149" s="47" t="str">
        <f t="shared" si="9"/>
        <v>Operational</v>
      </c>
      <c r="AE149" s="47" t="str">
        <f t="shared" si="11"/>
        <v>Aggregate</v>
      </c>
    </row>
    <row r="150" spans="1:31" ht="13.5" customHeight="1" x14ac:dyDescent="0.35">
      <c r="A150" s="5">
        <v>1</v>
      </c>
      <c r="B150" s="5" t="s">
        <v>181</v>
      </c>
      <c r="C150" s="5" t="s">
        <v>182</v>
      </c>
      <c r="D150" s="53">
        <v>741.13750000000005</v>
      </c>
      <c r="E150" s="49">
        <v>182.8587</v>
      </c>
      <c r="F150" s="49">
        <v>102.785</v>
      </c>
      <c r="G150" s="49">
        <v>85.111999999999995</v>
      </c>
      <c r="H150" s="49">
        <v>558.27880000000005</v>
      </c>
      <c r="I150" s="49">
        <v>14.627800000000001</v>
      </c>
      <c r="J150" s="49">
        <v>80.073700000000002</v>
      </c>
      <c r="K150" s="49">
        <v>44.610900000000001</v>
      </c>
      <c r="L150" s="49">
        <v>85.111999999999995</v>
      </c>
      <c r="M150" s="49">
        <v>59.238700000000001</v>
      </c>
      <c r="N150" s="49">
        <v>144.35069999999999</v>
      </c>
      <c r="O150" s="57">
        <v>0.24672709179999999</v>
      </c>
      <c r="P150" s="57">
        <v>0.46545228640000003</v>
      </c>
      <c r="Q150" s="5">
        <v>0</v>
      </c>
      <c r="R150" s="49">
        <v>0</v>
      </c>
      <c r="S150" s="49">
        <v>0</v>
      </c>
      <c r="T150" s="5">
        <v>0</v>
      </c>
      <c r="U150" s="5">
        <f t="shared" si="10"/>
        <v>0</v>
      </c>
      <c r="V150" s="5">
        <v>0</v>
      </c>
      <c r="W150" s="49">
        <v>1835.34</v>
      </c>
      <c r="X150" s="49">
        <v>12.71445168</v>
      </c>
      <c r="Y150" s="49">
        <v>1082.152411</v>
      </c>
      <c r="Z150" s="49">
        <v>753.18758869999999</v>
      </c>
      <c r="AA150" s="49">
        <v>0</v>
      </c>
      <c r="AB150" s="49">
        <v>0</v>
      </c>
      <c r="AC150" s="4" t="str">
        <f t="shared" si="8"/>
        <v>Front End Loader</v>
      </c>
      <c r="AD150" s="4" t="str">
        <f t="shared" si="9"/>
        <v>Operational</v>
      </c>
      <c r="AE150" s="4" t="str">
        <f t="shared" si="11"/>
        <v>Individual</v>
      </c>
    </row>
    <row r="151" spans="1:31" ht="13.5" customHeight="1" x14ac:dyDescent="0.35">
      <c r="A151" s="3">
        <v>2</v>
      </c>
      <c r="B151" s="3" t="s">
        <v>181</v>
      </c>
      <c r="C151" s="3" t="s">
        <v>183</v>
      </c>
      <c r="D151" s="52">
        <v>743.99890000000005</v>
      </c>
      <c r="E151" s="48">
        <v>649.08659999999998</v>
      </c>
      <c r="F151" s="48">
        <v>436.14190000000002</v>
      </c>
      <c r="G151" s="48">
        <v>431.69589999999999</v>
      </c>
      <c r="H151" s="48">
        <v>94.912300000000002</v>
      </c>
      <c r="I151" s="48">
        <v>20.2744</v>
      </c>
      <c r="J151" s="48">
        <v>212.94470000000001</v>
      </c>
      <c r="K151" s="48">
        <v>16.589700000000001</v>
      </c>
      <c r="L151" s="48">
        <v>431.69589999999999</v>
      </c>
      <c r="M151" s="48">
        <v>36.864100000000001</v>
      </c>
      <c r="N151" s="48">
        <v>468.56</v>
      </c>
      <c r="O151" s="56">
        <v>0.87242951570000005</v>
      </c>
      <c r="P151" s="56">
        <v>0.66508213230000002</v>
      </c>
      <c r="Q151" s="3">
        <v>0</v>
      </c>
      <c r="R151" s="48">
        <v>0</v>
      </c>
      <c r="S151" s="48">
        <v>0</v>
      </c>
      <c r="T151" s="3">
        <v>0</v>
      </c>
      <c r="U151" s="3">
        <f t="shared" si="10"/>
        <v>0</v>
      </c>
      <c r="V151" s="3">
        <v>0</v>
      </c>
      <c r="W151" s="48">
        <v>11047.32</v>
      </c>
      <c r="X151" s="48">
        <v>23.577172610000002</v>
      </c>
      <c r="Y151" s="48">
        <v>10178.168751041399</v>
      </c>
      <c r="Z151" s="48">
        <v>869.15124900000001</v>
      </c>
      <c r="AA151" s="48">
        <v>0</v>
      </c>
      <c r="AB151" s="48">
        <v>0</v>
      </c>
      <c r="AC151" s="4" t="str">
        <f t="shared" si="8"/>
        <v>Front End Loader</v>
      </c>
      <c r="AD151" s="4" t="str">
        <f t="shared" si="9"/>
        <v>Operational</v>
      </c>
      <c r="AE151" s="4" t="str">
        <f t="shared" si="11"/>
        <v>Individual</v>
      </c>
    </row>
    <row r="152" spans="1:31" ht="13.5" customHeight="1" x14ac:dyDescent="0.35">
      <c r="A152" s="5">
        <v>3</v>
      </c>
      <c r="B152" s="5" t="s">
        <v>181</v>
      </c>
      <c r="C152" s="5" t="s">
        <v>184</v>
      </c>
      <c r="D152" s="53">
        <v>744.00039999999899</v>
      </c>
      <c r="E152" s="49">
        <v>607.96489999999903</v>
      </c>
      <c r="F152" s="49">
        <v>425.87299999999902</v>
      </c>
      <c r="G152" s="49">
        <v>420.30369999999903</v>
      </c>
      <c r="H152" s="49">
        <v>136.03549999999899</v>
      </c>
      <c r="I152" s="49">
        <v>17.959</v>
      </c>
      <c r="J152" s="49">
        <v>182.09190000000001</v>
      </c>
      <c r="K152" s="49">
        <v>11.419499999999999</v>
      </c>
      <c r="L152" s="49">
        <v>420.30369999999903</v>
      </c>
      <c r="M152" s="49">
        <v>29.378499999999999</v>
      </c>
      <c r="N152" s="49">
        <v>449.682199999999</v>
      </c>
      <c r="O152" s="57">
        <v>0.81715668429999999</v>
      </c>
      <c r="P152" s="57">
        <v>0.69132889090000005</v>
      </c>
      <c r="Q152" s="5">
        <v>0</v>
      </c>
      <c r="R152" s="49">
        <v>0</v>
      </c>
      <c r="S152" s="49">
        <v>0</v>
      </c>
      <c r="T152" s="5">
        <v>0</v>
      </c>
      <c r="U152" s="5">
        <f t="shared" si="10"/>
        <v>0</v>
      </c>
      <c r="V152" s="5">
        <v>0</v>
      </c>
      <c r="W152" s="49">
        <v>10538.16</v>
      </c>
      <c r="X152" s="49">
        <v>23.43468343</v>
      </c>
      <c r="Y152" s="49">
        <v>9849.6841530000002</v>
      </c>
      <c r="Z152" s="49">
        <v>688.47584710000001</v>
      </c>
      <c r="AA152" s="49">
        <v>0</v>
      </c>
      <c r="AB152" s="49">
        <v>0</v>
      </c>
      <c r="AC152" s="4" t="str">
        <f t="shared" si="8"/>
        <v>Front End Loader</v>
      </c>
      <c r="AD152" s="4" t="str">
        <f t="shared" si="9"/>
        <v>Operational</v>
      </c>
      <c r="AE152" s="4" t="str">
        <f t="shared" si="11"/>
        <v>Individual</v>
      </c>
    </row>
    <row r="153" spans="1:31" ht="13.5" hidden="1" customHeight="1" x14ac:dyDescent="0.35">
      <c r="A153" s="3">
        <v>4</v>
      </c>
      <c r="B153" s="3" t="s">
        <v>181</v>
      </c>
      <c r="C153" s="3" t="s">
        <v>185</v>
      </c>
      <c r="D153" s="52">
        <v>744</v>
      </c>
      <c r="E153" s="48">
        <v>744</v>
      </c>
      <c r="F153" s="48">
        <v>0</v>
      </c>
      <c r="G153" s="48">
        <v>0</v>
      </c>
      <c r="H153" s="48">
        <v>0</v>
      </c>
      <c r="I153" s="48">
        <v>0</v>
      </c>
      <c r="J153" s="48">
        <v>744</v>
      </c>
      <c r="K153" s="48">
        <v>0</v>
      </c>
      <c r="L153" s="48">
        <v>0</v>
      </c>
      <c r="M153" s="48">
        <v>0</v>
      </c>
      <c r="N153" s="48">
        <v>0</v>
      </c>
      <c r="O153" s="56">
        <v>1</v>
      </c>
      <c r="P153" s="56">
        <v>0</v>
      </c>
      <c r="Q153" s="3">
        <v>0</v>
      </c>
      <c r="R153" s="48">
        <v>0</v>
      </c>
      <c r="S153" s="48">
        <v>0</v>
      </c>
      <c r="T153" s="3">
        <v>0</v>
      </c>
      <c r="U153" s="3">
        <f t="shared" si="10"/>
        <v>0</v>
      </c>
      <c r="V153" s="3">
        <v>0</v>
      </c>
      <c r="W153" s="48">
        <v>0</v>
      </c>
      <c r="X153" s="48">
        <v>0</v>
      </c>
      <c r="Y153" s="48">
        <v>0</v>
      </c>
      <c r="Z153" s="48">
        <v>0</v>
      </c>
      <c r="AA153" s="48">
        <v>0</v>
      </c>
      <c r="AB153" s="48">
        <v>0</v>
      </c>
      <c r="AC153" s="4" t="str">
        <f t="shared" si="8"/>
        <v>Front End Loader</v>
      </c>
      <c r="AD153" s="4" t="str">
        <f t="shared" si="9"/>
        <v>Operational</v>
      </c>
      <c r="AE153" s="4" t="str">
        <f t="shared" si="11"/>
        <v>Individual</v>
      </c>
    </row>
    <row r="154" spans="1:31" ht="13.5" customHeight="1" x14ac:dyDescent="0.35">
      <c r="A154" s="5">
        <v>5</v>
      </c>
      <c r="B154" s="5" t="s">
        <v>181</v>
      </c>
      <c r="C154" s="5" t="s">
        <v>186</v>
      </c>
      <c r="D154" s="53">
        <v>744.00030000000004</v>
      </c>
      <c r="E154" s="49">
        <v>700.61030000000005</v>
      </c>
      <c r="F154" s="49">
        <v>435.39420000000001</v>
      </c>
      <c r="G154" s="49">
        <v>429.83920000000001</v>
      </c>
      <c r="H154" s="49">
        <v>43.389999999999901</v>
      </c>
      <c r="I154" s="49">
        <v>19.950900000000001</v>
      </c>
      <c r="J154" s="49">
        <v>265.21609999999998</v>
      </c>
      <c r="K154" s="49">
        <v>6.8468999999999998</v>
      </c>
      <c r="L154" s="49">
        <v>429.83920000000001</v>
      </c>
      <c r="M154" s="49">
        <v>26.797799999999999</v>
      </c>
      <c r="N154" s="49">
        <v>456.637</v>
      </c>
      <c r="O154" s="57">
        <v>0.94168013100000003</v>
      </c>
      <c r="P154" s="57">
        <v>0.61352109720000003</v>
      </c>
      <c r="Q154" s="5">
        <v>0</v>
      </c>
      <c r="R154" s="49">
        <v>0</v>
      </c>
      <c r="S154" s="49">
        <v>0</v>
      </c>
      <c r="T154" s="5">
        <v>0</v>
      </c>
      <c r="U154" s="5">
        <f t="shared" si="10"/>
        <v>0</v>
      </c>
      <c r="V154" s="5">
        <v>0</v>
      </c>
      <c r="W154" s="49">
        <v>11145.3299999999</v>
      </c>
      <c r="X154" s="49">
        <v>24.407417710000001</v>
      </c>
      <c r="Y154" s="49">
        <v>10491.2649017403</v>
      </c>
      <c r="Z154" s="49">
        <v>654.06509830000005</v>
      </c>
      <c r="AA154" s="49">
        <v>0</v>
      </c>
      <c r="AB154" s="49">
        <v>0</v>
      </c>
      <c r="AC154" s="4" t="str">
        <f t="shared" si="8"/>
        <v>Front End Loader</v>
      </c>
      <c r="AD154" s="4" t="str">
        <f t="shared" si="9"/>
        <v>Operational</v>
      </c>
      <c r="AE154" s="4" t="str">
        <f t="shared" si="11"/>
        <v>Individual</v>
      </c>
    </row>
    <row r="155" spans="1:31" ht="13.5" customHeight="1" x14ac:dyDescent="0.35">
      <c r="A155" s="3">
        <v>6</v>
      </c>
      <c r="B155" s="3" t="s">
        <v>181</v>
      </c>
      <c r="C155" s="3" t="s">
        <v>187</v>
      </c>
      <c r="D155" s="52">
        <v>740.58040000000005</v>
      </c>
      <c r="E155" s="48">
        <v>271.26339999999999</v>
      </c>
      <c r="F155" s="48">
        <v>197.72040000000001</v>
      </c>
      <c r="G155" s="48">
        <v>195.930499999999</v>
      </c>
      <c r="H155" s="48">
        <v>469.31700000000001</v>
      </c>
      <c r="I155" s="48">
        <v>5.0606999999999998</v>
      </c>
      <c r="J155" s="48">
        <v>73.543000000000006</v>
      </c>
      <c r="K155" s="48">
        <v>1.60719999999999</v>
      </c>
      <c r="L155" s="48">
        <v>195.930499999999</v>
      </c>
      <c r="M155" s="48">
        <v>6.6678999999999897</v>
      </c>
      <c r="N155" s="48">
        <v>202.598399999999</v>
      </c>
      <c r="O155" s="56">
        <v>0.36628487599999998</v>
      </c>
      <c r="P155" s="56">
        <v>0.72228874219999994</v>
      </c>
      <c r="Q155" s="3">
        <v>0</v>
      </c>
      <c r="R155" s="48">
        <v>0</v>
      </c>
      <c r="S155" s="48">
        <v>0</v>
      </c>
      <c r="T155" s="3">
        <v>0</v>
      </c>
      <c r="U155" s="3">
        <f t="shared" si="10"/>
        <v>0</v>
      </c>
      <c r="V155" s="3">
        <v>0</v>
      </c>
      <c r="W155" s="48">
        <v>4677.07</v>
      </c>
      <c r="X155" s="48">
        <v>23.08542417</v>
      </c>
      <c r="Y155" s="48">
        <v>4523.1387001822304</v>
      </c>
      <c r="Z155" s="48">
        <v>153.93129980000001</v>
      </c>
      <c r="AA155" s="48">
        <v>0</v>
      </c>
      <c r="AB155" s="48">
        <v>0</v>
      </c>
      <c r="AC155" s="4" t="str">
        <f t="shared" si="8"/>
        <v>Front End Loader</v>
      </c>
      <c r="AD155" s="4" t="str">
        <f t="shared" si="9"/>
        <v>Operational</v>
      </c>
      <c r="AE155" s="4" t="str">
        <f t="shared" si="11"/>
        <v>Individual</v>
      </c>
    </row>
    <row r="156" spans="1:31" ht="13.5" customHeight="1" x14ac:dyDescent="0.35">
      <c r="A156" s="5">
        <v>7</v>
      </c>
      <c r="B156" s="5" t="s">
        <v>181</v>
      </c>
      <c r="C156" s="5" t="s">
        <v>188</v>
      </c>
      <c r="D156" s="53">
        <v>743.99919999999895</v>
      </c>
      <c r="E156" s="49">
        <v>577.59949999999901</v>
      </c>
      <c r="F156" s="49">
        <v>387.51579999999899</v>
      </c>
      <c r="G156" s="49">
        <v>385.77019999999902</v>
      </c>
      <c r="H156" s="49">
        <v>166.3997</v>
      </c>
      <c r="I156" s="49">
        <v>19.947399999999998</v>
      </c>
      <c r="J156" s="49">
        <v>190.08369999999999</v>
      </c>
      <c r="K156" s="49">
        <v>16.4527</v>
      </c>
      <c r="L156" s="49">
        <v>385.77019999999902</v>
      </c>
      <c r="M156" s="49">
        <v>36.400100000000002</v>
      </c>
      <c r="N156" s="49">
        <v>422.17029999999897</v>
      </c>
      <c r="O156" s="57">
        <v>0.77634424879999997</v>
      </c>
      <c r="P156" s="57">
        <v>0.66788527340000003</v>
      </c>
      <c r="Q156" s="5">
        <v>0</v>
      </c>
      <c r="R156" s="49">
        <v>0</v>
      </c>
      <c r="S156" s="49">
        <v>0</v>
      </c>
      <c r="T156" s="5">
        <v>0</v>
      </c>
      <c r="U156" s="5">
        <f t="shared" si="10"/>
        <v>0</v>
      </c>
      <c r="V156" s="5">
        <v>0</v>
      </c>
      <c r="W156" s="49">
        <v>11278.51</v>
      </c>
      <c r="X156" s="49">
        <v>26.715545840000001</v>
      </c>
      <c r="Y156" s="49">
        <v>10306.061460036301</v>
      </c>
      <c r="Z156" s="49">
        <v>972.44853996361303</v>
      </c>
      <c r="AA156" s="49">
        <v>0</v>
      </c>
      <c r="AB156" s="49">
        <v>0</v>
      </c>
      <c r="AC156" s="4" t="str">
        <f t="shared" si="8"/>
        <v>Front End Loader</v>
      </c>
      <c r="AD156" s="4" t="str">
        <f t="shared" si="9"/>
        <v>Operational</v>
      </c>
      <c r="AE156" s="4" t="str">
        <f t="shared" si="11"/>
        <v>Individual</v>
      </c>
    </row>
    <row r="157" spans="1:31" ht="13.5" customHeight="1" x14ac:dyDescent="0.35">
      <c r="A157" s="3">
        <v>8</v>
      </c>
      <c r="B157" s="3" t="s">
        <v>181</v>
      </c>
      <c r="C157" s="3" t="s">
        <v>189</v>
      </c>
      <c r="D157" s="52">
        <v>743.99969999999996</v>
      </c>
      <c r="E157" s="48">
        <v>715.34100000000001</v>
      </c>
      <c r="F157" s="48">
        <v>476.45650000000001</v>
      </c>
      <c r="G157" s="48">
        <v>476.45650000000001</v>
      </c>
      <c r="H157" s="48">
        <v>28.6587</v>
      </c>
      <c r="I157" s="48">
        <v>46.787300000000002</v>
      </c>
      <c r="J157" s="48">
        <v>238.88449999999901</v>
      </c>
      <c r="K157" s="48">
        <v>24.855599999999999</v>
      </c>
      <c r="L157" s="48">
        <v>476.45650000000001</v>
      </c>
      <c r="M157" s="48">
        <v>71.642899999999997</v>
      </c>
      <c r="N157" s="48">
        <v>548.09939999999995</v>
      </c>
      <c r="O157" s="56">
        <v>0.96148022639999997</v>
      </c>
      <c r="P157" s="56">
        <v>0.66605507019999999</v>
      </c>
      <c r="Q157" s="3">
        <v>0</v>
      </c>
      <c r="R157" s="48">
        <v>0</v>
      </c>
      <c r="S157" s="48">
        <v>0</v>
      </c>
      <c r="T157" s="3">
        <v>0</v>
      </c>
      <c r="U157" s="3">
        <f t="shared" si="10"/>
        <v>0</v>
      </c>
      <c r="V157" s="3">
        <v>0</v>
      </c>
      <c r="W157" s="48">
        <v>12277.279999999901</v>
      </c>
      <c r="X157" s="48">
        <v>22.3997326</v>
      </c>
      <c r="Y157" s="48">
        <v>10672.498197078799</v>
      </c>
      <c r="Z157" s="48">
        <v>1604.7818030000001</v>
      </c>
      <c r="AA157" s="48">
        <v>0</v>
      </c>
      <c r="AB157" s="48">
        <v>0</v>
      </c>
      <c r="AC157" s="4" t="str">
        <f t="shared" si="8"/>
        <v>Front End Loader</v>
      </c>
      <c r="AD157" s="4" t="str">
        <f t="shared" si="9"/>
        <v>Operational</v>
      </c>
      <c r="AE157" s="4" t="str">
        <f t="shared" si="11"/>
        <v>Individual</v>
      </c>
    </row>
    <row r="158" spans="1:31" ht="13.5" hidden="1" customHeight="1" x14ac:dyDescent="0.35">
      <c r="A158" s="5">
        <v>9</v>
      </c>
      <c r="B158" s="5" t="s">
        <v>181</v>
      </c>
      <c r="C158" s="5" t="s">
        <v>190</v>
      </c>
      <c r="D158" s="53">
        <v>744</v>
      </c>
      <c r="E158" s="49">
        <v>744</v>
      </c>
      <c r="F158" s="49">
        <v>0</v>
      </c>
      <c r="G158" s="49">
        <v>0</v>
      </c>
      <c r="H158" s="49">
        <v>0</v>
      </c>
      <c r="I158" s="49">
        <v>0</v>
      </c>
      <c r="J158" s="49">
        <v>744</v>
      </c>
      <c r="K158" s="49">
        <v>0</v>
      </c>
      <c r="L158" s="49">
        <v>0</v>
      </c>
      <c r="M158" s="49">
        <v>0</v>
      </c>
      <c r="N158" s="49">
        <v>0</v>
      </c>
      <c r="O158" s="57">
        <v>1</v>
      </c>
      <c r="P158" s="57">
        <v>0</v>
      </c>
      <c r="Q158" s="5">
        <v>0</v>
      </c>
      <c r="R158" s="49">
        <v>0</v>
      </c>
      <c r="S158" s="49">
        <v>0</v>
      </c>
      <c r="T158" s="5">
        <v>0</v>
      </c>
      <c r="U158" s="5">
        <f t="shared" si="10"/>
        <v>0</v>
      </c>
      <c r="V158" s="5">
        <v>0</v>
      </c>
      <c r="W158" s="49">
        <v>0</v>
      </c>
      <c r="X158" s="49">
        <v>0</v>
      </c>
      <c r="Y158" s="49">
        <v>0</v>
      </c>
      <c r="Z158" s="49">
        <v>0</v>
      </c>
      <c r="AA158" s="49">
        <v>0</v>
      </c>
      <c r="AB158" s="49">
        <v>0</v>
      </c>
      <c r="AC158" s="4" t="str">
        <f t="shared" si="8"/>
        <v>Front End Loader</v>
      </c>
      <c r="AD158" s="4" t="str">
        <f t="shared" si="9"/>
        <v>Operational</v>
      </c>
      <c r="AE158" s="4" t="str">
        <f t="shared" si="11"/>
        <v>Individual</v>
      </c>
    </row>
    <row r="159" spans="1:31" ht="13.5" customHeight="1" x14ac:dyDescent="0.35">
      <c r="A159" s="3">
        <v>10</v>
      </c>
      <c r="B159" s="3" t="s">
        <v>181</v>
      </c>
      <c r="C159" s="3" t="s">
        <v>191</v>
      </c>
      <c r="D159" s="52">
        <v>744.00099999999895</v>
      </c>
      <c r="E159" s="48">
        <v>632.50039999999899</v>
      </c>
      <c r="F159" s="48">
        <v>369.623099999999</v>
      </c>
      <c r="G159" s="48">
        <v>365.679699999999</v>
      </c>
      <c r="H159" s="48">
        <v>111.500599999999</v>
      </c>
      <c r="I159" s="48">
        <v>15.3332999999999</v>
      </c>
      <c r="J159" s="48">
        <v>262.87729999999999</v>
      </c>
      <c r="K159" s="48">
        <v>3.0583</v>
      </c>
      <c r="L159" s="48">
        <v>365.679699999999</v>
      </c>
      <c r="M159" s="48">
        <v>18.391599999999901</v>
      </c>
      <c r="N159" s="48">
        <v>384.07129999999898</v>
      </c>
      <c r="O159" s="56">
        <v>0.85013380360000002</v>
      </c>
      <c r="P159" s="56">
        <v>0.57814935769999998</v>
      </c>
      <c r="Q159" s="3">
        <v>0</v>
      </c>
      <c r="R159" s="48">
        <v>0</v>
      </c>
      <c r="S159" s="48">
        <v>0</v>
      </c>
      <c r="T159" s="3">
        <v>0</v>
      </c>
      <c r="U159" s="3">
        <f t="shared" si="10"/>
        <v>0</v>
      </c>
      <c r="V159" s="3">
        <v>0</v>
      </c>
      <c r="W159" s="48">
        <v>9824.6999999999898</v>
      </c>
      <c r="X159" s="48">
        <v>25.580406549999999</v>
      </c>
      <c r="Y159" s="48">
        <v>9354.2353949999997</v>
      </c>
      <c r="Z159" s="48">
        <v>470.46460519999999</v>
      </c>
      <c r="AA159" s="48">
        <v>0</v>
      </c>
      <c r="AB159" s="48">
        <v>0</v>
      </c>
      <c r="AC159" s="4" t="str">
        <f t="shared" si="8"/>
        <v>Front End Loader</v>
      </c>
      <c r="AD159" s="4" t="str">
        <f t="shared" si="9"/>
        <v>Operational</v>
      </c>
      <c r="AE159" s="4" t="str">
        <f t="shared" si="11"/>
        <v>Individual</v>
      </c>
    </row>
    <row r="160" spans="1:31" ht="13.5" customHeight="1" x14ac:dyDescent="0.35">
      <c r="A160" s="5">
        <v>11</v>
      </c>
      <c r="B160" s="5" t="s">
        <v>181</v>
      </c>
      <c r="C160" s="5" t="s">
        <v>192</v>
      </c>
      <c r="D160" s="53">
        <v>744.00109999999904</v>
      </c>
      <c r="E160" s="49">
        <v>632.91759999999897</v>
      </c>
      <c r="F160" s="49">
        <v>481.32369999999901</v>
      </c>
      <c r="G160" s="49">
        <v>474.60059999999902</v>
      </c>
      <c r="H160" s="49">
        <v>111.08349999999901</v>
      </c>
      <c r="I160" s="49">
        <v>15.5670999999999</v>
      </c>
      <c r="J160" s="49">
        <v>151.59389999999999</v>
      </c>
      <c r="K160" s="49">
        <v>5.2061999999999999</v>
      </c>
      <c r="L160" s="49">
        <v>474.60059999999902</v>
      </c>
      <c r="M160" s="49">
        <v>20.7732999999999</v>
      </c>
      <c r="N160" s="49">
        <v>495.37389999999903</v>
      </c>
      <c r="O160" s="57">
        <v>0.85069444120000004</v>
      </c>
      <c r="P160" s="57">
        <v>0.74986159340000003</v>
      </c>
      <c r="Q160" s="5">
        <v>0</v>
      </c>
      <c r="R160" s="49">
        <v>0</v>
      </c>
      <c r="S160" s="49">
        <v>0</v>
      </c>
      <c r="T160" s="5">
        <v>0</v>
      </c>
      <c r="U160" s="5">
        <f t="shared" si="10"/>
        <v>0</v>
      </c>
      <c r="V160" s="5">
        <v>0</v>
      </c>
      <c r="W160" s="49">
        <v>11044.84</v>
      </c>
      <c r="X160" s="49">
        <v>22.295966740000001</v>
      </c>
      <c r="Y160" s="49">
        <v>10581.679194047099</v>
      </c>
      <c r="Z160" s="49">
        <v>463.16080599999998</v>
      </c>
      <c r="AA160" s="49">
        <v>0</v>
      </c>
      <c r="AB160" s="49">
        <v>0</v>
      </c>
      <c r="AC160" s="4" t="str">
        <f t="shared" si="8"/>
        <v>Front End Loader</v>
      </c>
      <c r="AD160" s="4" t="str">
        <f t="shared" si="9"/>
        <v>Operational</v>
      </c>
      <c r="AE160" s="4" t="str">
        <f t="shared" si="11"/>
        <v>Individual</v>
      </c>
    </row>
    <row r="161" spans="1:31" ht="13.5" customHeight="1" x14ac:dyDescent="0.35">
      <c r="A161" s="3">
        <v>12</v>
      </c>
      <c r="B161" s="3" t="s">
        <v>181</v>
      </c>
      <c r="C161" s="3" t="s">
        <v>193</v>
      </c>
      <c r="D161" s="52">
        <v>744.00009999999895</v>
      </c>
      <c r="E161" s="48">
        <v>596.12159999999994</v>
      </c>
      <c r="F161" s="48">
        <v>403.13829999999899</v>
      </c>
      <c r="G161" s="48">
        <v>403.00219999999899</v>
      </c>
      <c r="H161" s="48">
        <v>147.87849999999901</v>
      </c>
      <c r="I161" s="48">
        <v>43.343800000000002</v>
      </c>
      <c r="J161" s="48">
        <v>192.98330000000001</v>
      </c>
      <c r="K161" s="48">
        <v>16.398699999999899</v>
      </c>
      <c r="L161" s="48">
        <v>403.00219999999899</v>
      </c>
      <c r="M161" s="48">
        <v>59.7425</v>
      </c>
      <c r="N161" s="48">
        <v>462.744699999999</v>
      </c>
      <c r="O161" s="56">
        <v>0.80123860199999997</v>
      </c>
      <c r="P161" s="56">
        <v>0.67604025759999997</v>
      </c>
      <c r="Q161" s="3">
        <v>0</v>
      </c>
      <c r="R161" s="48">
        <v>0</v>
      </c>
      <c r="S161" s="48">
        <v>0</v>
      </c>
      <c r="T161" s="3">
        <v>0</v>
      </c>
      <c r="U161" s="3">
        <f t="shared" si="10"/>
        <v>0</v>
      </c>
      <c r="V161" s="3">
        <v>0</v>
      </c>
      <c r="W161" s="48">
        <v>9651.0199999999895</v>
      </c>
      <c r="X161" s="48">
        <v>20.856035739999999</v>
      </c>
      <c r="Y161" s="48">
        <v>8405.0282850000003</v>
      </c>
      <c r="Z161" s="48">
        <v>1245.9917150000001</v>
      </c>
      <c r="AA161" s="48">
        <v>0</v>
      </c>
      <c r="AB161" s="48">
        <v>0</v>
      </c>
      <c r="AC161" s="4" t="str">
        <f t="shared" si="8"/>
        <v>Front End Loader</v>
      </c>
      <c r="AD161" s="4" t="str">
        <f t="shared" si="9"/>
        <v>Operational</v>
      </c>
      <c r="AE161" s="4" t="str">
        <f t="shared" si="11"/>
        <v>Individual</v>
      </c>
    </row>
    <row r="162" spans="1:31" ht="13.5" customHeight="1" x14ac:dyDescent="0.35">
      <c r="A162" s="5">
        <v>13</v>
      </c>
      <c r="B162" s="5" t="s">
        <v>181</v>
      </c>
      <c r="C162" s="5" t="s">
        <v>194</v>
      </c>
      <c r="D162" s="53">
        <v>743.99939999999901</v>
      </c>
      <c r="E162" s="49">
        <v>703.03619999999898</v>
      </c>
      <c r="F162" s="49">
        <v>478.27379999999903</v>
      </c>
      <c r="G162" s="49">
        <v>472.36399999999998</v>
      </c>
      <c r="H162" s="49">
        <v>40.963200000000001</v>
      </c>
      <c r="I162" s="49">
        <v>23.7105</v>
      </c>
      <c r="J162" s="49">
        <v>224.76240000000001</v>
      </c>
      <c r="K162" s="49">
        <v>4.3718000000000004</v>
      </c>
      <c r="L162" s="49">
        <v>472.36399999999998</v>
      </c>
      <c r="M162" s="49">
        <v>28.0823</v>
      </c>
      <c r="N162" s="49">
        <v>500.44629999999898</v>
      </c>
      <c r="O162" s="57">
        <v>0.94494189110000004</v>
      </c>
      <c r="P162" s="57">
        <v>0.6718914332</v>
      </c>
      <c r="Q162" s="5">
        <v>0</v>
      </c>
      <c r="R162" s="49">
        <v>0</v>
      </c>
      <c r="S162" s="49">
        <v>0</v>
      </c>
      <c r="T162" s="5">
        <v>0</v>
      </c>
      <c r="U162" s="5">
        <f t="shared" si="10"/>
        <v>0</v>
      </c>
      <c r="V162" s="5">
        <v>0</v>
      </c>
      <c r="W162" s="49">
        <v>11743.719999999899</v>
      </c>
      <c r="X162" s="49">
        <v>23.466493809999999</v>
      </c>
      <c r="Y162" s="49">
        <v>11084.726880946</v>
      </c>
      <c r="Z162" s="49">
        <v>658.99311909999994</v>
      </c>
      <c r="AA162" s="49">
        <v>0</v>
      </c>
      <c r="AB162" s="49">
        <v>0</v>
      </c>
      <c r="AC162" s="4" t="str">
        <f t="shared" si="8"/>
        <v>Front End Loader</v>
      </c>
      <c r="AD162" s="4" t="str">
        <f t="shared" si="9"/>
        <v>Operational</v>
      </c>
      <c r="AE162" s="4" t="str">
        <f t="shared" si="11"/>
        <v>Individual</v>
      </c>
    </row>
    <row r="163" spans="1:31" ht="13.5" customHeight="1" x14ac:dyDescent="0.35">
      <c r="A163" s="3">
        <v>14</v>
      </c>
      <c r="B163" s="3" t="s">
        <v>181</v>
      </c>
      <c r="C163" s="3" t="s">
        <v>195</v>
      </c>
      <c r="D163" s="52">
        <v>743.99939999999901</v>
      </c>
      <c r="E163" s="48">
        <v>686.33849999999904</v>
      </c>
      <c r="F163" s="48">
        <v>457.97259999999898</v>
      </c>
      <c r="G163" s="48">
        <v>452.60739999999902</v>
      </c>
      <c r="H163" s="48">
        <v>57.660899999999998</v>
      </c>
      <c r="I163" s="48">
        <v>14.223099999999899</v>
      </c>
      <c r="J163" s="48">
        <v>228.36590000000001</v>
      </c>
      <c r="K163" s="48">
        <v>2.1103000000000001</v>
      </c>
      <c r="L163" s="48">
        <v>452.60739999999902</v>
      </c>
      <c r="M163" s="48">
        <v>16.333399999999902</v>
      </c>
      <c r="N163" s="48">
        <v>468.940799999999</v>
      </c>
      <c r="O163" s="56">
        <v>0.92249872779999997</v>
      </c>
      <c r="P163" s="56">
        <v>0.65945215079999997</v>
      </c>
      <c r="Q163" s="3">
        <v>0</v>
      </c>
      <c r="R163" s="48">
        <v>0</v>
      </c>
      <c r="S163" s="48">
        <v>0</v>
      </c>
      <c r="T163" s="3">
        <v>0</v>
      </c>
      <c r="U163" s="3">
        <f t="shared" si="10"/>
        <v>0</v>
      </c>
      <c r="V163" s="3">
        <v>0</v>
      </c>
      <c r="W163" s="48">
        <v>12502.74</v>
      </c>
      <c r="X163" s="48">
        <v>26.66165964</v>
      </c>
      <c r="Y163" s="48">
        <v>12067.2644484677</v>
      </c>
      <c r="Z163" s="48">
        <v>435.47555149999999</v>
      </c>
      <c r="AA163" s="48">
        <v>0</v>
      </c>
      <c r="AB163" s="48">
        <v>0</v>
      </c>
      <c r="AC163" s="4" t="str">
        <f t="shared" si="8"/>
        <v>Front End Loader</v>
      </c>
      <c r="AD163" s="4" t="str">
        <f t="shared" si="9"/>
        <v>Operational</v>
      </c>
      <c r="AE163" s="4" t="str">
        <f t="shared" si="11"/>
        <v>Individual</v>
      </c>
    </row>
    <row r="164" spans="1:31" ht="13.5" customHeight="1" x14ac:dyDescent="0.35">
      <c r="A164" s="5">
        <v>15</v>
      </c>
      <c r="B164" s="5" t="s">
        <v>181</v>
      </c>
      <c r="C164" s="5" t="s">
        <v>196</v>
      </c>
      <c r="D164" s="53">
        <v>744.000799999999</v>
      </c>
      <c r="E164" s="49">
        <v>705.59339999999895</v>
      </c>
      <c r="F164" s="49">
        <v>488.08019999999902</v>
      </c>
      <c r="G164" s="49">
        <v>487.313299999999</v>
      </c>
      <c r="H164" s="49">
        <v>38.407400000000003</v>
      </c>
      <c r="I164" s="49">
        <v>40.757100000000001</v>
      </c>
      <c r="J164" s="49">
        <v>217.51320000000001</v>
      </c>
      <c r="K164" s="49">
        <v>13.657699999999901</v>
      </c>
      <c r="L164" s="49">
        <v>487.313299999999</v>
      </c>
      <c r="M164" s="49">
        <v>54.4148</v>
      </c>
      <c r="N164" s="49">
        <v>541.72809999999902</v>
      </c>
      <c r="O164" s="57">
        <v>0.94837720599999997</v>
      </c>
      <c r="P164" s="57">
        <v>0.69064322310000004</v>
      </c>
      <c r="Q164" s="5">
        <v>0</v>
      </c>
      <c r="R164" s="49">
        <v>0</v>
      </c>
      <c r="S164" s="49">
        <v>0</v>
      </c>
      <c r="T164" s="5">
        <v>0</v>
      </c>
      <c r="U164" s="5">
        <f t="shared" si="10"/>
        <v>0</v>
      </c>
      <c r="V164" s="5">
        <v>0</v>
      </c>
      <c r="W164" s="49">
        <v>0</v>
      </c>
      <c r="X164" s="49">
        <v>0</v>
      </c>
      <c r="Y164" s="49">
        <v>0</v>
      </c>
      <c r="Z164" s="49">
        <v>0</v>
      </c>
      <c r="AA164" s="49">
        <v>0</v>
      </c>
      <c r="AB164" s="49">
        <v>0</v>
      </c>
      <c r="AC164" s="4" t="str">
        <f t="shared" si="8"/>
        <v>Front End Loader</v>
      </c>
      <c r="AD164" s="4" t="str">
        <f t="shared" si="9"/>
        <v>Operational</v>
      </c>
      <c r="AE164" s="4" t="str">
        <f t="shared" si="11"/>
        <v>Individual</v>
      </c>
    </row>
    <row r="165" spans="1:31" ht="13.5" hidden="1" customHeight="1" x14ac:dyDescent="0.35">
      <c r="A165" s="3">
        <v>16</v>
      </c>
      <c r="B165" s="3" t="s">
        <v>181</v>
      </c>
      <c r="C165" s="3" t="s">
        <v>197</v>
      </c>
      <c r="D165" s="52">
        <v>744</v>
      </c>
      <c r="E165" s="48">
        <v>0</v>
      </c>
      <c r="F165" s="48">
        <v>0</v>
      </c>
      <c r="G165" s="48">
        <v>0</v>
      </c>
      <c r="H165" s="48">
        <v>744</v>
      </c>
      <c r="I165" s="48">
        <v>0</v>
      </c>
      <c r="J165" s="48">
        <v>0</v>
      </c>
      <c r="K165" s="48">
        <v>0</v>
      </c>
      <c r="L165" s="48">
        <v>0</v>
      </c>
      <c r="M165" s="48">
        <v>0</v>
      </c>
      <c r="N165" s="48">
        <v>0</v>
      </c>
      <c r="O165" s="56">
        <v>0</v>
      </c>
      <c r="P165" s="56">
        <v>0</v>
      </c>
      <c r="Q165" s="3">
        <v>0</v>
      </c>
      <c r="R165" s="48">
        <v>0</v>
      </c>
      <c r="S165" s="48">
        <v>0</v>
      </c>
      <c r="T165" s="3">
        <v>0</v>
      </c>
      <c r="U165" s="3">
        <f t="shared" si="10"/>
        <v>0</v>
      </c>
      <c r="V165" s="3">
        <v>0</v>
      </c>
      <c r="W165" s="48">
        <v>0</v>
      </c>
      <c r="X165" s="48">
        <v>0</v>
      </c>
      <c r="Y165" s="48">
        <v>0</v>
      </c>
      <c r="Z165" s="48">
        <v>0</v>
      </c>
      <c r="AA165" s="48">
        <v>0</v>
      </c>
      <c r="AB165" s="48">
        <v>0</v>
      </c>
      <c r="AC165" s="4" t="str">
        <f t="shared" si="8"/>
        <v>Front End Loader</v>
      </c>
      <c r="AD165" s="4" t="str">
        <f t="shared" si="9"/>
        <v>Non-Operational</v>
      </c>
      <c r="AE165" s="4" t="str">
        <f t="shared" si="11"/>
        <v>Individual</v>
      </c>
    </row>
    <row r="166" spans="1:31" ht="13.5" hidden="1" customHeight="1" x14ac:dyDescent="0.35">
      <c r="A166" s="47">
        <v>5</v>
      </c>
      <c r="B166" s="47" t="s">
        <v>198</v>
      </c>
      <c r="C166" s="47">
        <v>16</v>
      </c>
      <c r="D166" s="55">
        <v>743.60738749999996</v>
      </c>
      <c r="E166" s="51">
        <v>571.82700629999999</v>
      </c>
      <c r="F166" s="51">
        <v>321.26865629999998</v>
      </c>
      <c r="G166" s="51">
        <v>317.54219999999901</v>
      </c>
      <c r="H166" s="51">
        <v>171.78038129999999</v>
      </c>
      <c r="I166" s="51">
        <v>18.596399999999999</v>
      </c>
      <c r="J166" s="51">
        <v>250.55834999999999</v>
      </c>
      <c r="K166" s="51">
        <v>10.449093749999999</v>
      </c>
      <c r="L166" s="51">
        <v>317.54219999999901</v>
      </c>
      <c r="M166" s="51">
        <v>29.045493749999999</v>
      </c>
      <c r="N166" s="51">
        <v>346.58769380000001</v>
      </c>
      <c r="O166" s="59">
        <v>0.76899048589999996</v>
      </c>
      <c r="P166" s="59">
        <v>0.55531165289999995</v>
      </c>
      <c r="Q166" s="47">
        <v>0</v>
      </c>
      <c r="R166" s="51">
        <v>0</v>
      </c>
      <c r="S166" s="51">
        <v>0</v>
      </c>
      <c r="T166" s="47">
        <v>0</v>
      </c>
      <c r="U166" s="47">
        <f t="shared" si="10"/>
        <v>0</v>
      </c>
      <c r="V166" s="47">
        <v>0</v>
      </c>
      <c r="W166" s="51">
        <v>9797.169167</v>
      </c>
      <c r="X166" s="51">
        <v>22.932915879999999</v>
      </c>
      <c r="Y166" s="51">
        <v>9049.6585649999997</v>
      </c>
      <c r="Z166" s="51">
        <v>747.51060189999998</v>
      </c>
      <c r="AA166" s="51">
        <v>0</v>
      </c>
      <c r="AB166" s="51">
        <v>0</v>
      </c>
      <c r="AC166" s="47" t="str">
        <f t="shared" si="8"/>
        <v>Front End Loader</v>
      </c>
      <c r="AD166" s="47" t="str">
        <f t="shared" si="9"/>
        <v>Operational</v>
      </c>
      <c r="AE166" s="47" t="str">
        <f t="shared" si="11"/>
        <v>Aggregate</v>
      </c>
    </row>
    <row r="167" spans="1:31" ht="13.5" customHeight="1" x14ac:dyDescent="0.35">
      <c r="A167" s="3">
        <v>1</v>
      </c>
      <c r="B167" s="3" t="s">
        <v>199</v>
      </c>
      <c r="C167" s="3" t="s">
        <v>200</v>
      </c>
      <c r="D167" s="52">
        <v>743.99990000000003</v>
      </c>
      <c r="E167" s="48">
        <v>616.4307</v>
      </c>
      <c r="F167" s="48">
        <v>538.24519999999995</v>
      </c>
      <c r="G167" s="48">
        <v>520.89099999999905</v>
      </c>
      <c r="H167" s="48">
        <v>127.5692</v>
      </c>
      <c r="I167" s="48">
        <v>0</v>
      </c>
      <c r="J167" s="48">
        <v>78.185500000000005</v>
      </c>
      <c r="K167" s="48">
        <v>0</v>
      </c>
      <c r="L167" s="48">
        <v>520.89099999999905</v>
      </c>
      <c r="M167" s="48">
        <v>0</v>
      </c>
      <c r="N167" s="48">
        <v>520.89099999999905</v>
      </c>
      <c r="O167" s="56">
        <v>0.82853599850000004</v>
      </c>
      <c r="P167" s="56">
        <v>0.84501145060000005</v>
      </c>
      <c r="Q167" s="3">
        <v>0</v>
      </c>
      <c r="R167" s="48">
        <v>0</v>
      </c>
      <c r="S167" s="48">
        <v>0</v>
      </c>
      <c r="T167" s="3">
        <v>0</v>
      </c>
      <c r="U167" s="3">
        <f t="shared" si="10"/>
        <v>0</v>
      </c>
      <c r="V167" s="3">
        <v>0</v>
      </c>
      <c r="W167" s="48">
        <v>66982.78</v>
      </c>
      <c r="X167" s="48">
        <v>128.59269979999999</v>
      </c>
      <c r="Y167" s="48">
        <v>66982.78</v>
      </c>
      <c r="Z167" s="48">
        <v>0</v>
      </c>
      <c r="AA167" s="48">
        <v>0</v>
      </c>
      <c r="AB167" s="48">
        <v>0</v>
      </c>
      <c r="AC167" s="4" t="str">
        <f t="shared" si="8"/>
        <v>Excavator</v>
      </c>
      <c r="AD167" s="4" t="str">
        <f t="shared" si="9"/>
        <v>Operational</v>
      </c>
      <c r="AE167" s="4" t="str">
        <f t="shared" si="11"/>
        <v>Individual</v>
      </c>
    </row>
    <row r="168" spans="1:31" ht="13.5" customHeight="1" x14ac:dyDescent="0.35">
      <c r="A168" s="5">
        <v>2</v>
      </c>
      <c r="B168" s="5" t="s">
        <v>199</v>
      </c>
      <c r="C168" s="5" t="s">
        <v>201</v>
      </c>
      <c r="D168" s="53">
        <v>744.00039999999899</v>
      </c>
      <c r="E168" s="49">
        <v>481.65460000000002</v>
      </c>
      <c r="F168" s="49">
        <v>450.46879999999999</v>
      </c>
      <c r="G168" s="49">
        <v>444.08749999999998</v>
      </c>
      <c r="H168" s="49">
        <v>262.34579999999897</v>
      </c>
      <c r="I168" s="49">
        <v>0</v>
      </c>
      <c r="J168" s="49">
        <v>31.1858</v>
      </c>
      <c r="K168" s="49">
        <v>0</v>
      </c>
      <c r="L168" s="49">
        <v>444.08749999999998</v>
      </c>
      <c r="M168" s="49">
        <v>0</v>
      </c>
      <c r="N168" s="49">
        <v>444.08749999999998</v>
      </c>
      <c r="O168" s="57">
        <v>0.64738486699999997</v>
      </c>
      <c r="P168" s="57">
        <v>0.92200406680000002</v>
      </c>
      <c r="Q168" s="5">
        <v>0</v>
      </c>
      <c r="R168" s="49">
        <v>0</v>
      </c>
      <c r="S168" s="49">
        <v>0</v>
      </c>
      <c r="T168" s="5">
        <v>0</v>
      </c>
      <c r="U168" s="5">
        <f t="shared" si="10"/>
        <v>0</v>
      </c>
      <c r="V168" s="5">
        <v>0</v>
      </c>
      <c r="W168" s="49">
        <v>12374.3299999999</v>
      </c>
      <c r="X168" s="49">
        <v>27.864621270000001</v>
      </c>
      <c r="Y168" s="49">
        <v>12374.3299999999</v>
      </c>
      <c r="Z168" s="49">
        <v>0</v>
      </c>
      <c r="AA168" s="49">
        <v>0</v>
      </c>
      <c r="AB168" s="49">
        <v>0</v>
      </c>
      <c r="AC168" s="4" t="str">
        <f t="shared" si="8"/>
        <v>Excavator</v>
      </c>
      <c r="AD168" s="4" t="str">
        <f t="shared" si="9"/>
        <v>Operational</v>
      </c>
      <c r="AE168" s="4" t="str">
        <f t="shared" si="11"/>
        <v>Individual</v>
      </c>
    </row>
    <row r="169" spans="1:31" ht="13.5" customHeight="1" x14ac:dyDescent="0.35">
      <c r="A169" s="3">
        <v>3</v>
      </c>
      <c r="B169" s="3" t="s">
        <v>199</v>
      </c>
      <c r="C169" s="3" t="s">
        <v>202</v>
      </c>
      <c r="D169" s="52">
        <v>741.18219999999997</v>
      </c>
      <c r="E169" s="48">
        <v>269.31089999999898</v>
      </c>
      <c r="F169" s="48">
        <v>267.49259999999902</v>
      </c>
      <c r="G169" s="48">
        <v>202.47129999999899</v>
      </c>
      <c r="H169" s="48">
        <v>471.87130000000002</v>
      </c>
      <c r="I169" s="48">
        <v>0</v>
      </c>
      <c r="J169" s="48">
        <v>1.8183</v>
      </c>
      <c r="K169" s="48">
        <v>0</v>
      </c>
      <c r="L169" s="48">
        <v>202.47129999999899</v>
      </c>
      <c r="M169" s="48">
        <v>0</v>
      </c>
      <c r="N169" s="48">
        <v>202.47129999999899</v>
      </c>
      <c r="O169" s="56">
        <v>0.36335316740000001</v>
      </c>
      <c r="P169" s="56">
        <v>0.75181249630000002</v>
      </c>
      <c r="Q169" s="3">
        <v>0</v>
      </c>
      <c r="R169" s="48">
        <v>0</v>
      </c>
      <c r="S169" s="48">
        <v>0</v>
      </c>
      <c r="T169" s="3">
        <v>0</v>
      </c>
      <c r="U169" s="3">
        <f t="shared" si="10"/>
        <v>0</v>
      </c>
      <c r="V169" s="3">
        <v>0</v>
      </c>
      <c r="W169" s="48">
        <v>6627.92</v>
      </c>
      <c r="X169" s="48">
        <v>32.735108629999999</v>
      </c>
      <c r="Y169" s="48">
        <v>6627.92</v>
      </c>
      <c r="Z169" s="48">
        <v>0</v>
      </c>
      <c r="AA169" s="48">
        <v>0</v>
      </c>
      <c r="AB169" s="48">
        <v>0</v>
      </c>
      <c r="AC169" s="4" t="str">
        <f t="shared" si="8"/>
        <v>Excavator</v>
      </c>
      <c r="AD169" s="4" t="str">
        <f t="shared" si="9"/>
        <v>Operational</v>
      </c>
      <c r="AE169" s="4" t="str">
        <f t="shared" si="11"/>
        <v>Individual</v>
      </c>
    </row>
    <row r="170" spans="1:31" ht="13.5" customHeight="1" x14ac:dyDescent="0.35">
      <c r="A170" s="5">
        <v>4</v>
      </c>
      <c r="B170" s="5" t="s">
        <v>199</v>
      </c>
      <c r="C170" s="5" t="s">
        <v>203</v>
      </c>
      <c r="D170" s="53">
        <v>743.99949999999899</v>
      </c>
      <c r="E170" s="49">
        <v>344.77009999999899</v>
      </c>
      <c r="F170" s="49">
        <v>317.87759999999901</v>
      </c>
      <c r="G170" s="49">
        <v>303.00609999999898</v>
      </c>
      <c r="H170" s="49">
        <v>399.22939999999898</v>
      </c>
      <c r="I170" s="49">
        <v>0</v>
      </c>
      <c r="J170" s="49">
        <v>26.892499999999899</v>
      </c>
      <c r="K170" s="49">
        <v>0</v>
      </c>
      <c r="L170" s="49">
        <v>303.00609999999898</v>
      </c>
      <c r="M170" s="49">
        <v>0</v>
      </c>
      <c r="N170" s="49">
        <v>303.00609999999898</v>
      </c>
      <c r="O170" s="57">
        <v>0.46340098349999997</v>
      </c>
      <c r="P170" s="57">
        <v>0.8788642055</v>
      </c>
      <c r="Q170" s="5">
        <v>0</v>
      </c>
      <c r="R170" s="49">
        <v>0</v>
      </c>
      <c r="S170" s="49">
        <v>0</v>
      </c>
      <c r="T170" s="5">
        <v>0</v>
      </c>
      <c r="U170" s="5">
        <f t="shared" si="10"/>
        <v>0</v>
      </c>
      <c r="V170" s="5">
        <v>0</v>
      </c>
      <c r="W170" s="49">
        <v>9107.4699999999993</v>
      </c>
      <c r="X170" s="49">
        <v>30.057051659999999</v>
      </c>
      <c r="Y170" s="49">
        <v>9107.4699999999993</v>
      </c>
      <c r="Z170" s="49">
        <v>0</v>
      </c>
      <c r="AA170" s="49">
        <v>0</v>
      </c>
      <c r="AB170" s="49">
        <v>0</v>
      </c>
      <c r="AC170" s="4" t="str">
        <f t="shared" si="8"/>
        <v>Excavator</v>
      </c>
      <c r="AD170" s="4" t="str">
        <f t="shared" si="9"/>
        <v>Operational</v>
      </c>
      <c r="AE170" s="4" t="str">
        <f t="shared" si="11"/>
        <v>Individual</v>
      </c>
    </row>
    <row r="171" spans="1:31" ht="13.5" customHeight="1" x14ac:dyDescent="0.35">
      <c r="A171" s="3">
        <v>5</v>
      </c>
      <c r="B171" s="3" t="s">
        <v>199</v>
      </c>
      <c r="C171" s="3" t="s">
        <v>204</v>
      </c>
      <c r="D171" s="52">
        <v>744.00019999999995</v>
      </c>
      <c r="E171" s="48">
        <v>157.2636</v>
      </c>
      <c r="F171" s="48">
        <v>142.10159999999999</v>
      </c>
      <c r="G171" s="48">
        <v>136.20320000000001</v>
      </c>
      <c r="H171" s="48">
        <v>586.73659999999995</v>
      </c>
      <c r="I171" s="48">
        <v>0</v>
      </c>
      <c r="J171" s="48">
        <v>15.1619999999999</v>
      </c>
      <c r="K171" s="48">
        <v>0</v>
      </c>
      <c r="L171" s="48">
        <v>136.20320000000001</v>
      </c>
      <c r="M171" s="48">
        <v>0</v>
      </c>
      <c r="N171" s="48">
        <v>136.20320000000001</v>
      </c>
      <c r="O171" s="56">
        <v>0.2113757496</v>
      </c>
      <c r="P171" s="56">
        <v>0.86608217030000001</v>
      </c>
      <c r="Q171" s="3">
        <v>0</v>
      </c>
      <c r="R171" s="48">
        <v>0</v>
      </c>
      <c r="S171" s="48">
        <v>0</v>
      </c>
      <c r="T171" s="3">
        <v>0</v>
      </c>
      <c r="U171" s="3">
        <f t="shared" si="10"/>
        <v>0</v>
      </c>
      <c r="V171" s="3">
        <v>0</v>
      </c>
      <c r="W171" s="48">
        <v>4518.3599999999897</v>
      </c>
      <c r="X171" s="48">
        <v>33.173669930000003</v>
      </c>
      <c r="Y171" s="48">
        <v>4518.3599999999897</v>
      </c>
      <c r="Z171" s="48">
        <v>0</v>
      </c>
      <c r="AA171" s="48">
        <v>0</v>
      </c>
      <c r="AB171" s="48">
        <v>0</v>
      </c>
      <c r="AC171" s="4" t="str">
        <f t="shared" si="8"/>
        <v>Excavator</v>
      </c>
      <c r="AD171" s="4" t="str">
        <f t="shared" si="9"/>
        <v>Operational</v>
      </c>
      <c r="AE171" s="4" t="str">
        <f t="shared" si="11"/>
        <v>Individual</v>
      </c>
    </row>
    <row r="172" spans="1:31" ht="13.5" customHeight="1" x14ac:dyDescent="0.35">
      <c r="A172" s="5">
        <v>6</v>
      </c>
      <c r="B172" s="5" t="s">
        <v>199</v>
      </c>
      <c r="C172" s="5" t="s">
        <v>205</v>
      </c>
      <c r="D172" s="53">
        <v>744.00009999999997</v>
      </c>
      <c r="E172" s="49">
        <v>532.0729</v>
      </c>
      <c r="F172" s="49">
        <v>494.8614</v>
      </c>
      <c r="G172" s="49">
        <v>473.60579999999999</v>
      </c>
      <c r="H172" s="49">
        <v>211.927199999999</v>
      </c>
      <c r="I172" s="49">
        <v>0</v>
      </c>
      <c r="J172" s="49">
        <v>37.211499999999901</v>
      </c>
      <c r="K172" s="49">
        <v>0</v>
      </c>
      <c r="L172" s="49">
        <v>473.60579999999999</v>
      </c>
      <c r="M172" s="49">
        <v>0</v>
      </c>
      <c r="N172" s="49">
        <v>473.60579999999999</v>
      </c>
      <c r="O172" s="57">
        <v>0.71515165120000002</v>
      </c>
      <c r="P172" s="57">
        <v>0.89011449369999995</v>
      </c>
      <c r="Q172" s="5">
        <v>0</v>
      </c>
      <c r="R172" s="49">
        <v>0</v>
      </c>
      <c r="S172" s="49">
        <v>0</v>
      </c>
      <c r="T172" s="5">
        <v>0</v>
      </c>
      <c r="U172" s="5">
        <f t="shared" si="10"/>
        <v>0</v>
      </c>
      <c r="V172" s="5">
        <v>0</v>
      </c>
      <c r="W172" s="49">
        <v>16080.4</v>
      </c>
      <c r="X172" s="49">
        <v>33.953131489999997</v>
      </c>
      <c r="Y172" s="49">
        <v>16080.4</v>
      </c>
      <c r="Z172" s="49">
        <v>0</v>
      </c>
      <c r="AA172" s="49">
        <v>0</v>
      </c>
      <c r="AB172" s="49">
        <v>0</v>
      </c>
      <c r="AC172" s="4" t="str">
        <f t="shared" si="8"/>
        <v>Excavator</v>
      </c>
      <c r="AD172" s="4" t="str">
        <f t="shared" si="9"/>
        <v>Operational</v>
      </c>
      <c r="AE172" s="4" t="str">
        <f t="shared" si="11"/>
        <v>Individual</v>
      </c>
    </row>
    <row r="173" spans="1:31" ht="13.5" customHeight="1" x14ac:dyDescent="0.35">
      <c r="A173" s="3">
        <v>7</v>
      </c>
      <c r="B173" s="3" t="s">
        <v>199</v>
      </c>
      <c r="C173" s="3" t="s">
        <v>206</v>
      </c>
      <c r="D173" s="52">
        <v>744.00009999999895</v>
      </c>
      <c r="E173" s="48">
        <v>643.35509999999897</v>
      </c>
      <c r="F173" s="48">
        <v>620.50439999999901</v>
      </c>
      <c r="G173" s="48">
        <v>587.66489999999999</v>
      </c>
      <c r="H173" s="48">
        <v>100.645</v>
      </c>
      <c r="I173" s="48">
        <v>0</v>
      </c>
      <c r="J173" s="48">
        <v>22.8507</v>
      </c>
      <c r="K173" s="48">
        <v>0</v>
      </c>
      <c r="L173" s="48">
        <v>587.66489999999999</v>
      </c>
      <c r="M173" s="48">
        <v>0</v>
      </c>
      <c r="N173" s="48">
        <v>587.66489999999999</v>
      </c>
      <c r="O173" s="56">
        <v>0.86472448049999995</v>
      </c>
      <c r="P173" s="56">
        <v>0.91343785099999997</v>
      </c>
      <c r="Q173" s="3">
        <v>0</v>
      </c>
      <c r="R173" s="48">
        <v>0</v>
      </c>
      <c r="S173" s="48">
        <v>0</v>
      </c>
      <c r="T173" s="3">
        <v>0</v>
      </c>
      <c r="U173" s="3">
        <f t="shared" si="10"/>
        <v>0</v>
      </c>
      <c r="V173" s="3">
        <v>0</v>
      </c>
      <c r="W173" s="48">
        <v>13828.0699999999</v>
      </c>
      <c r="X173" s="48">
        <v>23.53053585</v>
      </c>
      <c r="Y173" s="48">
        <v>13828.0699999999</v>
      </c>
      <c r="Z173" s="48">
        <v>0</v>
      </c>
      <c r="AA173" s="48">
        <v>0</v>
      </c>
      <c r="AB173" s="48">
        <v>0</v>
      </c>
      <c r="AC173" s="4" t="str">
        <f t="shared" si="8"/>
        <v>Excavator</v>
      </c>
      <c r="AD173" s="4" t="str">
        <f t="shared" si="9"/>
        <v>Operational</v>
      </c>
      <c r="AE173" s="4" t="str">
        <f t="shared" si="11"/>
        <v>Individual</v>
      </c>
    </row>
    <row r="174" spans="1:31" ht="13.5" hidden="1" customHeight="1" x14ac:dyDescent="0.35">
      <c r="A174" s="5">
        <v>8</v>
      </c>
      <c r="B174" s="5" t="s">
        <v>199</v>
      </c>
      <c r="C174" s="5" t="s">
        <v>207</v>
      </c>
      <c r="D174" s="53">
        <v>744</v>
      </c>
      <c r="E174" s="49">
        <v>0</v>
      </c>
      <c r="F174" s="49">
        <v>0</v>
      </c>
      <c r="G174" s="49">
        <v>0</v>
      </c>
      <c r="H174" s="49">
        <v>744</v>
      </c>
      <c r="I174" s="49">
        <v>0</v>
      </c>
      <c r="J174" s="49">
        <v>0</v>
      </c>
      <c r="K174" s="49">
        <v>0</v>
      </c>
      <c r="L174" s="49">
        <v>0</v>
      </c>
      <c r="M174" s="49">
        <v>0</v>
      </c>
      <c r="N174" s="49">
        <v>0</v>
      </c>
      <c r="O174" s="57">
        <v>0</v>
      </c>
      <c r="P174" s="57">
        <v>0</v>
      </c>
      <c r="Q174" s="5">
        <v>0</v>
      </c>
      <c r="R174" s="49">
        <v>0</v>
      </c>
      <c r="S174" s="49">
        <v>0</v>
      </c>
      <c r="T174" s="5">
        <v>0</v>
      </c>
      <c r="U174" s="5">
        <f t="shared" si="10"/>
        <v>0</v>
      </c>
      <c r="V174" s="5">
        <v>0</v>
      </c>
      <c r="W174" s="49">
        <v>0</v>
      </c>
      <c r="X174" s="49">
        <v>0</v>
      </c>
      <c r="Y174" s="49">
        <v>0</v>
      </c>
      <c r="Z174" s="49">
        <v>0</v>
      </c>
      <c r="AA174" s="49">
        <v>0</v>
      </c>
      <c r="AB174" s="49">
        <v>0</v>
      </c>
      <c r="AC174" s="4" t="str">
        <f t="shared" si="8"/>
        <v>Excavator</v>
      </c>
      <c r="AD174" s="4" t="str">
        <f t="shared" si="9"/>
        <v>Non-Operational</v>
      </c>
      <c r="AE174" s="4" t="str">
        <f t="shared" si="11"/>
        <v>Individual</v>
      </c>
    </row>
    <row r="175" spans="1:31" ht="13.5" customHeight="1" x14ac:dyDescent="0.35">
      <c r="A175" s="3">
        <v>9</v>
      </c>
      <c r="B175" s="3" t="s">
        <v>199</v>
      </c>
      <c r="C175" s="3" t="s">
        <v>208</v>
      </c>
      <c r="D175" s="52">
        <v>743.99980000000005</v>
      </c>
      <c r="E175" s="48">
        <v>527.88760000000002</v>
      </c>
      <c r="F175" s="48">
        <v>493.23829999999998</v>
      </c>
      <c r="G175" s="48">
        <v>453.46839999999997</v>
      </c>
      <c r="H175" s="48">
        <v>216.11219999999901</v>
      </c>
      <c r="I175" s="48">
        <v>0</v>
      </c>
      <c r="J175" s="48">
        <v>34.649299999999897</v>
      </c>
      <c r="K175" s="48">
        <v>0</v>
      </c>
      <c r="L175" s="48">
        <v>453.46839999999997</v>
      </c>
      <c r="M175" s="48">
        <v>0</v>
      </c>
      <c r="N175" s="48">
        <v>453.46839999999997</v>
      </c>
      <c r="O175" s="56">
        <v>0.70952653480000005</v>
      </c>
      <c r="P175" s="56">
        <v>0.85902453479999996</v>
      </c>
      <c r="Q175" s="3">
        <v>0</v>
      </c>
      <c r="R175" s="48">
        <v>0</v>
      </c>
      <c r="S175" s="48">
        <v>0</v>
      </c>
      <c r="T175" s="3">
        <v>0</v>
      </c>
      <c r="U175" s="3">
        <f t="shared" si="10"/>
        <v>0</v>
      </c>
      <c r="V175" s="3">
        <v>0</v>
      </c>
      <c r="W175" s="48">
        <v>16370.539999999901</v>
      </c>
      <c r="X175" s="48">
        <v>36.100729399999999</v>
      </c>
      <c r="Y175" s="48">
        <v>16370.539999999901</v>
      </c>
      <c r="Z175" s="48">
        <v>0</v>
      </c>
      <c r="AA175" s="48">
        <v>0</v>
      </c>
      <c r="AB175" s="48">
        <v>0</v>
      </c>
      <c r="AC175" s="4" t="str">
        <f t="shared" si="8"/>
        <v>Excavator</v>
      </c>
      <c r="AD175" s="4" t="str">
        <f t="shared" si="9"/>
        <v>Operational</v>
      </c>
      <c r="AE175" s="4" t="str">
        <f t="shared" si="11"/>
        <v>Individual</v>
      </c>
    </row>
    <row r="176" spans="1:31" ht="13.5" customHeight="1" x14ac:dyDescent="0.35">
      <c r="A176" s="5">
        <v>10</v>
      </c>
      <c r="B176" s="5" t="s">
        <v>199</v>
      </c>
      <c r="C176" s="5" t="s">
        <v>209</v>
      </c>
      <c r="D176" s="53">
        <v>743.99990000000003</v>
      </c>
      <c r="E176" s="49">
        <v>621.36369999999999</v>
      </c>
      <c r="F176" s="49">
        <v>593.70060000000001</v>
      </c>
      <c r="G176" s="49">
        <v>548.43049999999903</v>
      </c>
      <c r="H176" s="49">
        <v>122.6362</v>
      </c>
      <c r="I176" s="49">
        <v>0</v>
      </c>
      <c r="J176" s="49">
        <v>27.663099999999901</v>
      </c>
      <c r="K176" s="49">
        <v>0</v>
      </c>
      <c r="L176" s="49">
        <v>548.43049999999903</v>
      </c>
      <c r="M176" s="49">
        <v>0</v>
      </c>
      <c r="N176" s="49">
        <v>548.43049999999903</v>
      </c>
      <c r="O176" s="57">
        <v>0.83516637569999996</v>
      </c>
      <c r="P176" s="57">
        <v>0.88262397690000005</v>
      </c>
      <c r="Q176" s="5">
        <v>0</v>
      </c>
      <c r="R176" s="49">
        <v>0</v>
      </c>
      <c r="S176" s="49">
        <v>0</v>
      </c>
      <c r="T176" s="5">
        <v>0</v>
      </c>
      <c r="U176" s="5">
        <f t="shared" si="10"/>
        <v>0</v>
      </c>
      <c r="V176" s="5">
        <v>0</v>
      </c>
      <c r="W176" s="49">
        <v>16489.439999999999</v>
      </c>
      <c r="X176" s="49">
        <v>30.066599140000001</v>
      </c>
      <c r="Y176" s="49">
        <v>16489.439999999999</v>
      </c>
      <c r="Z176" s="49">
        <v>0</v>
      </c>
      <c r="AA176" s="49">
        <v>0</v>
      </c>
      <c r="AB176" s="49">
        <v>0</v>
      </c>
      <c r="AC176" s="4" t="str">
        <f t="shared" si="8"/>
        <v>Excavator</v>
      </c>
      <c r="AD176" s="4" t="str">
        <f t="shared" si="9"/>
        <v>Operational</v>
      </c>
      <c r="AE176" s="4" t="str">
        <f t="shared" si="11"/>
        <v>Individual</v>
      </c>
    </row>
    <row r="177" spans="1:31" ht="13.5" customHeight="1" x14ac:dyDescent="0.35">
      <c r="A177" s="3">
        <v>11</v>
      </c>
      <c r="B177" s="3" t="s">
        <v>199</v>
      </c>
      <c r="C177" s="3" t="s">
        <v>210</v>
      </c>
      <c r="D177" s="52">
        <v>743.99929999999995</v>
      </c>
      <c r="E177" s="48">
        <v>182.561499999999</v>
      </c>
      <c r="F177" s="48">
        <v>151.917699999999</v>
      </c>
      <c r="G177" s="48">
        <v>145.9203</v>
      </c>
      <c r="H177" s="48">
        <v>561.43779999999902</v>
      </c>
      <c r="I177" s="48">
        <v>0</v>
      </c>
      <c r="J177" s="48">
        <v>30.643799999999999</v>
      </c>
      <c r="K177" s="48">
        <v>0</v>
      </c>
      <c r="L177" s="48">
        <v>145.9203</v>
      </c>
      <c r="M177" s="48">
        <v>0</v>
      </c>
      <c r="N177" s="48">
        <v>145.9203</v>
      </c>
      <c r="O177" s="56">
        <v>0.24537859109999999</v>
      </c>
      <c r="P177" s="56">
        <v>0.79929393660000003</v>
      </c>
      <c r="Q177" s="3">
        <v>0</v>
      </c>
      <c r="R177" s="48">
        <v>0</v>
      </c>
      <c r="S177" s="48">
        <v>0</v>
      </c>
      <c r="T177" s="3">
        <v>0</v>
      </c>
      <c r="U177" s="3">
        <f t="shared" si="10"/>
        <v>0</v>
      </c>
      <c r="V177" s="3">
        <v>0</v>
      </c>
      <c r="W177" s="48">
        <v>7523.78</v>
      </c>
      <c r="X177" s="48">
        <v>51.560886320000002</v>
      </c>
      <c r="Y177" s="48">
        <v>7523.78</v>
      </c>
      <c r="Z177" s="48">
        <v>0</v>
      </c>
      <c r="AA177" s="48">
        <v>0</v>
      </c>
      <c r="AB177" s="48">
        <v>0</v>
      </c>
      <c r="AC177" s="4" t="str">
        <f t="shared" si="8"/>
        <v>Excavator</v>
      </c>
      <c r="AD177" s="4" t="str">
        <f t="shared" si="9"/>
        <v>Operational</v>
      </c>
      <c r="AE177" s="4" t="str">
        <f t="shared" si="11"/>
        <v>Individual</v>
      </c>
    </row>
    <row r="178" spans="1:31" ht="13.5" customHeight="1" x14ac:dyDescent="0.35">
      <c r="A178" s="5">
        <v>12</v>
      </c>
      <c r="B178" s="5" t="s">
        <v>199</v>
      </c>
      <c r="C178" s="5" t="s">
        <v>211</v>
      </c>
      <c r="D178" s="53">
        <v>744.00009999999997</v>
      </c>
      <c r="E178" s="49">
        <v>636.42069999999899</v>
      </c>
      <c r="F178" s="49">
        <v>602.68129999999996</v>
      </c>
      <c r="G178" s="49">
        <v>556.83550000000002</v>
      </c>
      <c r="H178" s="49">
        <v>107.57940000000001</v>
      </c>
      <c r="I178" s="49">
        <v>0</v>
      </c>
      <c r="J178" s="49">
        <v>33.739399999999897</v>
      </c>
      <c r="K178" s="49">
        <v>0</v>
      </c>
      <c r="L178" s="49">
        <v>556.83550000000002</v>
      </c>
      <c r="M178" s="49">
        <v>0</v>
      </c>
      <c r="N178" s="49">
        <v>556.83550000000002</v>
      </c>
      <c r="O178" s="57">
        <v>0.8554040517</v>
      </c>
      <c r="P178" s="57">
        <v>0.87494875640000003</v>
      </c>
      <c r="Q178" s="5">
        <v>0</v>
      </c>
      <c r="R178" s="49">
        <v>0</v>
      </c>
      <c r="S178" s="49">
        <v>0</v>
      </c>
      <c r="T178" s="5">
        <v>0</v>
      </c>
      <c r="U178" s="5">
        <f t="shared" si="10"/>
        <v>0</v>
      </c>
      <c r="V178" s="5">
        <v>0</v>
      </c>
      <c r="W178" s="49">
        <v>17188.189999999999</v>
      </c>
      <c r="X178" s="49">
        <v>30.867626080000001</v>
      </c>
      <c r="Y178" s="49">
        <v>17188.189999999999</v>
      </c>
      <c r="Z178" s="49">
        <v>0</v>
      </c>
      <c r="AA178" s="49">
        <v>0</v>
      </c>
      <c r="AB178" s="49">
        <v>0</v>
      </c>
      <c r="AC178" s="4" t="str">
        <f t="shared" si="8"/>
        <v>Excavator</v>
      </c>
      <c r="AD178" s="4" t="str">
        <f t="shared" si="9"/>
        <v>Operational</v>
      </c>
      <c r="AE178" s="4" t="str">
        <f t="shared" si="11"/>
        <v>Individual</v>
      </c>
    </row>
    <row r="179" spans="1:31" ht="13.5" customHeight="1" x14ac:dyDescent="0.35">
      <c r="A179" s="3">
        <v>13</v>
      </c>
      <c r="B179" s="3" t="s">
        <v>199</v>
      </c>
      <c r="C179" s="3" t="s">
        <v>212</v>
      </c>
      <c r="D179" s="52">
        <v>744.00009999999997</v>
      </c>
      <c r="E179" s="48">
        <v>612.702</v>
      </c>
      <c r="F179" s="48">
        <v>559.20489999999995</v>
      </c>
      <c r="G179" s="48">
        <v>541.43280000000004</v>
      </c>
      <c r="H179" s="48">
        <v>131.29810000000001</v>
      </c>
      <c r="I179" s="48">
        <v>0</v>
      </c>
      <c r="J179" s="48">
        <v>53.497099999999897</v>
      </c>
      <c r="K179" s="48">
        <v>0</v>
      </c>
      <c r="L179" s="48">
        <v>541.43280000000004</v>
      </c>
      <c r="M179" s="48">
        <v>0</v>
      </c>
      <c r="N179" s="48">
        <v>541.43280000000004</v>
      </c>
      <c r="O179" s="56">
        <v>0.82352408290000001</v>
      </c>
      <c r="P179" s="56">
        <v>0.8836804842</v>
      </c>
      <c r="Q179" s="3">
        <v>0</v>
      </c>
      <c r="R179" s="48">
        <v>0</v>
      </c>
      <c r="S179" s="48">
        <v>0</v>
      </c>
      <c r="T179" s="3">
        <v>0</v>
      </c>
      <c r="U179" s="3">
        <f t="shared" si="10"/>
        <v>0</v>
      </c>
      <c r="V179" s="3">
        <v>0</v>
      </c>
      <c r="W179" s="48">
        <v>19437.62</v>
      </c>
      <c r="X179" s="48">
        <v>35.900337030000003</v>
      </c>
      <c r="Y179" s="48">
        <v>19437.62</v>
      </c>
      <c r="Z179" s="48">
        <v>0</v>
      </c>
      <c r="AA179" s="48">
        <v>0</v>
      </c>
      <c r="AB179" s="48">
        <v>0</v>
      </c>
      <c r="AC179" s="4" t="str">
        <f t="shared" si="8"/>
        <v>Excavator</v>
      </c>
      <c r="AD179" s="4" t="str">
        <f t="shared" si="9"/>
        <v>Operational</v>
      </c>
      <c r="AE179" s="4" t="str">
        <f t="shared" si="11"/>
        <v>Individual</v>
      </c>
    </row>
    <row r="180" spans="1:31" ht="13.5" customHeight="1" x14ac:dyDescent="0.35">
      <c r="A180" s="5">
        <v>14</v>
      </c>
      <c r="B180" s="5" t="s">
        <v>199</v>
      </c>
      <c r="C180" s="5" t="s">
        <v>213</v>
      </c>
      <c r="D180" s="53">
        <v>743.99950000000001</v>
      </c>
      <c r="E180" s="49">
        <v>497.22820000000002</v>
      </c>
      <c r="F180" s="49">
        <v>466.49900000000002</v>
      </c>
      <c r="G180" s="49">
        <v>433.35469999999998</v>
      </c>
      <c r="H180" s="49">
        <v>246.771299999999</v>
      </c>
      <c r="I180" s="49">
        <v>0</v>
      </c>
      <c r="J180" s="49">
        <v>30.729199999999899</v>
      </c>
      <c r="K180" s="49">
        <v>0</v>
      </c>
      <c r="L180" s="49">
        <v>433.35469999999998</v>
      </c>
      <c r="M180" s="49">
        <v>0</v>
      </c>
      <c r="N180" s="49">
        <v>433.35469999999998</v>
      </c>
      <c r="O180" s="57">
        <v>0.66831792229999998</v>
      </c>
      <c r="P180" s="57">
        <v>0.87154087400000002</v>
      </c>
      <c r="Q180" s="5">
        <v>0</v>
      </c>
      <c r="R180" s="49">
        <v>0</v>
      </c>
      <c r="S180" s="49">
        <v>0</v>
      </c>
      <c r="T180" s="5">
        <v>0</v>
      </c>
      <c r="U180" s="5">
        <f t="shared" si="10"/>
        <v>0</v>
      </c>
      <c r="V180" s="5">
        <v>0</v>
      </c>
      <c r="W180" s="49">
        <v>15263.199999999901</v>
      </c>
      <c r="X180" s="49">
        <v>35.221032559999998</v>
      </c>
      <c r="Y180" s="49">
        <v>15263.199999999901</v>
      </c>
      <c r="Z180" s="49">
        <v>0</v>
      </c>
      <c r="AA180" s="49">
        <v>0</v>
      </c>
      <c r="AB180" s="49">
        <v>0</v>
      </c>
      <c r="AC180" s="4" t="str">
        <f t="shared" si="8"/>
        <v>Excavator</v>
      </c>
      <c r="AD180" s="4" t="str">
        <f t="shared" si="9"/>
        <v>Operational</v>
      </c>
      <c r="AE180" s="4" t="str">
        <f t="shared" si="11"/>
        <v>Individual</v>
      </c>
    </row>
    <row r="181" spans="1:31" ht="13.5" customHeight="1" x14ac:dyDescent="0.35">
      <c r="A181" s="3">
        <v>15</v>
      </c>
      <c r="B181" s="3" t="s">
        <v>199</v>
      </c>
      <c r="C181" s="3" t="s">
        <v>214</v>
      </c>
      <c r="D181" s="52">
        <v>743.99979999999903</v>
      </c>
      <c r="E181" s="48">
        <v>403.58229999999901</v>
      </c>
      <c r="F181" s="48">
        <v>362.056299999999</v>
      </c>
      <c r="G181" s="48">
        <v>347.47210000000001</v>
      </c>
      <c r="H181" s="48">
        <v>340.417499999999</v>
      </c>
      <c r="I181" s="48">
        <v>0</v>
      </c>
      <c r="J181" s="48">
        <v>41.525999999999897</v>
      </c>
      <c r="K181" s="48">
        <v>0</v>
      </c>
      <c r="L181" s="48">
        <v>347.47210000000001</v>
      </c>
      <c r="M181" s="48">
        <v>0</v>
      </c>
      <c r="N181" s="48">
        <v>347.47210000000001</v>
      </c>
      <c r="O181" s="56">
        <v>0.54244947379999997</v>
      </c>
      <c r="P181" s="56">
        <v>0.86096962129999999</v>
      </c>
      <c r="Q181" s="3">
        <v>0</v>
      </c>
      <c r="R181" s="48">
        <v>0</v>
      </c>
      <c r="S181" s="48">
        <v>0</v>
      </c>
      <c r="T181" s="3">
        <v>0</v>
      </c>
      <c r="U181" s="3">
        <f t="shared" si="10"/>
        <v>0</v>
      </c>
      <c r="V181" s="3">
        <v>0</v>
      </c>
      <c r="W181" s="48">
        <v>11404.46</v>
      </c>
      <c r="X181" s="48">
        <v>32.821225069999997</v>
      </c>
      <c r="Y181" s="48">
        <v>11404.46</v>
      </c>
      <c r="Z181" s="48">
        <v>0</v>
      </c>
      <c r="AA181" s="48">
        <v>0</v>
      </c>
      <c r="AB181" s="48">
        <v>0</v>
      </c>
      <c r="AC181" s="4" t="str">
        <f t="shared" si="8"/>
        <v>Excavator</v>
      </c>
      <c r="AD181" s="4" t="str">
        <f t="shared" si="9"/>
        <v>Operational</v>
      </c>
      <c r="AE181" s="4" t="str">
        <f t="shared" si="11"/>
        <v>Individual</v>
      </c>
    </row>
    <row r="182" spans="1:31" ht="13.5" customHeight="1" x14ac:dyDescent="0.35">
      <c r="A182" s="5">
        <v>16</v>
      </c>
      <c r="B182" s="5" t="s">
        <v>199</v>
      </c>
      <c r="C182" s="5" t="s">
        <v>215</v>
      </c>
      <c r="D182" s="53">
        <v>743.999899999999</v>
      </c>
      <c r="E182" s="49">
        <v>629.844999999999</v>
      </c>
      <c r="F182" s="49">
        <v>552.659799999999</v>
      </c>
      <c r="G182" s="49">
        <v>509.46689999999899</v>
      </c>
      <c r="H182" s="49">
        <v>114.1549</v>
      </c>
      <c r="I182" s="49">
        <v>0</v>
      </c>
      <c r="J182" s="49">
        <v>77.185199999999995</v>
      </c>
      <c r="K182" s="49">
        <v>0</v>
      </c>
      <c r="L182" s="49">
        <v>509.46689999999899</v>
      </c>
      <c r="M182" s="49">
        <v>0</v>
      </c>
      <c r="N182" s="49">
        <v>509.46689999999899</v>
      </c>
      <c r="O182" s="57">
        <v>0.846565974</v>
      </c>
      <c r="P182" s="57">
        <v>0.80887662839999996</v>
      </c>
      <c r="Q182" s="5">
        <v>0</v>
      </c>
      <c r="R182" s="49">
        <v>0</v>
      </c>
      <c r="S182" s="49">
        <v>0</v>
      </c>
      <c r="T182" s="5">
        <v>0</v>
      </c>
      <c r="U182" s="5">
        <f t="shared" si="10"/>
        <v>0</v>
      </c>
      <c r="V182" s="5">
        <v>0</v>
      </c>
      <c r="W182" s="49">
        <v>26947.29</v>
      </c>
      <c r="X182" s="49">
        <v>52.893112389999999</v>
      </c>
      <c r="Y182" s="49">
        <v>26947.29</v>
      </c>
      <c r="Z182" s="49">
        <v>0</v>
      </c>
      <c r="AA182" s="49">
        <v>0</v>
      </c>
      <c r="AB182" s="49">
        <v>0</v>
      </c>
      <c r="AC182" s="4" t="str">
        <f t="shared" si="8"/>
        <v>Excavator</v>
      </c>
      <c r="AD182" s="4" t="str">
        <f t="shared" si="9"/>
        <v>Operational</v>
      </c>
      <c r="AE182" s="4" t="str">
        <f t="shared" si="11"/>
        <v>Individual</v>
      </c>
    </row>
    <row r="183" spans="1:31" ht="13.5" customHeight="1" x14ac:dyDescent="0.35">
      <c r="A183" s="3">
        <v>17</v>
      </c>
      <c r="B183" s="3" t="s">
        <v>199</v>
      </c>
      <c r="C183" s="3" t="s">
        <v>216</v>
      </c>
      <c r="D183" s="52">
        <v>744</v>
      </c>
      <c r="E183" s="48">
        <v>601.24109999999996</v>
      </c>
      <c r="F183" s="48">
        <v>499.92039999999997</v>
      </c>
      <c r="G183" s="48">
        <v>488.47639999999899</v>
      </c>
      <c r="H183" s="48">
        <v>142.75889999999899</v>
      </c>
      <c r="I183" s="48">
        <v>0</v>
      </c>
      <c r="J183" s="48">
        <v>101.3207</v>
      </c>
      <c r="K183" s="48">
        <v>0</v>
      </c>
      <c r="L183" s="48">
        <v>488.47639999999899</v>
      </c>
      <c r="M183" s="48">
        <v>0</v>
      </c>
      <c r="N183" s="48">
        <v>488.47639999999899</v>
      </c>
      <c r="O183" s="56">
        <v>0.80811975810000003</v>
      </c>
      <c r="P183" s="56">
        <v>0.81244678719999996</v>
      </c>
      <c r="Q183" s="3">
        <v>0</v>
      </c>
      <c r="R183" s="48">
        <v>0</v>
      </c>
      <c r="S183" s="48">
        <v>0</v>
      </c>
      <c r="T183" s="3">
        <v>0</v>
      </c>
      <c r="U183" s="3">
        <f t="shared" si="10"/>
        <v>0</v>
      </c>
      <c r="V183" s="3">
        <v>0</v>
      </c>
      <c r="W183" s="48">
        <v>25918.1499999999</v>
      </c>
      <c r="X183" s="48">
        <v>53.059165190000002</v>
      </c>
      <c r="Y183" s="48">
        <v>25918.1499999999</v>
      </c>
      <c r="Z183" s="48">
        <v>0</v>
      </c>
      <c r="AA183" s="48">
        <v>0</v>
      </c>
      <c r="AB183" s="48">
        <v>0</v>
      </c>
      <c r="AC183" s="4" t="str">
        <f t="shared" si="8"/>
        <v>Excavator</v>
      </c>
      <c r="AD183" s="4" t="str">
        <f t="shared" si="9"/>
        <v>Operational</v>
      </c>
      <c r="AE183" s="4" t="str">
        <f t="shared" si="11"/>
        <v>Individual</v>
      </c>
    </row>
    <row r="184" spans="1:31" ht="13.5" customHeight="1" x14ac:dyDescent="0.35">
      <c r="A184" s="5">
        <v>18</v>
      </c>
      <c r="B184" s="5" t="s">
        <v>199</v>
      </c>
      <c r="C184" s="5" t="s">
        <v>217</v>
      </c>
      <c r="D184" s="53">
        <v>743.99919999999997</v>
      </c>
      <c r="E184" s="49">
        <v>597.03729999999996</v>
      </c>
      <c r="F184" s="49">
        <v>515.89520000000005</v>
      </c>
      <c r="G184" s="49">
        <v>481.3526</v>
      </c>
      <c r="H184" s="49">
        <v>146.96189999999899</v>
      </c>
      <c r="I184" s="49">
        <v>0</v>
      </c>
      <c r="J184" s="49">
        <v>81.1420999999999</v>
      </c>
      <c r="K184" s="49">
        <v>0</v>
      </c>
      <c r="L184" s="49">
        <v>481.3526</v>
      </c>
      <c r="M184" s="49">
        <v>0</v>
      </c>
      <c r="N184" s="49">
        <v>481.3526</v>
      </c>
      <c r="O184" s="57">
        <v>0.80247035209999995</v>
      </c>
      <c r="P184" s="57">
        <v>0.80623538930000005</v>
      </c>
      <c r="Q184" s="5">
        <v>0</v>
      </c>
      <c r="R184" s="49">
        <v>0</v>
      </c>
      <c r="S184" s="49">
        <v>0</v>
      </c>
      <c r="T184" s="5">
        <v>0</v>
      </c>
      <c r="U184" s="5">
        <f t="shared" si="10"/>
        <v>0</v>
      </c>
      <c r="V184" s="5">
        <v>0</v>
      </c>
      <c r="W184" s="49">
        <v>23475.9199999999</v>
      </c>
      <c r="X184" s="49">
        <v>48.7707348</v>
      </c>
      <c r="Y184" s="49">
        <v>23475.9199999999</v>
      </c>
      <c r="Z184" s="49">
        <v>0</v>
      </c>
      <c r="AA184" s="49">
        <v>0</v>
      </c>
      <c r="AB184" s="49">
        <v>0</v>
      </c>
      <c r="AC184" s="4" t="str">
        <f t="shared" si="8"/>
        <v>Excavator</v>
      </c>
      <c r="AD184" s="4" t="str">
        <f t="shared" si="9"/>
        <v>Operational</v>
      </c>
      <c r="AE184" s="4" t="str">
        <f t="shared" si="11"/>
        <v>Individual</v>
      </c>
    </row>
    <row r="185" spans="1:31" ht="13.5" customHeight="1" x14ac:dyDescent="0.35">
      <c r="A185" s="3">
        <v>19</v>
      </c>
      <c r="B185" s="3" t="s">
        <v>199</v>
      </c>
      <c r="C185" s="3" t="s">
        <v>218</v>
      </c>
      <c r="D185" s="52">
        <v>743.99990000000003</v>
      </c>
      <c r="E185" s="48">
        <v>187.89410000000001</v>
      </c>
      <c r="F185" s="48">
        <v>181.71420000000001</v>
      </c>
      <c r="G185" s="48">
        <v>178.739</v>
      </c>
      <c r="H185" s="48">
        <v>556.10580000000004</v>
      </c>
      <c r="I185" s="48">
        <v>0</v>
      </c>
      <c r="J185" s="48">
        <v>6.1798999999999902</v>
      </c>
      <c r="K185" s="48">
        <v>0</v>
      </c>
      <c r="L185" s="48">
        <v>178.739</v>
      </c>
      <c r="M185" s="48">
        <v>0</v>
      </c>
      <c r="N185" s="48">
        <v>178.739</v>
      </c>
      <c r="O185" s="56">
        <v>0.2525458673</v>
      </c>
      <c r="P185" s="56">
        <v>0.95127521299999995</v>
      </c>
      <c r="Q185" s="3">
        <v>0</v>
      </c>
      <c r="R185" s="48">
        <v>0</v>
      </c>
      <c r="S185" s="48">
        <v>0</v>
      </c>
      <c r="T185" s="3">
        <v>0</v>
      </c>
      <c r="U185" s="3">
        <f t="shared" si="10"/>
        <v>0</v>
      </c>
      <c r="V185" s="3">
        <v>0</v>
      </c>
      <c r="W185" s="48">
        <v>9186.32</v>
      </c>
      <c r="X185" s="48">
        <v>51.39516278</v>
      </c>
      <c r="Y185" s="48">
        <v>9186.32</v>
      </c>
      <c r="Z185" s="48">
        <v>0</v>
      </c>
      <c r="AA185" s="48">
        <v>0</v>
      </c>
      <c r="AB185" s="48">
        <v>0</v>
      </c>
      <c r="AC185" s="4" t="str">
        <f t="shared" si="8"/>
        <v>Excavator</v>
      </c>
      <c r="AD185" s="4" t="str">
        <f t="shared" si="9"/>
        <v>Operational</v>
      </c>
      <c r="AE185" s="4" t="str">
        <f t="shared" si="11"/>
        <v>Individual</v>
      </c>
    </row>
    <row r="186" spans="1:31" ht="13.5" customHeight="1" x14ac:dyDescent="0.35">
      <c r="A186" s="5">
        <v>20</v>
      </c>
      <c r="B186" s="5" t="s">
        <v>199</v>
      </c>
      <c r="C186" s="5" t="s">
        <v>219</v>
      </c>
      <c r="D186" s="53">
        <v>743.99979999999903</v>
      </c>
      <c r="E186" s="49">
        <v>433.982699999999</v>
      </c>
      <c r="F186" s="49">
        <v>351.684699999999</v>
      </c>
      <c r="G186" s="49">
        <v>340.00510000000003</v>
      </c>
      <c r="H186" s="49">
        <v>310.01710000000003</v>
      </c>
      <c r="I186" s="49">
        <v>0</v>
      </c>
      <c r="J186" s="49">
        <v>82.298000000000002</v>
      </c>
      <c r="K186" s="49">
        <v>0</v>
      </c>
      <c r="L186" s="49">
        <v>340.00510000000003</v>
      </c>
      <c r="M186" s="49">
        <v>0</v>
      </c>
      <c r="N186" s="49">
        <v>340.00510000000003</v>
      </c>
      <c r="O186" s="57">
        <v>0.58331023739999999</v>
      </c>
      <c r="P186" s="57">
        <v>0.78345311920000005</v>
      </c>
      <c r="Q186" s="5">
        <v>0</v>
      </c>
      <c r="R186" s="49">
        <v>0</v>
      </c>
      <c r="S186" s="49">
        <v>0</v>
      </c>
      <c r="T186" s="5">
        <v>0</v>
      </c>
      <c r="U186" s="5">
        <f t="shared" si="10"/>
        <v>0</v>
      </c>
      <c r="V186" s="5">
        <v>0</v>
      </c>
      <c r="W186" s="49">
        <v>11407.4399999999</v>
      </c>
      <c r="X186" s="49">
        <v>33.550790859999999</v>
      </c>
      <c r="Y186" s="49">
        <v>11407.4399999999</v>
      </c>
      <c r="Z186" s="49">
        <v>0</v>
      </c>
      <c r="AA186" s="49">
        <v>0</v>
      </c>
      <c r="AB186" s="49">
        <v>0</v>
      </c>
      <c r="AC186" s="4" t="str">
        <f t="shared" si="8"/>
        <v>Excavator</v>
      </c>
      <c r="AD186" s="4" t="str">
        <f t="shared" si="9"/>
        <v>Operational</v>
      </c>
      <c r="AE186" s="4" t="str">
        <f t="shared" si="11"/>
        <v>Individual</v>
      </c>
    </row>
    <row r="187" spans="1:31" ht="13.5" customHeight="1" x14ac:dyDescent="0.35">
      <c r="A187" s="3">
        <v>21</v>
      </c>
      <c r="B187" s="3" t="s">
        <v>199</v>
      </c>
      <c r="C187" s="3" t="s">
        <v>220</v>
      </c>
      <c r="D187" s="52">
        <v>744.00070000000005</v>
      </c>
      <c r="E187" s="48">
        <v>547.1925</v>
      </c>
      <c r="F187" s="48">
        <v>453.66819999999899</v>
      </c>
      <c r="G187" s="48">
        <v>435.9973</v>
      </c>
      <c r="H187" s="48">
        <v>196.8082</v>
      </c>
      <c r="I187" s="48">
        <v>0</v>
      </c>
      <c r="J187" s="48">
        <v>93.524299999999997</v>
      </c>
      <c r="K187" s="48">
        <v>0</v>
      </c>
      <c r="L187" s="48">
        <v>435.9973</v>
      </c>
      <c r="M187" s="48">
        <v>0</v>
      </c>
      <c r="N187" s="48">
        <v>435.9973</v>
      </c>
      <c r="O187" s="56">
        <v>0.73547309829999996</v>
      </c>
      <c r="P187" s="56">
        <v>0.79678961240000001</v>
      </c>
      <c r="Q187" s="3">
        <v>0</v>
      </c>
      <c r="R187" s="48">
        <v>0</v>
      </c>
      <c r="S187" s="48">
        <v>0</v>
      </c>
      <c r="T187" s="3">
        <v>0</v>
      </c>
      <c r="U187" s="3">
        <f t="shared" si="10"/>
        <v>0</v>
      </c>
      <c r="V187" s="3">
        <v>0</v>
      </c>
      <c r="W187" s="48">
        <v>23239.82</v>
      </c>
      <c r="X187" s="48">
        <v>53.302669530000003</v>
      </c>
      <c r="Y187" s="48">
        <v>23239.82</v>
      </c>
      <c r="Z187" s="48">
        <v>0</v>
      </c>
      <c r="AA187" s="48">
        <v>0</v>
      </c>
      <c r="AB187" s="48">
        <v>0</v>
      </c>
      <c r="AC187" s="4" t="str">
        <f t="shared" si="8"/>
        <v>Excavator</v>
      </c>
      <c r="AD187" s="4" t="str">
        <f t="shared" si="9"/>
        <v>Operational</v>
      </c>
      <c r="AE187" s="4" t="str">
        <f t="shared" si="11"/>
        <v>Individual</v>
      </c>
    </row>
    <row r="188" spans="1:31" ht="13.5" customHeight="1" x14ac:dyDescent="0.35">
      <c r="A188" s="5">
        <v>22</v>
      </c>
      <c r="B188" s="5" t="s">
        <v>199</v>
      </c>
      <c r="C188" s="5" t="s">
        <v>221</v>
      </c>
      <c r="D188" s="53">
        <v>743.99959999999999</v>
      </c>
      <c r="E188" s="49">
        <v>204.440799999999</v>
      </c>
      <c r="F188" s="49">
        <v>186.123999999999</v>
      </c>
      <c r="G188" s="49">
        <v>179.99609999999899</v>
      </c>
      <c r="H188" s="49">
        <v>539.55880000000002</v>
      </c>
      <c r="I188" s="49">
        <v>0</v>
      </c>
      <c r="J188" s="49">
        <v>18.316800000000001</v>
      </c>
      <c r="K188" s="49">
        <v>0</v>
      </c>
      <c r="L188" s="49">
        <v>179.99609999999899</v>
      </c>
      <c r="M188" s="49">
        <v>0</v>
      </c>
      <c r="N188" s="49">
        <v>179.99609999999899</v>
      </c>
      <c r="O188" s="57">
        <v>0.27478616919999999</v>
      </c>
      <c r="P188" s="57">
        <v>0.88043140119999996</v>
      </c>
      <c r="Q188" s="5">
        <v>0</v>
      </c>
      <c r="R188" s="49">
        <v>0</v>
      </c>
      <c r="S188" s="49">
        <v>0</v>
      </c>
      <c r="T188" s="5">
        <v>0</v>
      </c>
      <c r="U188" s="5">
        <f t="shared" si="10"/>
        <v>0</v>
      </c>
      <c r="V188" s="5">
        <v>0</v>
      </c>
      <c r="W188" s="49">
        <v>5018.4799999999896</v>
      </c>
      <c r="X188" s="49">
        <v>27.881048530000001</v>
      </c>
      <c r="Y188" s="49">
        <v>5018.4799999999896</v>
      </c>
      <c r="Z188" s="49">
        <v>0</v>
      </c>
      <c r="AA188" s="49">
        <v>0</v>
      </c>
      <c r="AB188" s="49">
        <v>0</v>
      </c>
      <c r="AC188" s="4" t="str">
        <f t="shared" si="8"/>
        <v>Excavator</v>
      </c>
      <c r="AD188" s="4" t="str">
        <f t="shared" si="9"/>
        <v>Operational</v>
      </c>
      <c r="AE188" s="4" t="str">
        <f t="shared" si="11"/>
        <v>Individual</v>
      </c>
    </row>
    <row r="189" spans="1:31" ht="13.5" hidden="1" customHeight="1" x14ac:dyDescent="0.35">
      <c r="A189" s="3">
        <v>23</v>
      </c>
      <c r="B189" s="3" t="s">
        <v>199</v>
      </c>
      <c r="C189" s="3" t="s">
        <v>222</v>
      </c>
      <c r="D189" s="52">
        <v>744</v>
      </c>
      <c r="E189" s="48">
        <v>0</v>
      </c>
      <c r="F189" s="48">
        <v>0</v>
      </c>
      <c r="G189" s="48">
        <v>0</v>
      </c>
      <c r="H189" s="48">
        <v>744</v>
      </c>
      <c r="I189" s="48">
        <v>0</v>
      </c>
      <c r="J189" s="48">
        <v>0</v>
      </c>
      <c r="K189" s="48">
        <v>0</v>
      </c>
      <c r="L189" s="48">
        <v>0</v>
      </c>
      <c r="M189" s="48">
        <v>0</v>
      </c>
      <c r="N189" s="48">
        <v>0</v>
      </c>
      <c r="O189" s="56">
        <v>0</v>
      </c>
      <c r="P189" s="56">
        <v>0</v>
      </c>
      <c r="Q189" s="3">
        <v>0</v>
      </c>
      <c r="R189" s="48">
        <v>0</v>
      </c>
      <c r="S189" s="48">
        <v>0</v>
      </c>
      <c r="T189" s="3">
        <v>0</v>
      </c>
      <c r="U189" s="3">
        <f t="shared" si="10"/>
        <v>0</v>
      </c>
      <c r="V189" s="3">
        <v>0</v>
      </c>
      <c r="W189" s="48">
        <v>15107.99</v>
      </c>
      <c r="X189" s="48">
        <v>0</v>
      </c>
      <c r="Y189" s="48">
        <v>0</v>
      </c>
      <c r="Z189" s="48">
        <v>0</v>
      </c>
      <c r="AA189" s="48">
        <v>0</v>
      </c>
      <c r="AB189" s="48">
        <v>0</v>
      </c>
      <c r="AC189" s="4" t="str">
        <f t="shared" si="8"/>
        <v>Excavator</v>
      </c>
      <c r="AD189" s="4" t="str">
        <f t="shared" si="9"/>
        <v>Non-Operational</v>
      </c>
      <c r="AE189" s="4" t="str">
        <f t="shared" si="11"/>
        <v>Individual</v>
      </c>
    </row>
    <row r="190" spans="1:31" ht="13.5" customHeight="1" x14ac:dyDescent="0.35">
      <c r="A190" s="5">
        <v>24</v>
      </c>
      <c r="B190" s="5" t="s">
        <v>199</v>
      </c>
      <c r="C190" s="5" t="s">
        <v>223</v>
      </c>
      <c r="D190" s="53">
        <v>744.00049999999999</v>
      </c>
      <c r="E190" s="49">
        <v>262.471599999999</v>
      </c>
      <c r="F190" s="49">
        <v>215.23929999999899</v>
      </c>
      <c r="G190" s="49">
        <v>207.82499999999999</v>
      </c>
      <c r="H190" s="49">
        <v>481.52890000000002</v>
      </c>
      <c r="I190" s="49">
        <v>0</v>
      </c>
      <c r="J190" s="49">
        <v>47.232300000000002</v>
      </c>
      <c r="K190" s="49">
        <v>0</v>
      </c>
      <c r="L190" s="49">
        <v>207.82499999999999</v>
      </c>
      <c r="M190" s="49">
        <v>0</v>
      </c>
      <c r="N190" s="49">
        <v>207.82499999999999</v>
      </c>
      <c r="O190" s="57">
        <v>0.35278417150000002</v>
      </c>
      <c r="P190" s="57">
        <v>0.79179995089999999</v>
      </c>
      <c r="Q190" s="5">
        <v>0</v>
      </c>
      <c r="R190" s="49">
        <v>0</v>
      </c>
      <c r="S190" s="49">
        <v>0</v>
      </c>
      <c r="T190" s="5">
        <v>0</v>
      </c>
      <c r="U190" s="5">
        <f t="shared" si="10"/>
        <v>0</v>
      </c>
      <c r="V190" s="5">
        <v>0</v>
      </c>
      <c r="W190" s="49">
        <v>11543.9799999999</v>
      </c>
      <c r="X190" s="49">
        <v>55.546637799999999</v>
      </c>
      <c r="Y190" s="49">
        <v>11543.9799999999</v>
      </c>
      <c r="Z190" s="49">
        <v>0</v>
      </c>
      <c r="AA190" s="49">
        <v>0</v>
      </c>
      <c r="AB190" s="49">
        <v>0</v>
      </c>
      <c r="AC190" s="4" t="str">
        <f t="shared" si="8"/>
        <v>Excavator</v>
      </c>
      <c r="AD190" s="4" t="str">
        <f t="shared" si="9"/>
        <v>Operational</v>
      </c>
      <c r="AE190" s="4" t="str">
        <f t="shared" si="11"/>
        <v>Individual</v>
      </c>
    </row>
    <row r="191" spans="1:31" ht="13.5" hidden="1" customHeight="1" x14ac:dyDescent="0.35">
      <c r="A191" s="3">
        <v>25</v>
      </c>
      <c r="B191" s="3" t="s">
        <v>199</v>
      </c>
      <c r="C191" s="3" t="s">
        <v>224</v>
      </c>
      <c r="D191" s="52">
        <v>743.99969999999996</v>
      </c>
      <c r="E191" s="48">
        <v>51.667900000000003</v>
      </c>
      <c r="F191" s="48">
        <v>44.514899999999997</v>
      </c>
      <c r="G191" s="48">
        <v>43.506</v>
      </c>
      <c r="H191" s="48">
        <v>692.33179999999902</v>
      </c>
      <c r="I191" s="48">
        <v>0</v>
      </c>
      <c r="J191" s="48">
        <v>7.1529999999999898</v>
      </c>
      <c r="K191" s="48">
        <v>0</v>
      </c>
      <c r="L191" s="48">
        <v>43.506</v>
      </c>
      <c r="M191" s="48">
        <v>0</v>
      </c>
      <c r="N191" s="48">
        <v>43.506</v>
      </c>
      <c r="O191" s="56">
        <v>6.9446130100000003E-2</v>
      </c>
      <c r="P191" s="56">
        <v>0.84203151279999999</v>
      </c>
      <c r="Q191" s="3">
        <v>0</v>
      </c>
      <c r="R191" s="48">
        <v>0</v>
      </c>
      <c r="S191" s="48">
        <v>0</v>
      </c>
      <c r="T191" s="3">
        <v>0</v>
      </c>
      <c r="U191" s="3">
        <f t="shared" si="10"/>
        <v>0</v>
      </c>
      <c r="V191" s="3">
        <v>0</v>
      </c>
      <c r="W191" s="48">
        <v>25600.74</v>
      </c>
      <c r="X191" s="48">
        <v>588.44159430000002</v>
      </c>
      <c r="Y191" s="48">
        <v>25600.74</v>
      </c>
      <c r="Z191" s="48">
        <v>0</v>
      </c>
      <c r="AA191" s="48">
        <v>0</v>
      </c>
      <c r="AB191" s="48">
        <v>0</v>
      </c>
      <c r="AC191" s="4" t="str">
        <f t="shared" si="8"/>
        <v>Excavator</v>
      </c>
      <c r="AD191" s="4" t="str">
        <f t="shared" si="9"/>
        <v>Operational</v>
      </c>
      <c r="AE191" s="4" t="str">
        <f t="shared" si="11"/>
        <v>Individual</v>
      </c>
    </row>
    <row r="192" spans="1:31" ht="13.5" customHeight="1" x14ac:dyDescent="0.35">
      <c r="A192" s="5">
        <v>26</v>
      </c>
      <c r="B192" s="5" t="s">
        <v>199</v>
      </c>
      <c r="C192" s="5" t="s">
        <v>225</v>
      </c>
      <c r="D192" s="53">
        <v>744.0009</v>
      </c>
      <c r="E192" s="49">
        <v>566.76969999999994</v>
      </c>
      <c r="F192" s="49">
        <v>483.05840000000001</v>
      </c>
      <c r="G192" s="49">
        <v>470.63189999999997</v>
      </c>
      <c r="H192" s="49">
        <v>177.2312</v>
      </c>
      <c r="I192" s="49">
        <v>0</v>
      </c>
      <c r="J192" s="49">
        <v>83.711299999999994</v>
      </c>
      <c r="K192" s="49">
        <v>0</v>
      </c>
      <c r="L192" s="49">
        <v>470.63189999999997</v>
      </c>
      <c r="M192" s="49">
        <v>0</v>
      </c>
      <c r="N192" s="49">
        <v>470.63189999999997</v>
      </c>
      <c r="O192" s="57">
        <v>0.76178630970000005</v>
      </c>
      <c r="P192" s="57">
        <v>0.83037590049999999</v>
      </c>
      <c r="Q192" s="5">
        <v>0</v>
      </c>
      <c r="R192" s="49">
        <v>0</v>
      </c>
      <c r="S192" s="49">
        <v>0</v>
      </c>
      <c r="T192" s="5">
        <v>0</v>
      </c>
      <c r="U192" s="5">
        <f t="shared" si="10"/>
        <v>0</v>
      </c>
      <c r="V192" s="5">
        <v>0</v>
      </c>
      <c r="W192" s="49">
        <v>27405.279999999999</v>
      </c>
      <c r="X192" s="49">
        <v>58.230816910000001</v>
      </c>
      <c r="Y192" s="49">
        <v>27405.279999999999</v>
      </c>
      <c r="Z192" s="49">
        <v>0</v>
      </c>
      <c r="AA192" s="49">
        <v>0</v>
      </c>
      <c r="AB192" s="49">
        <v>0</v>
      </c>
      <c r="AC192" s="4" t="str">
        <f t="shared" si="8"/>
        <v>Excavator</v>
      </c>
      <c r="AD192" s="4" t="str">
        <f t="shared" si="9"/>
        <v>Operational</v>
      </c>
      <c r="AE192" s="4" t="str">
        <f t="shared" si="11"/>
        <v>Individual</v>
      </c>
    </row>
    <row r="193" spans="1:31" ht="13.5" customHeight="1" x14ac:dyDescent="0.35">
      <c r="A193" s="3">
        <v>27</v>
      </c>
      <c r="B193" s="3" t="s">
        <v>199</v>
      </c>
      <c r="C193" s="3" t="s">
        <v>226</v>
      </c>
      <c r="D193" s="52">
        <v>743.9991</v>
      </c>
      <c r="E193" s="48">
        <v>583.07259999999997</v>
      </c>
      <c r="F193" s="48">
        <v>493.97129999999902</v>
      </c>
      <c r="G193" s="48">
        <v>471.52800000000002</v>
      </c>
      <c r="H193" s="48">
        <v>160.9265</v>
      </c>
      <c r="I193" s="48">
        <v>0</v>
      </c>
      <c r="J193" s="48">
        <v>89.101299999999995</v>
      </c>
      <c r="K193" s="48">
        <v>0</v>
      </c>
      <c r="L193" s="48">
        <v>471.52800000000002</v>
      </c>
      <c r="M193" s="48">
        <v>0</v>
      </c>
      <c r="N193" s="48">
        <v>471.52800000000002</v>
      </c>
      <c r="O193" s="56">
        <v>0.78370067919999997</v>
      </c>
      <c r="P193" s="56">
        <v>0.80869517790000001</v>
      </c>
      <c r="Q193" s="3">
        <v>0</v>
      </c>
      <c r="R193" s="48">
        <v>0</v>
      </c>
      <c r="S193" s="48">
        <v>0</v>
      </c>
      <c r="T193" s="3">
        <v>0</v>
      </c>
      <c r="U193" s="3">
        <f t="shared" si="10"/>
        <v>0</v>
      </c>
      <c r="V193" s="3">
        <v>0</v>
      </c>
      <c r="W193" s="48">
        <v>28669.809999999899</v>
      </c>
      <c r="X193" s="48">
        <v>60.801924810000003</v>
      </c>
      <c r="Y193" s="48">
        <v>28669.809999999899</v>
      </c>
      <c r="Z193" s="48">
        <v>0</v>
      </c>
      <c r="AA193" s="48">
        <v>0</v>
      </c>
      <c r="AB193" s="48">
        <v>0</v>
      </c>
      <c r="AC193" s="4" t="str">
        <f t="shared" si="8"/>
        <v>Excavator</v>
      </c>
      <c r="AD193" s="4" t="str">
        <f t="shared" si="9"/>
        <v>Operational</v>
      </c>
      <c r="AE193" s="4" t="str">
        <f t="shared" si="11"/>
        <v>Individual</v>
      </c>
    </row>
    <row r="194" spans="1:31" ht="13.5" customHeight="1" x14ac:dyDescent="0.35">
      <c r="A194" s="5">
        <v>28</v>
      </c>
      <c r="B194" s="5" t="s">
        <v>199</v>
      </c>
      <c r="C194" s="5" t="s">
        <v>227</v>
      </c>
      <c r="D194" s="53">
        <v>744.0009</v>
      </c>
      <c r="E194" s="49">
        <v>536.9194</v>
      </c>
      <c r="F194" s="49">
        <v>481.71940000000001</v>
      </c>
      <c r="G194" s="49">
        <v>462.9427</v>
      </c>
      <c r="H194" s="49">
        <v>207.08150000000001</v>
      </c>
      <c r="I194" s="49">
        <v>0</v>
      </c>
      <c r="J194" s="49">
        <v>55.199999999999903</v>
      </c>
      <c r="K194" s="49">
        <v>0</v>
      </c>
      <c r="L194" s="49">
        <v>462.9427</v>
      </c>
      <c r="M194" s="49">
        <v>0</v>
      </c>
      <c r="N194" s="49">
        <v>462.9427</v>
      </c>
      <c r="O194" s="57">
        <v>0.72166498720000005</v>
      </c>
      <c r="P194" s="57">
        <v>0.86222010230000001</v>
      </c>
      <c r="Q194" s="5">
        <v>0</v>
      </c>
      <c r="R194" s="49">
        <v>0</v>
      </c>
      <c r="S194" s="49">
        <v>0</v>
      </c>
      <c r="T194" s="5">
        <v>0</v>
      </c>
      <c r="U194" s="5">
        <f t="shared" si="10"/>
        <v>0</v>
      </c>
      <c r="V194" s="5">
        <v>0</v>
      </c>
      <c r="W194" s="49">
        <v>45651.3</v>
      </c>
      <c r="X194" s="49">
        <v>98.611124009999997</v>
      </c>
      <c r="Y194" s="49">
        <v>45651.3</v>
      </c>
      <c r="Z194" s="49">
        <v>0</v>
      </c>
      <c r="AA194" s="49">
        <v>0</v>
      </c>
      <c r="AB194" s="49">
        <v>0</v>
      </c>
      <c r="AC194" s="4" t="str">
        <f t="shared" si="8"/>
        <v>Excavator</v>
      </c>
      <c r="AD194" s="4" t="str">
        <f t="shared" si="9"/>
        <v>Operational</v>
      </c>
      <c r="AE194" s="4" t="str">
        <f t="shared" si="11"/>
        <v>Individual</v>
      </c>
    </row>
    <row r="195" spans="1:31" ht="13.5" hidden="1" customHeight="1" x14ac:dyDescent="0.35">
      <c r="A195" s="46">
        <v>6</v>
      </c>
      <c r="B195" s="46" t="s">
        <v>199</v>
      </c>
      <c r="C195" s="46">
        <v>28</v>
      </c>
      <c r="D195" s="54">
        <v>743.89932499999998</v>
      </c>
      <c r="E195" s="50">
        <v>418.89780710000002</v>
      </c>
      <c r="F195" s="50">
        <v>375.75069639999998</v>
      </c>
      <c r="G195" s="50">
        <v>355.9039679</v>
      </c>
      <c r="H195" s="50">
        <v>325.00151790000001</v>
      </c>
      <c r="I195" s="50">
        <v>0</v>
      </c>
      <c r="J195" s="50">
        <v>43.14711071</v>
      </c>
      <c r="K195" s="50">
        <v>0</v>
      </c>
      <c r="L195" s="50">
        <v>355.9039679</v>
      </c>
      <c r="M195" s="50">
        <v>0</v>
      </c>
      <c r="N195" s="50">
        <v>355.9039679</v>
      </c>
      <c r="O195" s="58">
        <v>0.56311088490000005</v>
      </c>
      <c r="P195" s="58">
        <v>0.84962003090000005</v>
      </c>
      <c r="Q195" s="46">
        <v>0</v>
      </c>
      <c r="R195" s="50">
        <v>0</v>
      </c>
      <c r="S195" s="50">
        <v>0</v>
      </c>
      <c r="T195" s="46">
        <v>0</v>
      </c>
      <c r="U195" s="46">
        <f t="shared" si="10"/>
        <v>0</v>
      </c>
      <c r="V195" s="46">
        <v>0</v>
      </c>
      <c r="W195" s="50">
        <v>18976.632592592501</v>
      </c>
      <c r="X195" s="50">
        <v>67.112693699999994</v>
      </c>
      <c r="Y195" s="50">
        <v>19125.426538461499</v>
      </c>
      <c r="Z195" s="50">
        <v>0</v>
      </c>
      <c r="AA195" s="50">
        <v>0</v>
      </c>
      <c r="AB195" s="50">
        <v>0</v>
      </c>
      <c r="AC195" s="47" t="str">
        <f t="shared" ref="AC195:AC209" si="12">IF(OR(TRIM(B195)="Tipper",TRIM(B195)="Volvo",TRIM(B195)="Bharatbenz"),"Tipper",IF(OR(TRIM(B195)="Dumper",TRIM(B195)="Sany",TRIM(B195)="Komatsu"),"Dumper",IF(TRIM(B195)="Excavator","Excavator",IF(OR(TRIM(B195)="Front End Loader",TRIM(B195)="Fel"),"Front End Loader",IF(OR(TRIM(B195)="Surface Miner",TRIM(B195)="Csm"),"Surface Miner",IF(TRIM(B195)="Diesel Bowser","Diesel Bowser","Other"))))))</f>
        <v>Excavator</v>
      </c>
      <c r="AD195" s="47" t="str">
        <f t="shared" ref="AD195:AD209" si="13">IF(E195=0,"Non-Operational","Operational")</f>
        <v>Operational</v>
      </c>
      <c r="AE195" s="47" t="str">
        <f t="shared" si="11"/>
        <v>Aggregate</v>
      </c>
    </row>
    <row r="196" spans="1:31" ht="13.5" customHeight="1" x14ac:dyDescent="0.35">
      <c r="A196" s="5">
        <v>1</v>
      </c>
      <c r="B196" s="5" t="s">
        <v>228</v>
      </c>
      <c r="C196" s="5" t="s">
        <v>229</v>
      </c>
      <c r="D196" s="53">
        <v>743.99990000000003</v>
      </c>
      <c r="E196" s="49">
        <v>384.73169999999999</v>
      </c>
      <c r="F196" s="49">
        <v>311.90249999999997</v>
      </c>
      <c r="G196" s="49">
        <v>302.62459999999999</v>
      </c>
      <c r="H196" s="49">
        <v>359.26819999999998</v>
      </c>
      <c r="I196" s="49">
        <v>0</v>
      </c>
      <c r="J196" s="49">
        <v>72.8292</v>
      </c>
      <c r="K196" s="49">
        <v>0</v>
      </c>
      <c r="L196" s="49">
        <v>302.62459999999999</v>
      </c>
      <c r="M196" s="49">
        <v>0</v>
      </c>
      <c r="N196" s="49">
        <v>302.62459999999999</v>
      </c>
      <c r="O196" s="57">
        <v>0.51711256949999995</v>
      </c>
      <c r="P196" s="57">
        <v>0.78658608060000001</v>
      </c>
      <c r="Q196" s="5">
        <v>0</v>
      </c>
      <c r="R196" s="49">
        <v>0</v>
      </c>
      <c r="S196" s="49">
        <v>0</v>
      </c>
      <c r="T196" s="5">
        <v>0</v>
      </c>
      <c r="U196" s="5">
        <f t="shared" ref="U196:U209" si="14">T196*V196</f>
        <v>0</v>
      </c>
      <c r="V196" s="5">
        <v>0</v>
      </c>
      <c r="W196" s="49">
        <v>22648.38</v>
      </c>
      <c r="X196" s="49">
        <v>74.839851089999996</v>
      </c>
      <c r="Y196" s="49">
        <v>22648.38</v>
      </c>
      <c r="Z196" s="49">
        <v>0</v>
      </c>
      <c r="AA196" s="49">
        <v>0</v>
      </c>
      <c r="AB196" s="49">
        <v>0</v>
      </c>
      <c r="AC196" s="4" t="str">
        <f t="shared" si="12"/>
        <v>Surface Miner</v>
      </c>
      <c r="AD196" s="4" t="str">
        <f t="shared" si="13"/>
        <v>Operational</v>
      </c>
      <c r="AE196" s="4" t="str">
        <f t="shared" ref="AE196:AE209" si="15">IF(OR(C196=54,C196=67,C196=10,C196=16,C196=6,C196=12,C196=28),"Aggregate","Individual")</f>
        <v>Individual</v>
      </c>
    </row>
    <row r="197" spans="1:31" ht="13.5" hidden="1" customHeight="1" x14ac:dyDescent="0.35">
      <c r="A197" s="3">
        <v>2</v>
      </c>
      <c r="B197" s="3" t="s">
        <v>228</v>
      </c>
      <c r="C197" s="3" t="s">
        <v>230</v>
      </c>
      <c r="D197" s="52">
        <v>739.80119999999897</v>
      </c>
      <c r="E197" s="48">
        <v>8.6493000000000002</v>
      </c>
      <c r="F197" s="48">
        <v>7.8678999999999997</v>
      </c>
      <c r="G197" s="48">
        <v>7.0590999999999999</v>
      </c>
      <c r="H197" s="48">
        <v>731.15189999999905</v>
      </c>
      <c r="I197" s="48">
        <v>0</v>
      </c>
      <c r="J197" s="48">
        <v>0.78139999999999998</v>
      </c>
      <c r="K197" s="48">
        <v>0</v>
      </c>
      <c r="L197" s="48">
        <v>7.0590999999999999</v>
      </c>
      <c r="M197" s="48">
        <v>0</v>
      </c>
      <c r="N197" s="48">
        <v>7.0590999999999999</v>
      </c>
      <c r="O197" s="56">
        <v>1.16913841E-2</v>
      </c>
      <c r="P197" s="56">
        <v>0.81614697140000003</v>
      </c>
      <c r="Q197" s="3">
        <v>0</v>
      </c>
      <c r="R197" s="48">
        <v>0</v>
      </c>
      <c r="S197" s="48">
        <v>0</v>
      </c>
      <c r="T197" s="3">
        <v>0</v>
      </c>
      <c r="U197" s="3">
        <f t="shared" si="14"/>
        <v>0</v>
      </c>
      <c r="V197" s="3">
        <v>0</v>
      </c>
      <c r="W197" s="48">
        <v>0</v>
      </c>
      <c r="X197" s="48">
        <v>0</v>
      </c>
      <c r="Y197" s="48">
        <v>0</v>
      </c>
      <c r="Z197" s="48">
        <v>0</v>
      </c>
      <c r="AA197" s="48">
        <v>0</v>
      </c>
      <c r="AB197" s="48">
        <v>0</v>
      </c>
      <c r="AC197" s="4" t="str">
        <f t="shared" si="12"/>
        <v>Surface Miner</v>
      </c>
      <c r="AD197" s="4" t="str">
        <f t="shared" si="13"/>
        <v>Operational</v>
      </c>
      <c r="AE197" s="4" t="str">
        <f t="shared" si="15"/>
        <v>Individual</v>
      </c>
    </row>
    <row r="198" spans="1:31" ht="13.5" customHeight="1" x14ac:dyDescent="0.35">
      <c r="A198" s="5">
        <v>3</v>
      </c>
      <c r="B198" s="5" t="s">
        <v>228</v>
      </c>
      <c r="C198" s="5" t="s">
        <v>231</v>
      </c>
      <c r="D198" s="53">
        <v>742.329599999999</v>
      </c>
      <c r="E198" s="49">
        <v>608.26419999999905</v>
      </c>
      <c r="F198" s="49">
        <v>578.03579999999897</v>
      </c>
      <c r="G198" s="49">
        <v>470.58179999999999</v>
      </c>
      <c r="H198" s="49">
        <v>134.06540000000001</v>
      </c>
      <c r="I198" s="49">
        <v>0</v>
      </c>
      <c r="J198" s="49">
        <v>30.228400000000001</v>
      </c>
      <c r="K198" s="49">
        <v>0</v>
      </c>
      <c r="L198" s="49">
        <v>470.58179999999999</v>
      </c>
      <c r="M198" s="49">
        <v>0</v>
      </c>
      <c r="N198" s="49">
        <v>470.58179999999999</v>
      </c>
      <c r="O198" s="57">
        <v>0.81939909170000003</v>
      </c>
      <c r="P198" s="57">
        <v>0.77364704350000002</v>
      </c>
      <c r="Q198" s="5">
        <v>0</v>
      </c>
      <c r="R198" s="49">
        <v>0</v>
      </c>
      <c r="S198" s="49">
        <v>0</v>
      </c>
      <c r="T198" s="5">
        <v>0</v>
      </c>
      <c r="U198" s="5">
        <f t="shared" si="14"/>
        <v>0</v>
      </c>
      <c r="V198" s="5">
        <v>0</v>
      </c>
      <c r="W198" s="49">
        <v>40469.51</v>
      </c>
      <c r="X198" s="49">
        <v>85.998884779999997</v>
      </c>
      <c r="Y198" s="49">
        <v>40469.51</v>
      </c>
      <c r="Z198" s="49">
        <v>0</v>
      </c>
      <c r="AA198" s="49">
        <v>0</v>
      </c>
      <c r="AB198" s="49">
        <v>0</v>
      </c>
      <c r="AC198" s="4" t="str">
        <f t="shared" si="12"/>
        <v>Surface Miner</v>
      </c>
      <c r="AD198" s="4" t="str">
        <f t="shared" si="13"/>
        <v>Operational</v>
      </c>
      <c r="AE198" s="4" t="str">
        <f t="shared" si="15"/>
        <v>Individual</v>
      </c>
    </row>
    <row r="199" spans="1:31" ht="13.5" customHeight="1" x14ac:dyDescent="0.35">
      <c r="A199" s="3">
        <v>4</v>
      </c>
      <c r="B199" s="3" t="s">
        <v>228</v>
      </c>
      <c r="C199" s="3" t="s">
        <v>232</v>
      </c>
      <c r="D199" s="52">
        <v>743.99979999999903</v>
      </c>
      <c r="E199" s="48">
        <v>598.86779999999999</v>
      </c>
      <c r="F199" s="48">
        <v>502.50040000000001</v>
      </c>
      <c r="G199" s="48">
        <v>493.85090000000002</v>
      </c>
      <c r="H199" s="48">
        <v>145.13199999999901</v>
      </c>
      <c r="I199" s="48">
        <v>0</v>
      </c>
      <c r="J199" s="48">
        <v>96.367399999999904</v>
      </c>
      <c r="K199" s="48">
        <v>0</v>
      </c>
      <c r="L199" s="48">
        <v>493.85090000000002</v>
      </c>
      <c r="M199" s="48">
        <v>0</v>
      </c>
      <c r="N199" s="48">
        <v>493.85090000000002</v>
      </c>
      <c r="O199" s="56">
        <v>0.80493005510000004</v>
      </c>
      <c r="P199" s="56">
        <v>0.8246409308</v>
      </c>
      <c r="Q199" s="3">
        <v>0</v>
      </c>
      <c r="R199" s="48">
        <v>0</v>
      </c>
      <c r="S199" s="48">
        <v>0</v>
      </c>
      <c r="T199" s="3">
        <v>0</v>
      </c>
      <c r="U199" s="3">
        <f t="shared" si="14"/>
        <v>0</v>
      </c>
      <c r="V199" s="3">
        <v>0</v>
      </c>
      <c r="W199" s="48">
        <v>45218.249999999898</v>
      </c>
      <c r="X199" s="48">
        <v>91.562554610000007</v>
      </c>
      <c r="Y199" s="48">
        <v>45218.249999999898</v>
      </c>
      <c r="Z199" s="48">
        <v>0</v>
      </c>
      <c r="AA199" s="48">
        <v>0</v>
      </c>
      <c r="AB199" s="48">
        <v>0</v>
      </c>
      <c r="AC199" s="4" t="str">
        <f t="shared" si="12"/>
        <v>Surface Miner</v>
      </c>
      <c r="AD199" s="4" t="str">
        <f t="shared" si="13"/>
        <v>Operational</v>
      </c>
      <c r="AE199" s="4" t="str">
        <f t="shared" si="15"/>
        <v>Individual</v>
      </c>
    </row>
    <row r="200" spans="1:31" ht="13.5" customHeight="1" x14ac:dyDescent="0.35">
      <c r="A200" s="5">
        <v>5</v>
      </c>
      <c r="B200" s="5" t="s">
        <v>228</v>
      </c>
      <c r="C200" s="5" t="s">
        <v>233</v>
      </c>
      <c r="D200" s="53">
        <v>738.69029999999998</v>
      </c>
      <c r="E200" s="49">
        <v>369.18229999999897</v>
      </c>
      <c r="F200" s="49">
        <v>331.59609999999901</v>
      </c>
      <c r="G200" s="49">
        <v>303.011699999999</v>
      </c>
      <c r="H200" s="49">
        <v>369.50799999999998</v>
      </c>
      <c r="I200" s="49">
        <v>0</v>
      </c>
      <c r="J200" s="49">
        <v>37.586199999999998</v>
      </c>
      <c r="K200" s="49">
        <v>0</v>
      </c>
      <c r="L200" s="49">
        <v>303.011699999999</v>
      </c>
      <c r="M200" s="49">
        <v>0</v>
      </c>
      <c r="N200" s="49">
        <v>303.011699999999</v>
      </c>
      <c r="O200" s="57">
        <v>0.49977954229999999</v>
      </c>
      <c r="P200" s="57">
        <v>0.82076442989999998</v>
      </c>
      <c r="Q200" s="5">
        <v>0</v>
      </c>
      <c r="R200" s="49">
        <v>0</v>
      </c>
      <c r="S200" s="49">
        <v>0</v>
      </c>
      <c r="T200" s="5">
        <v>0</v>
      </c>
      <c r="U200" s="5">
        <f t="shared" si="14"/>
        <v>0</v>
      </c>
      <c r="V200" s="5">
        <v>0</v>
      </c>
      <c r="W200" s="49">
        <v>26596.62</v>
      </c>
      <c r="X200" s="49">
        <v>87.774234460000002</v>
      </c>
      <c r="Y200" s="49">
        <v>26596.62</v>
      </c>
      <c r="Z200" s="49">
        <v>0</v>
      </c>
      <c r="AA200" s="49">
        <v>0</v>
      </c>
      <c r="AB200" s="49">
        <v>0</v>
      </c>
      <c r="AC200" s="4" t="str">
        <f t="shared" si="12"/>
        <v>Surface Miner</v>
      </c>
      <c r="AD200" s="4" t="str">
        <f t="shared" si="13"/>
        <v>Operational</v>
      </c>
      <c r="AE200" s="4" t="str">
        <f t="shared" si="15"/>
        <v>Individual</v>
      </c>
    </row>
    <row r="201" spans="1:31" ht="13.5" customHeight="1" x14ac:dyDescent="0.35">
      <c r="A201" s="3">
        <v>6</v>
      </c>
      <c r="B201" s="3" t="s">
        <v>228</v>
      </c>
      <c r="C201" s="3" t="s">
        <v>234</v>
      </c>
      <c r="D201" s="52">
        <v>743.99959999999999</v>
      </c>
      <c r="E201" s="48">
        <v>570.38210000000004</v>
      </c>
      <c r="F201" s="48">
        <v>518.95389999999998</v>
      </c>
      <c r="G201" s="48">
        <v>510.9434</v>
      </c>
      <c r="H201" s="48">
        <v>173.61750000000001</v>
      </c>
      <c r="I201" s="48">
        <v>0</v>
      </c>
      <c r="J201" s="48">
        <v>51.428199999999997</v>
      </c>
      <c r="K201" s="48">
        <v>0</v>
      </c>
      <c r="L201" s="48">
        <v>510.9434</v>
      </c>
      <c r="M201" s="48">
        <v>0</v>
      </c>
      <c r="N201" s="48">
        <v>510.9434</v>
      </c>
      <c r="O201" s="56">
        <v>0.76664301970000004</v>
      </c>
      <c r="P201" s="56">
        <v>0.89579143530000005</v>
      </c>
      <c r="Q201" s="3">
        <v>0</v>
      </c>
      <c r="R201" s="48">
        <v>0</v>
      </c>
      <c r="S201" s="48">
        <v>0</v>
      </c>
      <c r="T201" s="3">
        <v>0</v>
      </c>
      <c r="U201" s="3">
        <f t="shared" si="14"/>
        <v>0</v>
      </c>
      <c r="V201" s="3">
        <v>0</v>
      </c>
      <c r="W201" s="48">
        <v>44190.599999999897</v>
      </c>
      <c r="X201" s="48">
        <v>86.488248990000002</v>
      </c>
      <c r="Y201" s="48">
        <v>44190.599999999897</v>
      </c>
      <c r="Z201" s="48">
        <v>0</v>
      </c>
      <c r="AA201" s="48">
        <v>0</v>
      </c>
      <c r="AB201" s="48">
        <v>0</v>
      </c>
      <c r="AC201" s="4" t="str">
        <f t="shared" si="12"/>
        <v>Surface Miner</v>
      </c>
      <c r="AD201" s="4" t="str">
        <f t="shared" si="13"/>
        <v>Operational</v>
      </c>
      <c r="AE201" s="4" t="str">
        <f t="shared" si="15"/>
        <v>Individual</v>
      </c>
    </row>
    <row r="202" spans="1:31" ht="13.5" hidden="1" customHeight="1" x14ac:dyDescent="0.35">
      <c r="A202" s="47">
        <v>7</v>
      </c>
      <c r="B202" s="47" t="s">
        <v>235</v>
      </c>
      <c r="C202" s="47">
        <v>6</v>
      </c>
      <c r="D202" s="55">
        <v>742.13673329999995</v>
      </c>
      <c r="E202" s="51">
        <v>423.34623329999999</v>
      </c>
      <c r="F202" s="51">
        <v>375.14276669999998</v>
      </c>
      <c r="G202" s="51">
        <v>348.01191669999997</v>
      </c>
      <c r="H202" s="51">
        <v>318.79050000000001</v>
      </c>
      <c r="I202" s="51">
        <v>0</v>
      </c>
      <c r="J202" s="51">
        <v>48.203466669999997</v>
      </c>
      <c r="K202" s="51">
        <v>0</v>
      </c>
      <c r="L202" s="51">
        <v>348.01191669999997</v>
      </c>
      <c r="M202" s="51">
        <v>0</v>
      </c>
      <c r="N202" s="51">
        <v>348.01191669999997</v>
      </c>
      <c r="O202" s="59">
        <v>0.57044236500000001</v>
      </c>
      <c r="P202" s="59">
        <v>0.82205034379999997</v>
      </c>
      <c r="Q202" s="47">
        <v>0</v>
      </c>
      <c r="R202" s="51">
        <v>0</v>
      </c>
      <c r="S202" s="51">
        <v>0</v>
      </c>
      <c r="T202" s="47">
        <v>0</v>
      </c>
      <c r="U202" s="47">
        <f t="shared" si="14"/>
        <v>0</v>
      </c>
      <c r="V202" s="47">
        <v>0</v>
      </c>
      <c r="W202" s="51">
        <v>35824.671999999999</v>
      </c>
      <c r="X202" s="51">
        <v>85.332754789999996</v>
      </c>
      <c r="Y202" s="51">
        <v>35824.671999999999</v>
      </c>
      <c r="Z202" s="51">
        <v>0</v>
      </c>
      <c r="AA202" s="51">
        <v>0</v>
      </c>
      <c r="AB202" s="51">
        <v>0</v>
      </c>
      <c r="AC202" s="47" t="str">
        <f t="shared" si="12"/>
        <v>Surface Miner</v>
      </c>
      <c r="AD202" s="47" t="str">
        <f t="shared" si="13"/>
        <v>Operational</v>
      </c>
      <c r="AE202" s="47" t="str">
        <f t="shared" si="15"/>
        <v>Aggregate</v>
      </c>
    </row>
    <row r="203" spans="1:31" ht="13.5" hidden="1" customHeight="1" x14ac:dyDescent="0.35">
      <c r="A203" s="3">
        <v>1</v>
      </c>
      <c r="B203" s="3" t="s">
        <v>236</v>
      </c>
      <c r="C203" s="3" t="s">
        <v>237</v>
      </c>
      <c r="D203" s="52">
        <v>743.99940000000004</v>
      </c>
      <c r="E203" s="48">
        <v>474.05399999999997</v>
      </c>
      <c r="F203" s="48">
        <v>5.6155999999999899</v>
      </c>
      <c r="G203" s="48">
        <v>0.44369999999999998</v>
      </c>
      <c r="H203" s="48">
        <v>269.94540000000001</v>
      </c>
      <c r="I203" s="48">
        <v>1.5043</v>
      </c>
      <c r="J203" s="48">
        <v>468.4384</v>
      </c>
      <c r="K203" s="48">
        <v>11.6869</v>
      </c>
      <c r="L203" s="48">
        <v>0.44369999999999998</v>
      </c>
      <c r="M203" s="48">
        <v>13.1912</v>
      </c>
      <c r="N203" s="48">
        <v>13.6349</v>
      </c>
      <c r="O203" s="56">
        <v>0.63716986870000003</v>
      </c>
      <c r="P203" s="56">
        <v>9.3596930000000003E-4</v>
      </c>
      <c r="Q203" s="3">
        <v>0</v>
      </c>
      <c r="R203" s="48">
        <v>0</v>
      </c>
      <c r="S203" s="48">
        <v>0</v>
      </c>
      <c r="T203" s="3">
        <v>0</v>
      </c>
      <c r="U203" s="3">
        <f t="shared" si="14"/>
        <v>0</v>
      </c>
      <c r="V203" s="3">
        <v>0</v>
      </c>
      <c r="W203" s="48">
        <v>780.85999999999899</v>
      </c>
      <c r="X203" s="48">
        <v>57.269213559999997</v>
      </c>
      <c r="Y203" s="48">
        <v>25.410350059999999</v>
      </c>
      <c r="Z203" s="48">
        <v>755.44964990000005</v>
      </c>
      <c r="AA203" s="48">
        <v>0</v>
      </c>
      <c r="AB203" s="48">
        <v>0</v>
      </c>
      <c r="AC203" s="4" t="str">
        <f t="shared" si="12"/>
        <v>Diesel Bowser</v>
      </c>
      <c r="AD203" s="4" t="str">
        <f t="shared" si="13"/>
        <v>Operational</v>
      </c>
      <c r="AE203" s="4" t="str">
        <f t="shared" si="15"/>
        <v>Individual</v>
      </c>
    </row>
    <row r="204" spans="1:31" ht="13.5" customHeight="1" x14ac:dyDescent="0.35">
      <c r="A204" s="5">
        <v>2</v>
      </c>
      <c r="B204" s="5" t="s">
        <v>236</v>
      </c>
      <c r="C204" s="5" t="s">
        <v>238</v>
      </c>
      <c r="D204" s="53">
        <v>744.00189999999895</v>
      </c>
      <c r="E204" s="49">
        <v>619.169299999999</v>
      </c>
      <c r="F204" s="49">
        <v>117.75449999999999</v>
      </c>
      <c r="G204" s="49">
        <v>90.3827</v>
      </c>
      <c r="H204" s="49">
        <v>124.8326</v>
      </c>
      <c r="I204" s="49">
        <v>4.4144999999999897</v>
      </c>
      <c r="J204" s="49">
        <v>501.41479999999899</v>
      </c>
      <c r="K204" s="49">
        <v>0.34549999999999997</v>
      </c>
      <c r="L204" s="49">
        <v>90.3827</v>
      </c>
      <c r="M204" s="49">
        <v>4.76</v>
      </c>
      <c r="N204" s="49">
        <v>95.142700000000005</v>
      </c>
      <c r="O204" s="57">
        <v>0.83221467579999997</v>
      </c>
      <c r="P204" s="57">
        <v>0.1459741302</v>
      </c>
      <c r="Q204" s="5">
        <v>0</v>
      </c>
      <c r="R204" s="49">
        <v>0</v>
      </c>
      <c r="S204" s="49">
        <v>0</v>
      </c>
      <c r="T204" s="5">
        <v>0</v>
      </c>
      <c r="U204" s="5">
        <f t="shared" si="14"/>
        <v>0</v>
      </c>
      <c r="V204" s="5">
        <v>0</v>
      </c>
      <c r="W204" s="49">
        <v>824.96</v>
      </c>
      <c r="X204" s="49">
        <v>8.670765072</v>
      </c>
      <c r="Y204" s="49">
        <v>783.68715829999996</v>
      </c>
      <c r="Z204" s="49">
        <v>41.272841739999997</v>
      </c>
      <c r="AA204" s="49">
        <v>0</v>
      </c>
      <c r="AB204" s="49">
        <v>0</v>
      </c>
      <c r="AC204" s="4" t="str">
        <f t="shared" si="12"/>
        <v>Diesel Bowser</v>
      </c>
      <c r="AD204" s="4" t="str">
        <f t="shared" si="13"/>
        <v>Operational</v>
      </c>
      <c r="AE204" s="4" t="str">
        <f t="shared" si="15"/>
        <v>Individual</v>
      </c>
    </row>
    <row r="205" spans="1:31" ht="13.5" customHeight="1" x14ac:dyDescent="0.35">
      <c r="A205" s="3">
        <v>3</v>
      </c>
      <c r="B205" s="3" t="s">
        <v>236</v>
      </c>
      <c r="C205" s="3" t="s">
        <v>239</v>
      </c>
      <c r="D205" s="52">
        <v>743.99940000000004</v>
      </c>
      <c r="E205" s="48">
        <v>555.18859999999995</v>
      </c>
      <c r="F205" s="48">
        <v>85.672899999999998</v>
      </c>
      <c r="G205" s="48">
        <v>84.149299999999997</v>
      </c>
      <c r="H205" s="48">
        <v>188.81079999999901</v>
      </c>
      <c r="I205" s="48">
        <v>4.8299000000000003</v>
      </c>
      <c r="J205" s="48">
        <v>469.51569999999998</v>
      </c>
      <c r="K205" s="48">
        <v>6.5850999999999997</v>
      </c>
      <c r="L205" s="48">
        <v>84.149299999999997</v>
      </c>
      <c r="M205" s="48">
        <v>11.414999999999999</v>
      </c>
      <c r="N205" s="48">
        <v>95.564300000000003</v>
      </c>
      <c r="O205" s="56">
        <v>0.7462218384</v>
      </c>
      <c r="P205" s="56">
        <v>0.1515688543</v>
      </c>
      <c r="Q205" s="3">
        <v>0</v>
      </c>
      <c r="R205" s="48">
        <v>0</v>
      </c>
      <c r="S205" s="48">
        <v>0</v>
      </c>
      <c r="T205" s="3">
        <v>0</v>
      </c>
      <c r="U205" s="3">
        <f t="shared" si="14"/>
        <v>0</v>
      </c>
      <c r="V205" s="3">
        <v>0</v>
      </c>
      <c r="W205" s="48">
        <v>1203.03</v>
      </c>
      <c r="X205" s="48">
        <v>12.58869683</v>
      </c>
      <c r="Y205" s="48">
        <v>1059.3300260000001</v>
      </c>
      <c r="Z205" s="48">
        <v>143.69997430000001</v>
      </c>
      <c r="AA205" s="48">
        <v>0</v>
      </c>
      <c r="AB205" s="48">
        <v>0</v>
      </c>
      <c r="AC205" s="4" t="str">
        <f t="shared" si="12"/>
        <v>Diesel Bowser</v>
      </c>
      <c r="AD205" s="4" t="str">
        <f t="shared" si="13"/>
        <v>Operational</v>
      </c>
      <c r="AE205" s="4" t="str">
        <f t="shared" si="15"/>
        <v>Individual</v>
      </c>
    </row>
    <row r="206" spans="1:31" ht="13.5" hidden="1" customHeight="1" x14ac:dyDescent="0.35">
      <c r="A206" s="5">
        <v>4</v>
      </c>
      <c r="B206" s="5" t="s">
        <v>236</v>
      </c>
      <c r="C206" s="5" t="s">
        <v>240</v>
      </c>
      <c r="D206" s="53">
        <v>744</v>
      </c>
      <c r="E206" s="49">
        <v>744</v>
      </c>
      <c r="F206" s="49">
        <v>744</v>
      </c>
      <c r="G206" s="49">
        <v>0</v>
      </c>
      <c r="H206" s="49">
        <v>0</v>
      </c>
      <c r="I206" s="49">
        <v>0</v>
      </c>
      <c r="J206" s="49">
        <v>0</v>
      </c>
      <c r="K206" s="49">
        <v>0</v>
      </c>
      <c r="L206" s="49">
        <v>0</v>
      </c>
      <c r="M206" s="49">
        <v>0</v>
      </c>
      <c r="N206" s="49">
        <v>0</v>
      </c>
      <c r="O206" s="57">
        <v>1</v>
      </c>
      <c r="P206" s="57">
        <v>0</v>
      </c>
      <c r="Q206" s="5">
        <v>0</v>
      </c>
      <c r="R206" s="49">
        <v>0</v>
      </c>
      <c r="S206" s="49">
        <v>0</v>
      </c>
      <c r="T206" s="5">
        <v>0</v>
      </c>
      <c r="U206" s="5">
        <f t="shared" si="14"/>
        <v>0</v>
      </c>
      <c r="V206" s="5">
        <v>0</v>
      </c>
      <c r="W206" s="49">
        <v>0</v>
      </c>
      <c r="X206" s="49">
        <v>0</v>
      </c>
      <c r="Y206" s="49">
        <v>0</v>
      </c>
      <c r="Z206" s="49">
        <v>0</v>
      </c>
      <c r="AA206" s="49">
        <v>0</v>
      </c>
      <c r="AB206" s="49">
        <v>0</v>
      </c>
      <c r="AC206" s="4" t="str">
        <f t="shared" si="12"/>
        <v>Diesel Bowser</v>
      </c>
      <c r="AD206" s="4" t="str">
        <f t="shared" si="13"/>
        <v>Operational</v>
      </c>
      <c r="AE206" s="4" t="str">
        <f t="shared" si="15"/>
        <v>Individual</v>
      </c>
    </row>
    <row r="207" spans="1:31" ht="13.5" customHeight="1" x14ac:dyDescent="0.35">
      <c r="A207" s="3">
        <v>5</v>
      </c>
      <c r="B207" s="3" t="s">
        <v>236</v>
      </c>
      <c r="C207" s="3" t="s">
        <v>241</v>
      </c>
      <c r="D207" s="52">
        <v>744.00070000000005</v>
      </c>
      <c r="E207" s="48">
        <v>564.13589999999999</v>
      </c>
      <c r="F207" s="48">
        <v>107.1005</v>
      </c>
      <c r="G207" s="48">
        <v>89.838999999999999</v>
      </c>
      <c r="H207" s="48">
        <v>179.8648</v>
      </c>
      <c r="I207" s="48">
        <v>39.8537999999999</v>
      </c>
      <c r="J207" s="48">
        <v>457.03539999999998</v>
      </c>
      <c r="K207" s="48">
        <v>42.245099999999901</v>
      </c>
      <c r="L207" s="48">
        <v>89.838999999999999</v>
      </c>
      <c r="M207" s="48">
        <v>82.098899999999901</v>
      </c>
      <c r="N207" s="48">
        <v>171.93790000000001</v>
      </c>
      <c r="O207" s="56">
        <v>0.75824646399999995</v>
      </c>
      <c r="P207" s="56">
        <v>0.15925063449999999</v>
      </c>
      <c r="Q207" s="3">
        <v>0</v>
      </c>
      <c r="R207" s="48">
        <v>0</v>
      </c>
      <c r="S207" s="48">
        <v>0</v>
      </c>
      <c r="T207" s="3">
        <v>0</v>
      </c>
      <c r="U207" s="3">
        <f t="shared" si="14"/>
        <v>0</v>
      </c>
      <c r="V207" s="3">
        <v>0</v>
      </c>
      <c r="W207" s="48">
        <v>1510.04</v>
      </c>
      <c r="X207" s="48">
        <v>8.7824732070000007</v>
      </c>
      <c r="Y207" s="48">
        <v>789.00861039999995</v>
      </c>
      <c r="Z207" s="48">
        <v>721.03138960000001</v>
      </c>
      <c r="AA207" s="48">
        <v>0</v>
      </c>
      <c r="AB207" s="48">
        <v>0</v>
      </c>
      <c r="AC207" s="4" t="str">
        <f t="shared" si="12"/>
        <v>Diesel Bowser</v>
      </c>
      <c r="AD207" s="4" t="str">
        <f t="shared" si="13"/>
        <v>Operational</v>
      </c>
      <c r="AE207" s="4" t="str">
        <f t="shared" si="15"/>
        <v>Individual</v>
      </c>
    </row>
    <row r="208" spans="1:31" ht="13.5" customHeight="1" x14ac:dyDescent="0.35">
      <c r="A208" s="5">
        <v>6</v>
      </c>
      <c r="B208" s="5" t="s">
        <v>236</v>
      </c>
      <c r="C208" s="5" t="s">
        <v>242</v>
      </c>
      <c r="D208" s="53">
        <v>744.00119999999902</v>
      </c>
      <c r="E208" s="49">
        <v>376.95769999999902</v>
      </c>
      <c r="F208" s="49">
        <v>203.94009999999901</v>
      </c>
      <c r="G208" s="49">
        <v>185.45169999999999</v>
      </c>
      <c r="H208" s="49">
        <v>367.04349999999903</v>
      </c>
      <c r="I208" s="49">
        <v>13.497</v>
      </c>
      <c r="J208" s="49">
        <v>173.01759999999999</v>
      </c>
      <c r="K208" s="49">
        <v>7.0805999999999898</v>
      </c>
      <c r="L208" s="49">
        <v>185.45169999999999</v>
      </c>
      <c r="M208" s="49">
        <v>20.5776</v>
      </c>
      <c r="N208" s="49">
        <v>206.02929999999901</v>
      </c>
      <c r="O208" s="57">
        <v>0.50666275810000005</v>
      </c>
      <c r="P208" s="57">
        <v>0.4919695234</v>
      </c>
      <c r="Q208" s="5">
        <v>0</v>
      </c>
      <c r="R208" s="49">
        <v>0</v>
      </c>
      <c r="S208" s="49">
        <v>0</v>
      </c>
      <c r="T208" s="5">
        <v>0</v>
      </c>
      <c r="U208" s="5">
        <f t="shared" si="14"/>
        <v>0</v>
      </c>
      <c r="V208" s="5">
        <v>0</v>
      </c>
      <c r="W208" s="49">
        <v>1309.22</v>
      </c>
      <c r="X208" s="49">
        <v>6.3545330690000004</v>
      </c>
      <c r="Y208" s="49">
        <v>1178.45896032263</v>
      </c>
      <c r="Z208" s="49">
        <v>130.7610397</v>
      </c>
      <c r="AA208" s="49">
        <v>0</v>
      </c>
      <c r="AB208" s="49">
        <v>0</v>
      </c>
      <c r="AC208" s="4" t="str">
        <f t="shared" si="12"/>
        <v>Diesel Bowser</v>
      </c>
      <c r="AD208" s="4" t="str">
        <f t="shared" si="13"/>
        <v>Operational</v>
      </c>
      <c r="AE208" s="4" t="str">
        <f t="shared" si="15"/>
        <v>Individual</v>
      </c>
    </row>
    <row r="209" spans="1:31" ht="13.5" hidden="1" customHeight="1" x14ac:dyDescent="0.35">
      <c r="A209" s="46">
        <v>8</v>
      </c>
      <c r="B209" s="46" t="s">
        <v>236</v>
      </c>
      <c r="C209" s="46">
        <v>6</v>
      </c>
      <c r="D209" s="54">
        <v>744.00043330000005</v>
      </c>
      <c r="E209" s="50">
        <v>555.58425</v>
      </c>
      <c r="F209" s="50">
        <v>210.6806</v>
      </c>
      <c r="G209" s="50">
        <v>75.044399999999996</v>
      </c>
      <c r="H209" s="50">
        <v>188.4161833</v>
      </c>
      <c r="I209" s="50">
        <v>10.683249999999999</v>
      </c>
      <c r="J209" s="50">
        <v>344.90365000000003</v>
      </c>
      <c r="K209" s="50">
        <v>11.323866669999999</v>
      </c>
      <c r="L209" s="50">
        <v>75.044399999999996</v>
      </c>
      <c r="M209" s="50">
        <v>22.007116669999998</v>
      </c>
      <c r="N209" s="50">
        <v>97.051516669999998</v>
      </c>
      <c r="O209" s="58">
        <v>0.74675258929999999</v>
      </c>
      <c r="P209" s="58">
        <v>0.13507294349999999</v>
      </c>
      <c r="Q209" s="46">
        <v>0</v>
      </c>
      <c r="R209" s="50">
        <v>0</v>
      </c>
      <c r="S209" s="50">
        <v>0</v>
      </c>
      <c r="T209" s="46">
        <v>0</v>
      </c>
      <c r="U209" s="46">
        <f t="shared" si="14"/>
        <v>0</v>
      </c>
      <c r="V209" s="46">
        <v>0</v>
      </c>
      <c r="W209" s="50">
        <v>1125.6219999999901</v>
      </c>
      <c r="X209" s="50">
        <v>18.733136349999999</v>
      </c>
      <c r="Y209" s="50">
        <v>767.17902100000003</v>
      </c>
      <c r="Z209" s="50">
        <v>358.44297899999998</v>
      </c>
      <c r="AA209" s="50">
        <v>0</v>
      </c>
      <c r="AB209" s="50">
        <v>0</v>
      </c>
      <c r="AC209" s="47" t="str">
        <f t="shared" si="12"/>
        <v>Diesel Bowser</v>
      </c>
      <c r="AD209" s="47" t="str">
        <f t="shared" si="13"/>
        <v>Operational</v>
      </c>
      <c r="AE209" s="47" t="str">
        <f t="shared" si="15"/>
        <v>Aggregate</v>
      </c>
    </row>
  </sheetData>
  <autoFilter ref="A2:AE209" xr:uid="{00000000-0001-0000-0000-000000000000}">
    <filterColumn colId="14">
      <filters>
        <filter val="100.00%"/>
        <filter val="11.67%"/>
        <filter val="12.28%"/>
        <filter val="12.31%"/>
        <filter val="17.25%"/>
        <filter val="20.01%"/>
        <filter val="20.67%"/>
        <filter val="21.14%"/>
        <filter val="22.74%"/>
        <filter val="24.10%"/>
        <filter val="24.42%"/>
        <filter val="24.54%"/>
        <filter val="24.67%"/>
        <filter val="25.25%"/>
        <filter val="26.41%"/>
        <filter val="26.49%"/>
        <filter val="26.88%"/>
        <filter val="27.48%"/>
        <filter val="28.27%"/>
        <filter val="30.08%"/>
        <filter val="30.44%"/>
        <filter val="31.41%"/>
        <filter val="35.28%"/>
        <filter val="35.73%"/>
        <filter val="36.34%"/>
        <filter val="36.37%"/>
        <filter val="36.62%"/>
        <filter val="36.63%"/>
        <filter val="39.05%"/>
        <filter val="39.44%"/>
        <filter val="39.56%"/>
        <filter val="39.86%"/>
        <filter val="40.26%"/>
        <filter val="42.92%"/>
        <filter val="44.66%"/>
        <filter val="46.03%"/>
        <filter val="46.34%"/>
        <filter val="46.37%"/>
        <filter val="47.19%"/>
        <filter val="48.59%"/>
        <filter val="48.64%"/>
        <filter val="49.20%"/>
        <filter val="49.98%"/>
        <filter val="50.67%"/>
        <filter val="50.99%"/>
        <filter val="51.26%"/>
        <filter val="51.71%"/>
        <filter val="52.47%"/>
        <filter val="52.86%"/>
        <filter val="54.14%"/>
        <filter val="54.24%"/>
        <filter val="54.36%"/>
        <filter val="54.48%"/>
        <filter val="55.05%"/>
        <filter val="55.20%"/>
        <filter val="55.43%"/>
        <filter val="56.22%"/>
        <filter val="56.31%"/>
        <filter val="58.28%"/>
        <filter val="58.33%"/>
        <filter val="59.82%"/>
        <filter val="60.44%"/>
        <filter val="61.29%"/>
        <filter val="62.29%"/>
        <filter val="62.31%"/>
        <filter val="63.65%"/>
        <filter val="63.72%"/>
        <filter val="64.38%"/>
        <filter val="64.74%"/>
        <filter val="64.92%"/>
        <filter val="64.99%"/>
        <filter val="65.25%"/>
        <filter val="65.79%"/>
        <filter val="66.57%"/>
        <filter val="66.60%"/>
        <filter val="66.83%"/>
        <filter val="66.94%"/>
        <filter val="67.19%"/>
        <filter val="68.80%"/>
        <filter val="68.83%"/>
        <filter val="69.11%"/>
        <filter val="69.70%"/>
        <filter val="69.80%"/>
        <filter val="70.10%"/>
        <filter val="70.33%"/>
        <filter val="70.75%"/>
        <filter val="70.78%"/>
        <filter val="70.95%"/>
        <filter val="71.27%"/>
        <filter val="71.40%"/>
        <filter val="71.52%"/>
        <filter val="71.89%"/>
        <filter val="71.94%"/>
        <filter val="72.17%"/>
        <filter val="72.32%"/>
        <filter val="72.63%"/>
        <filter val="72.79%"/>
        <filter val="72.84%"/>
        <filter val="73.25%"/>
        <filter val="73.36%"/>
        <filter val="73.55%"/>
        <filter val="73.83%"/>
        <filter val="74.17%"/>
        <filter val="74.44%"/>
        <filter val="74.62%"/>
        <filter val="74.69%"/>
        <filter val="74.80%"/>
        <filter val="74.82%"/>
        <filter val="74.83%"/>
        <filter val="74.96%"/>
        <filter val="75.15%"/>
        <filter val="75.22%"/>
        <filter val="75.34%"/>
        <filter val="75.36%"/>
        <filter val="75.82%"/>
        <filter val="75.95%"/>
        <filter val="76.01%"/>
        <filter val="76.18%"/>
        <filter val="76.66%"/>
        <filter val="76.77%"/>
        <filter val="76.86%"/>
        <filter val="76.91%"/>
        <filter val="77.16%"/>
        <filter val="77.25%"/>
        <filter val="77.63%"/>
        <filter val="77.65%"/>
        <filter val="78.02%"/>
        <filter val="78.37%"/>
        <filter val="79.06%"/>
        <filter val="80.12%"/>
        <filter val="80.25%"/>
        <filter val="80.49%"/>
        <filter val="80.81%"/>
        <filter val="81.72%"/>
        <filter val="81.94%"/>
        <filter val="82.11%"/>
        <filter val="82.35%"/>
        <filter val="82.85%"/>
        <filter val="83.22%"/>
        <filter val="83.52%"/>
        <filter val="84.66%"/>
        <filter val="85.01%"/>
        <filter val="85.07%"/>
        <filter val="85.19%"/>
        <filter val="85.54%"/>
        <filter val="86.47%"/>
        <filter val="86.58%"/>
        <filter val="86.65%"/>
        <filter val="87.24%"/>
        <filter val="88.24%"/>
        <filter val="88.25%"/>
        <filter val="88.60%"/>
        <filter val="89.21%"/>
        <filter val="89.29%"/>
        <filter val="89.97%"/>
        <filter val="90.86%"/>
        <filter val="90.93%"/>
        <filter val="90.97%"/>
        <filter val="91.74%"/>
        <filter val="91.80%"/>
        <filter val="92.25%"/>
        <filter val="92.51%"/>
        <filter val="93.28%"/>
        <filter val="93.96%"/>
        <filter val="94.17%"/>
        <filter val="94.43%"/>
        <filter val="94.49%"/>
        <filter val="94.84%"/>
        <filter val="94.95%"/>
        <filter val="96.15%"/>
      </filters>
    </filterColumn>
    <filterColumn colId="15">
      <filters>
        <filter val="14.60%"/>
        <filter val="15.16%"/>
        <filter val="15.93%"/>
        <filter val="24.11%"/>
        <filter val="33.28%"/>
        <filter val="33.40%"/>
        <filter val="39.79%"/>
        <filter val="46.55%"/>
        <filter val="46.76%"/>
        <filter val="48.18%"/>
        <filter val="49.20%"/>
        <filter val="50.36%"/>
        <filter val="53.81%"/>
        <filter val="56.86%"/>
        <filter val="57.35%"/>
        <filter val="57.52%"/>
        <filter val="57.81%"/>
        <filter val="57.95%"/>
        <filter val="58.03%"/>
        <filter val="58.34%"/>
        <filter val="58.63%"/>
        <filter val="59.94%"/>
        <filter val="60.27%"/>
        <filter val="61.23%"/>
        <filter val="61.35%"/>
        <filter val="61.96%"/>
        <filter val="62.51%"/>
        <filter val="62.61%"/>
        <filter val="62.93%"/>
        <filter val="63.36%"/>
        <filter val="63.85%"/>
        <filter val="64.47%"/>
        <filter val="64.55%"/>
        <filter val="64.63%"/>
        <filter val="64.92%"/>
        <filter val="65.02%"/>
        <filter val="65.55%"/>
        <filter val="65.58%"/>
        <filter val="65.95%"/>
        <filter val="66.31%"/>
        <filter val="66.32%"/>
        <filter val="66.47%"/>
        <filter val="66.51%"/>
        <filter val="66.61%"/>
        <filter val="66.79%"/>
        <filter val="67.12%"/>
        <filter val="67.19%"/>
        <filter val="67.60%"/>
        <filter val="67.62%"/>
        <filter val="67.76%"/>
        <filter val="67.87%"/>
        <filter val="68.02%"/>
        <filter val="68.48%"/>
        <filter val="68.53%"/>
        <filter val="68.76%"/>
        <filter val="68.85%"/>
        <filter val="68.88%"/>
        <filter val="69.02%"/>
        <filter val="69.05%"/>
        <filter val="69.06%"/>
        <filter val="69.07%"/>
        <filter val="69.13%"/>
        <filter val="69.38%"/>
        <filter val="70.19%"/>
        <filter val="70.30%"/>
        <filter val="70.52%"/>
        <filter val="70.70%"/>
        <filter val="70.73%"/>
        <filter val="70.90%"/>
        <filter val="71.07%"/>
        <filter val="71.25%"/>
        <filter val="71.36%"/>
        <filter val="71.54%"/>
        <filter val="72.23%"/>
        <filter val="72.83%"/>
        <filter val="73.91%"/>
        <filter val="74.58%"/>
        <filter val="74.60%"/>
        <filter val="74.99%"/>
        <filter val="75.18%"/>
        <filter val="75.51%"/>
        <filter val="75.61%"/>
        <filter val="75.93%"/>
        <filter val="76.06%"/>
        <filter val="76.40%"/>
        <filter val="76.49%"/>
        <filter val="76.59%"/>
        <filter val="76.88%"/>
        <filter val="77.36%"/>
        <filter val="77.48%"/>
        <filter val="78.25%"/>
        <filter val="78.35%"/>
        <filter val="78.60%"/>
        <filter val="78.62%"/>
        <filter val="78.66%"/>
        <filter val="78.93%"/>
        <filter val="79.08%"/>
        <filter val="79.11%"/>
        <filter val="79.13%"/>
        <filter val="79.18%"/>
        <filter val="79.30%"/>
        <filter val="79.35%"/>
        <filter val="79.68%"/>
        <filter val="79.86%"/>
        <filter val="79.93%"/>
        <filter val="80.47%"/>
        <filter val="80.62%"/>
        <filter val="80.73%"/>
        <filter val="80.87%"/>
        <filter val="80.89%"/>
        <filter val="80.99%"/>
        <filter val="81.05%"/>
        <filter val="81.14%"/>
        <filter val="81.24%"/>
        <filter val="81.35%"/>
        <filter val="81.54%"/>
        <filter val="81.66%"/>
        <filter val="81.88%"/>
        <filter val="81.89%"/>
        <filter val="81.96%"/>
        <filter val="82.01%"/>
        <filter val="82.08%"/>
        <filter val="82.11%"/>
        <filter val="82.17%"/>
        <filter val="82.24%"/>
        <filter val="82.37%"/>
        <filter val="82.46%"/>
        <filter val="82.58%"/>
        <filter val="82.62%"/>
        <filter val="82.70%"/>
        <filter val="82.97%"/>
        <filter val="83.04%"/>
        <filter val="83.38%"/>
        <filter val="83.45%"/>
        <filter val="83.94%"/>
        <filter val="84.13%"/>
        <filter val="84.17%"/>
        <filter val="84.50%"/>
        <filter val="84.55%"/>
        <filter val="84.57%"/>
        <filter val="84.72%"/>
        <filter val="84.83%"/>
        <filter val="85.29%"/>
        <filter val="85.46%"/>
        <filter val="85.52%"/>
        <filter val="85.86%"/>
        <filter val="85.90%"/>
        <filter val="86.10%"/>
        <filter val="86.22%"/>
        <filter val="86.55%"/>
        <filter val="86.61%"/>
        <filter val="87.10%"/>
        <filter val="87.15%"/>
        <filter val="87.49%"/>
        <filter val="87.89%"/>
        <filter val="88.04%"/>
        <filter val="88.26%"/>
        <filter val="88.37%"/>
        <filter val="89.01%"/>
        <filter val="89.58%"/>
        <filter val="91.34%"/>
        <filter val="92.20%"/>
        <filter val="95.13%"/>
      </filters>
    </filterColumn>
    <filterColumn colId="29">
      <filters>
        <filter val="Operational"/>
      </filters>
    </filterColumn>
    <filterColumn colId="30">
      <filters>
        <filter val="Individual"/>
      </filters>
    </filterColumn>
  </autoFilter>
  <mergeCells count="1">
    <mergeCell ref="A1:A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zoomScaleNormal="100" workbookViewId="0">
      <pane ySplit="2" topLeftCell="A3" activePane="bottomLeft" state="frozen"/>
      <selection pane="bottomLeft" activeCell="K18" sqref="K18"/>
    </sheetView>
  </sheetViews>
  <sheetFormatPr defaultColWidth="8.6328125" defaultRowHeight="14.5" x14ac:dyDescent="0.35"/>
  <cols>
    <col min="1" max="1" width="22" customWidth="1"/>
    <col min="2" max="3" width="11" customWidth="1"/>
    <col min="4" max="4" width="9" customWidth="1"/>
    <col min="5" max="6" width="10" customWidth="1"/>
    <col min="7" max="10" width="14" customWidth="1"/>
    <col min="11" max="11" width="18" customWidth="1"/>
  </cols>
  <sheetData>
    <row r="1" spans="1:11" ht="27.75" customHeight="1" x14ac:dyDescent="0.35">
      <c r="A1" s="63" t="s">
        <v>243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7.75" customHeight="1" x14ac:dyDescent="0.35">
      <c r="A2" s="70" t="s">
        <v>244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4" spans="1:11" ht="18" customHeight="1" x14ac:dyDescent="0.35">
      <c r="A4" s="71" t="s">
        <v>245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25.5" customHeight="1" x14ac:dyDescent="0.35">
      <c r="A5" s="6" t="s">
        <v>246</v>
      </c>
      <c r="B5" s="6" t="s">
        <v>247</v>
      </c>
      <c r="C5" s="6" t="s">
        <v>248</v>
      </c>
      <c r="D5" s="6" t="s">
        <v>249</v>
      </c>
      <c r="E5" s="6" t="s">
        <v>250</v>
      </c>
      <c r="F5" s="6" t="s">
        <v>251</v>
      </c>
      <c r="G5" s="6" t="s">
        <v>252</v>
      </c>
      <c r="H5" s="6" t="s">
        <v>253</v>
      </c>
      <c r="I5" s="6" t="s">
        <v>254</v>
      </c>
      <c r="J5" s="6" t="s">
        <v>255</v>
      </c>
      <c r="K5" s="6" t="s">
        <v>256</v>
      </c>
    </row>
    <row r="6" spans="1:11" ht="15.75" customHeight="1" x14ac:dyDescent="0.35">
      <c r="A6" s="7" t="s">
        <v>32</v>
      </c>
      <c r="B6" s="8">
        <f>COUNTIFS('Raw Data'!AC:AC,$A6,'Raw Data'!AE:AE,"Individual")</f>
        <v>66</v>
      </c>
      <c r="C6" s="8">
        <f>COUNTIFS('Raw Data'!AC:AC,$A6,'Raw Data'!AD:AD,"Operational",'Raw Data'!AE:AE,"Individual")</f>
        <v>58</v>
      </c>
      <c r="D6" s="8">
        <f t="shared" ref="D6:D11" si="0">B6-C6</f>
        <v>8</v>
      </c>
      <c r="E6" s="9">
        <f>IFERROR(AVERAGEIFS('Raw Data'!O:O,'Raw Data'!AC:AC,$A6,'Raw Data'!AD:AD,"Operational",'Raw Data'!AE:AE,"Individual"),0)</f>
        <v>0.62944445363965518</v>
      </c>
      <c r="F6" s="9">
        <f>IFERROR(AVERAGEIFS('Raw Data'!P:P,'Raw Data'!AC:AC,$A6,'Raw Data'!AD:AD,"Operational",'Raw Data'!AE:AE,"Individual"),0)</f>
        <v>0.54856102918275851</v>
      </c>
      <c r="G6" s="8">
        <f>SUMIFS('Raw Data'!W:W,'Raw Data'!AC:AC,$A6,'Raw Data'!AE:AE,"Individual")</f>
        <v>215728.67999999982</v>
      </c>
      <c r="H6" s="8">
        <f>SUMIFS('Raw Data'!U:U,'Raw Data'!AC:AC,$A6,'Raw Data'!AE:AE,"Individual")</f>
        <v>15951</v>
      </c>
      <c r="I6" s="8">
        <f>SUMIFS('Raw Data'!R:R,'Raw Data'!AC:AC,$A6,'Raw Data'!AE:AE,"Individual")</f>
        <v>1196396.9100000001</v>
      </c>
      <c r="J6" s="10">
        <f>IFERROR(AVERAGEIFS('Raw Data'!J:J,'Raw Data'!AC:AC,$A6,'Raw Data'!AE:AE,"Individual"),0)</f>
        <v>144.78714242424169</v>
      </c>
      <c r="K6" s="10">
        <f>IFERROR(AVERAGEIFS('Raw Data'!H:H,'Raw Data'!AC:AC,$A6,'Raw Data'!AE:AE,"Individual"),0)</f>
        <v>332.33364696969687</v>
      </c>
    </row>
    <row r="7" spans="1:11" ht="15.75" customHeight="1" x14ac:dyDescent="0.35">
      <c r="A7" s="11" t="s">
        <v>101</v>
      </c>
      <c r="B7" s="12">
        <f>COUNTIFS('Raw Data'!AC:AC,$A7,'Raw Data'!AE:AE,"Individual")</f>
        <v>77</v>
      </c>
      <c r="C7" s="12">
        <f>COUNTIFS('Raw Data'!AC:AC,$A7,'Raw Data'!AD:AD,"Operational",'Raw Data'!AE:AE,"Individual")</f>
        <v>74</v>
      </c>
      <c r="D7" s="12">
        <f t="shared" si="0"/>
        <v>3</v>
      </c>
      <c r="E7" s="13">
        <f>IFERROR(AVERAGEIFS('Raw Data'!O:O,'Raw Data'!AC:AC,$A7,'Raw Data'!AD:AD,"Operational",'Raw Data'!AE:AE,"Individual"),0)</f>
        <v>0.56224383144054046</v>
      </c>
      <c r="F7" s="13">
        <f>IFERROR(AVERAGEIFS('Raw Data'!P:P,'Raw Data'!AC:AC,$A7,'Raw Data'!AD:AD,"Operational",'Raw Data'!AE:AE,"Individual"),0)</f>
        <v>0.78866859947297308</v>
      </c>
      <c r="G7" s="12">
        <f>SUMIFS('Raw Data'!W:W,'Raw Data'!AC:AC,$A7,'Raw Data'!AE:AE,"Individual")</f>
        <v>495317.67999999964</v>
      </c>
      <c r="H7" s="12">
        <f>SUMIFS('Raw Data'!U:U,'Raw Data'!AC:AC,$A7,'Raw Data'!AE:AE,"Individual")</f>
        <v>1492711</v>
      </c>
      <c r="I7" s="12">
        <f>SUMIFS('Raw Data'!R:R,'Raw Data'!AC:AC,$A7,'Raw Data'!AE:AE,"Individual")</f>
        <v>207188.26</v>
      </c>
      <c r="J7" s="14">
        <f>IFERROR(AVERAGEIFS('Raw Data'!J:J,'Raw Data'!AC:AC,$A7,'Raw Data'!AE:AE,"Individual"),0)</f>
        <v>71.165429870129756</v>
      </c>
      <c r="K7" s="14">
        <f>IFERROR(AVERAGEIFS('Raw Data'!H:H,'Raw Data'!AC:AC,$A7,'Raw Data'!AE:AE,"Individual"),0)</f>
        <v>341.93003896103852</v>
      </c>
    </row>
    <row r="8" spans="1:11" ht="15.75" customHeight="1" x14ac:dyDescent="0.35">
      <c r="A8" s="7" t="s">
        <v>199</v>
      </c>
      <c r="B8" s="8">
        <f>COUNTIFS('Raw Data'!AC:AC,$A8,'Raw Data'!AE:AE,"Individual")</f>
        <v>28</v>
      </c>
      <c r="C8" s="8">
        <f>COUNTIFS('Raw Data'!AC:AC,$A8,'Raw Data'!AD:AD,"Operational",'Raw Data'!AE:AE,"Individual")</f>
        <v>26</v>
      </c>
      <c r="D8" s="8">
        <f t="shared" si="0"/>
        <v>2</v>
      </c>
      <c r="E8" s="9">
        <f>IFERROR(AVERAGEIFS('Raw Data'!O:O,'Raw Data'!AC:AC,$A8,'Raw Data'!AD:AD,"Operational",'Raw Data'!AE:AE,"Individual"),0)</f>
        <v>0.6063979870807692</v>
      </c>
      <c r="F8" s="9">
        <f>IFERROR(AVERAGEIFS('Raw Data'!P:P,'Raw Data'!AC:AC,$A8,'Raw Data'!AD:AD,"Operational",'Raw Data'!AE:AE,"Individual"),0)</f>
        <v>0.84900152744230772</v>
      </c>
      <c r="G8" s="8">
        <f>SUMIFS('Raw Data'!W:W,'Raw Data'!AC:AC,$A8,'Raw Data'!AE:AE,"Individual")</f>
        <v>512369.07999999903</v>
      </c>
      <c r="H8" s="8">
        <f>SUMIFS('Raw Data'!U:U,'Raw Data'!AC:AC,$A8,'Raw Data'!AE:AE,"Individual")</f>
        <v>0</v>
      </c>
      <c r="I8" s="8">
        <f>SUMIFS('Raw Data'!R:R,'Raw Data'!AC:AC,$A8,'Raw Data'!AE:AE,"Individual")</f>
        <v>0</v>
      </c>
      <c r="J8" s="10">
        <f>IFERROR(AVERAGEIFS('Raw Data'!J:J,'Raw Data'!AC:AC,$A8,'Raw Data'!AE:AE,"Individual"),0)</f>
        <v>43.147110714285681</v>
      </c>
      <c r="K8" s="10">
        <f>IFERROR(AVERAGEIFS('Raw Data'!H:H,'Raw Data'!AC:AC,$A8,'Raw Data'!AE:AE,"Individual"),0)</f>
        <v>325.00151785714257</v>
      </c>
    </row>
    <row r="9" spans="1:11" ht="15.75" customHeight="1" x14ac:dyDescent="0.35">
      <c r="A9" s="11" t="s">
        <v>181</v>
      </c>
      <c r="B9" s="12">
        <f>COUNTIFS('Raw Data'!AC:AC,$A9,'Raw Data'!AE:AE,"Individual")</f>
        <v>16</v>
      </c>
      <c r="C9" s="12">
        <f>COUNTIFS('Raw Data'!AC:AC,$A9,'Raw Data'!AD:AD,"Operational",'Raw Data'!AE:AE,"Individual")</f>
        <v>15</v>
      </c>
      <c r="D9" s="12">
        <f t="shared" si="0"/>
        <v>1</v>
      </c>
      <c r="E9" s="13">
        <f>IFERROR(AVERAGEIFS('Raw Data'!O:O,'Raw Data'!AC:AC,$A9,'Raw Data'!AD:AD,"Operational",'Raw Data'!AE:AE,"Individual"),0)</f>
        <v>0.81999916304666676</v>
      </c>
      <c r="F9" s="13">
        <f>IFERROR(AVERAGEIFS('Raw Data'!P:P,'Raw Data'!AC:AC,$A9,'Raw Data'!AD:AD,"Operational",'Raw Data'!AE:AE,"Individual"),0)</f>
        <v>0.56784343389333336</v>
      </c>
      <c r="G9" s="12">
        <f>SUMIFS('Raw Data'!W:W,'Raw Data'!AC:AC,$A9,'Raw Data'!AE:AE,"Individual")</f>
        <v>117566.02999999968</v>
      </c>
      <c r="H9" s="12">
        <f>SUMIFS('Raw Data'!U:U,'Raw Data'!AC:AC,$A9,'Raw Data'!AE:AE,"Individual")</f>
        <v>0</v>
      </c>
      <c r="I9" s="12">
        <f>SUMIFS('Raw Data'!R:R,'Raw Data'!AC:AC,$A9,'Raw Data'!AE:AE,"Individual")</f>
        <v>0</v>
      </c>
      <c r="J9" s="14">
        <f>IFERROR(AVERAGEIFS('Raw Data'!J:J,'Raw Data'!AC:AC,$A9,'Raw Data'!AE:AE,"Individual"),0)</f>
        <v>250.55834999999993</v>
      </c>
      <c r="K9" s="14">
        <f>IFERROR(AVERAGEIFS('Raw Data'!H:H,'Raw Data'!AC:AC,$A9,'Raw Data'!AE:AE,"Individual"),0)</f>
        <v>171.78038124999975</v>
      </c>
    </row>
    <row r="10" spans="1:11" ht="15.75" customHeight="1" x14ac:dyDescent="0.35">
      <c r="A10" s="7" t="s">
        <v>228</v>
      </c>
      <c r="B10" s="8">
        <f>COUNTIFS('Raw Data'!AC:AC,$A10,'Raw Data'!AE:AE,"Individual")</f>
        <v>6</v>
      </c>
      <c r="C10" s="8">
        <f>COUNTIFS('Raw Data'!AC:AC,$A10,'Raw Data'!AD:AD,"Operational",'Raw Data'!AE:AE,"Individual")</f>
        <v>6</v>
      </c>
      <c r="D10" s="8">
        <f t="shared" si="0"/>
        <v>0</v>
      </c>
      <c r="E10" s="9">
        <f>IFERROR(AVERAGEIFS('Raw Data'!O:O,'Raw Data'!AC:AC,$A10,'Raw Data'!AD:AD,"Operational",'Raw Data'!AE:AE,"Individual"),0)</f>
        <v>0.56992594373333327</v>
      </c>
      <c r="F10" s="9">
        <f>IFERROR(AVERAGEIFS('Raw Data'!P:P,'Raw Data'!AC:AC,$A10,'Raw Data'!AD:AD,"Operational",'Raw Data'!AE:AE,"Individual"),0)</f>
        <v>0.81959614858333329</v>
      </c>
      <c r="G10" s="8">
        <f>SUMIFS('Raw Data'!W:W,'Raw Data'!AC:AC,$A10,'Raw Data'!AE:AE,"Individual")</f>
        <v>179123.35999999978</v>
      </c>
      <c r="H10" s="8">
        <f>SUMIFS('Raw Data'!U:U,'Raw Data'!AC:AC,$A10,'Raw Data'!AE:AE,"Individual")</f>
        <v>0</v>
      </c>
      <c r="I10" s="8">
        <f>SUMIFS('Raw Data'!R:R,'Raw Data'!AC:AC,$A10,'Raw Data'!AE:AE,"Individual")</f>
        <v>0</v>
      </c>
      <c r="J10" s="10">
        <f>IFERROR(AVERAGEIFS('Raw Data'!J:J,'Raw Data'!AC:AC,$A10,'Raw Data'!AE:AE,"Individual"),0)</f>
        <v>48.20346666666665</v>
      </c>
      <c r="K10" s="10">
        <f>IFERROR(AVERAGEIFS('Raw Data'!H:H,'Raw Data'!AC:AC,$A10,'Raw Data'!AE:AE,"Individual"),0)</f>
        <v>318.79049999999967</v>
      </c>
    </row>
    <row r="11" spans="1:11" ht="15.75" customHeight="1" x14ac:dyDescent="0.35">
      <c r="A11" s="11" t="s">
        <v>236</v>
      </c>
      <c r="B11" s="12">
        <f>COUNTIFS('Raw Data'!AC:AC,$A11,'Raw Data'!AE:AE,"Individual")</f>
        <v>6</v>
      </c>
      <c r="C11" s="12">
        <f>COUNTIFS('Raw Data'!AC:AC,$A11,'Raw Data'!AD:AD,"Operational",'Raw Data'!AE:AE,"Individual")</f>
        <v>6</v>
      </c>
      <c r="D11" s="12">
        <f t="shared" si="0"/>
        <v>0</v>
      </c>
      <c r="E11" s="13">
        <f>IFERROR(AVERAGEIFS('Raw Data'!O:O,'Raw Data'!AC:AC,$A11,'Raw Data'!AD:AD,"Operational",'Raw Data'!AE:AE,"Individual"),0)</f>
        <v>0.74675260083333328</v>
      </c>
      <c r="F11" s="13">
        <f>IFERROR(AVERAGEIFS('Raw Data'!P:P,'Raw Data'!AC:AC,$A11,'Raw Data'!AD:AD,"Operational",'Raw Data'!AE:AE,"Individual"),0)</f>
        <v>0.15828318528333332</v>
      </c>
      <c r="G11" s="12">
        <f>SUMIFS('Raw Data'!W:W,'Raw Data'!AC:AC,$A11,'Raw Data'!AE:AE,"Individual")</f>
        <v>5628.11</v>
      </c>
      <c r="H11" s="12">
        <f>SUMIFS('Raw Data'!U:U,'Raw Data'!AC:AC,$A11,'Raw Data'!AE:AE,"Individual")</f>
        <v>0</v>
      </c>
      <c r="I11" s="12">
        <f>SUMIFS('Raw Data'!R:R,'Raw Data'!AC:AC,$A11,'Raw Data'!AE:AE,"Individual")</f>
        <v>0</v>
      </c>
      <c r="J11" s="14">
        <f>IFERROR(AVERAGEIFS('Raw Data'!J:J,'Raw Data'!AC:AC,$A11,'Raw Data'!AE:AE,"Individual"),0)</f>
        <v>344.9036499999998</v>
      </c>
      <c r="K11" s="14">
        <f>IFERROR(AVERAGEIFS('Raw Data'!H:H,'Raw Data'!AC:AC,$A11,'Raw Data'!AE:AE,"Individual"),0)</f>
        <v>188.41618333333304</v>
      </c>
    </row>
    <row r="13" spans="1:11" ht="18" customHeight="1" x14ac:dyDescent="0.35">
      <c r="A13" s="71" t="s">
        <v>257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</row>
    <row r="14" spans="1:11" ht="13.5" customHeight="1" x14ac:dyDescent="0.35">
      <c r="A14" s="67" t="s">
        <v>258</v>
      </c>
      <c r="B14" s="67"/>
      <c r="C14" s="67" t="s">
        <v>248</v>
      </c>
      <c r="D14" s="67"/>
      <c r="E14" s="67" t="s">
        <v>259</v>
      </c>
      <c r="F14" s="67"/>
      <c r="G14" s="67" t="s">
        <v>260</v>
      </c>
      <c r="H14" s="67"/>
      <c r="I14" s="67" t="s">
        <v>252</v>
      </c>
      <c r="J14" s="67"/>
    </row>
    <row r="15" spans="1:11" ht="25.5" customHeight="1" x14ac:dyDescent="0.35">
      <c r="A15" s="65">
        <f>COUNTIFS('Raw Data'!AE:AE,"Individual")</f>
        <v>199</v>
      </c>
      <c r="B15" s="65"/>
      <c r="C15" s="68">
        <f>COUNTIFS('Raw Data'!AD:AD,"Operational",'Raw Data'!AE:AE,"Individual")</f>
        <v>185</v>
      </c>
      <c r="D15" s="68"/>
      <c r="E15" s="69">
        <f>IFERROR(AVERAGEIFS('Raw Data'!O:O,'Raw Data'!AD:AD,"Operational",'Raw Data'!AE:AE,"Individual"),0)</f>
        <v>0.61664988224270312</v>
      </c>
      <c r="F15" s="69"/>
      <c r="G15" s="69">
        <f>IFERROR(AVERAGEIFS('Raw Data'!P:P,'Raw Data'!AD:AD,"Operational",'Raw Data'!AE:AE,"Individual"),0)</f>
        <v>0.68452423393891904</v>
      </c>
      <c r="H15" s="69"/>
      <c r="I15" s="66">
        <f>SUMIFS('Raw Data'!W:W,'Raw Data'!AE:AE,"Individual")</f>
        <v>1525732.9399999981</v>
      </c>
      <c r="J15" s="66"/>
    </row>
    <row r="17" spans="1:11" ht="13.5" customHeight="1" x14ac:dyDescent="0.35">
      <c r="A17" s="67" t="s">
        <v>261</v>
      </c>
      <c r="B17" s="67"/>
      <c r="C17" s="67" t="s">
        <v>262</v>
      </c>
      <c r="D17" s="67"/>
      <c r="E17" s="67" t="s">
        <v>263</v>
      </c>
      <c r="F17" s="67"/>
      <c r="G17" s="67" t="s">
        <v>264</v>
      </c>
      <c r="H17" s="67"/>
      <c r="I17" s="67" t="s">
        <v>265</v>
      </c>
      <c r="J17" s="67"/>
    </row>
    <row r="18" spans="1:11" ht="25.5" customHeight="1" x14ac:dyDescent="0.35">
      <c r="A18" s="65">
        <f>SUMIFS('Raw Data'!U:U,'Raw Data'!AE:AE,"Individual")</f>
        <v>1508662</v>
      </c>
      <c r="B18" s="65"/>
      <c r="C18" s="65">
        <f>SUMIFS('Raw Data'!R:R,'Raw Data'!AE:AE,"Individual")</f>
        <v>1403585.1700000002</v>
      </c>
      <c r="D18" s="65"/>
      <c r="E18" s="66">
        <f>SUMIFS('Raw Data'!J:J,'Raw Data'!AE:AE,"Individual")</f>
        <v>22611.384899999946</v>
      </c>
      <c r="F18" s="66"/>
      <c r="G18" s="66">
        <f>COUNTIFS('Raw Data'!AD:AD,"Non-Operational",'Raw Data'!AE:AE,"Individual")</f>
        <v>14</v>
      </c>
      <c r="H18" s="66"/>
      <c r="I18" s="66">
        <f>SUMIFS('Raw Data'!H:H,'Raw Data'!AE:AE,"Individual")</f>
        <v>63154.402399999897</v>
      </c>
      <c r="J18" s="66"/>
    </row>
    <row r="23" spans="1:11" ht="18" customHeight="1" x14ac:dyDescent="0.35">
      <c r="A23" s="60" t="s">
        <v>266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</row>
    <row r="24" spans="1:11" ht="15.75" customHeight="1" x14ac:dyDescent="0.35">
      <c r="A24" s="64" t="s">
        <v>267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.75" customHeight="1" x14ac:dyDescent="0.35">
      <c r="A25" s="64" t="s">
        <v>268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.75" customHeight="1" x14ac:dyDescent="0.35">
      <c r="A26" s="64" t="s">
        <v>269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</row>
  </sheetData>
  <mergeCells count="28">
    <mergeCell ref="A1:K1"/>
    <mergeCell ref="A2:K2"/>
    <mergeCell ref="A4:K4"/>
    <mergeCell ref="A13:K13"/>
    <mergeCell ref="A14:B14"/>
    <mergeCell ref="C14:D14"/>
    <mergeCell ref="E14:F14"/>
    <mergeCell ref="G14:H14"/>
    <mergeCell ref="I14:J14"/>
    <mergeCell ref="A15:B15"/>
    <mergeCell ref="C15:D15"/>
    <mergeCell ref="E15:F15"/>
    <mergeCell ref="G15:H15"/>
    <mergeCell ref="I15:J15"/>
    <mergeCell ref="A17:B17"/>
    <mergeCell ref="C17:D17"/>
    <mergeCell ref="E17:F17"/>
    <mergeCell ref="G17:H17"/>
    <mergeCell ref="I17:J17"/>
    <mergeCell ref="A23:K23"/>
    <mergeCell ref="A24:K24"/>
    <mergeCell ref="A25:K25"/>
    <mergeCell ref="A26:K26"/>
    <mergeCell ref="A18:B18"/>
    <mergeCell ref="C18:D18"/>
    <mergeCell ref="E18:F18"/>
    <mergeCell ref="G18:H18"/>
    <mergeCell ref="I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"/>
  <sheetViews>
    <sheetView showGridLines="0" zoomScaleNormal="100" workbookViewId="0">
      <pane ySplit="2" topLeftCell="A188" activePane="bottomLeft" state="frozen"/>
      <selection pane="bottomLeft" activeCell="A191" sqref="A191:XFD191"/>
    </sheetView>
  </sheetViews>
  <sheetFormatPr defaultColWidth="8.6328125" defaultRowHeight="14.5" x14ac:dyDescent="0.35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12" customWidth="1"/>
    <col min="7" max="8" width="14" customWidth="1"/>
    <col min="9" max="9" width="18" customWidth="1"/>
  </cols>
  <sheetData>
    <row r="1" spans="1:9" ht="27.75" customHeight="1" x14ac:dyDescent="0.35">
      <c r="A1" s="63" t="s">
        <v>270</v>
      </c>
      <c r="B1" s="63"/>
      <c r="C1" s="63"/>
      <c r="D1" s="63"/>
      <c r="E1" s="63"/>
      <c r="F1" s="63"/>
      <c r="G1" s="63"/>
      <c r="H1" s="63"/>
      <c r="I1" s="63"/>
    </row>
    <row r="3" spans="1:9" ht="18" customHeight="1" x14ac:dyDescent="0.35">
      <c r="A3" s="71" t="s">
        <v>271</v>
      </c>
      <c r="B3" s="71"/>
      <c r="C3" s="71"/>
      <c r="D3" s="71"/>
      <c r="E3" s="71"/>
      <c r="F3" s="71"/>
      <c r="G3" s="71"/>
      <c r="H3" s="71"/>
      <c r="I3" s="71"/>
    </row>
    <row r="4" spans="1:9" ht="25.5" customHeight="1" x14ac:dyDescent="0.35">
      <c r="A4" s="6" t="s">
        <v>29</v>
      </c>
      <c r="B4" s="6" t="s">
        <v>3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16</v>
      </c>
      <c r="I4" s="6" t="s">
        <v>30</v>
      </c>
    </row>
    <row r="5" spans="1:9" ht="18" customHeight="1" x14ac:dyDescent="0.35">
      <c r="A5" s="72" t="s">
        <v>277</v>
      </c>
      <c r="B5" s="72"/>
      <c r="C5" s="72"/>
      <c r="D5" s="72"/>
      <c r="E5" s="72"/>
      <c r="F5" s="72"/>
      <c r="G5" s="72"/>
      <c r="H5" s="72"/>
      <c r="I5" s="72"/>
    </row>
    <row r="6" spans="1:9" ht="15" customHeight="1" x14ac:dyDescent="0.35">
      <c r="A6" s="15" t="str">
        <f>IFERROR(INDEX('Raw Data'!AC:AC,MATCH($B6,'Raw Data'!$C:$C,0)),"")</f>
        <v>Dumper</v>
      </c>
      <c r="B6" s="7" t="s">
        <v>168</v>
      </c>
      <c r="C6" s="10">
        <f>IFERROR(INDEX('Raw Data'!D:D,MATCH($B6,'Raw Data'!$C:$C,0)),"-")</f>
        <v>744.00039999999899</v>
      </c>
      <c r="D6" s="10">
        <f>IFERROR(INDEX('Raw Data'!E:E,MATCH($B6,'Raw Data'!$C:$C,0)),"-")</f>
        <v>676.83669999999995</v>
      </c>
      <c r="E6" s="10">
        <f>IFERROR(INDEX('Raw Data'!H:H,MATCH($B6,'Raw Data'!$C:$C,0)),"-")</f>
        <v>67.163699999999906</v>
      </c>
      <c r="F6" s="10">
        <f>IFERROR(INDEX('Raw Data'!J:J,MATCH($B6,'Raw Data'!$C:$C,0)),"-")</f>
        <v>208.12219999999999</v>
      </c>
      <c r="G6" s="9">
        <f>IFERROR(INDEX('Raw Data'!O:O,MATCH($B6,'Raw Data'!$C:$C,0)),"-")</f>
        <v>0.90972625819999997</v>
      </c>
      <c r="H6" s="9">
        <f>IFERROR(INDEX('Raw Data'!P:P,MATCH($B6,'Raw Data'!$C:$C,0)),"-")</f>
        <v>0.68849842210000001</v>
      </c>
      <c r="I6" s="15" t="str">
        <f>IFERROR(INDEX('Raw Data'!AD:AD,MATCH($B6,'Raw Data'!$C:$C,0)),"-")</f>
        <v>Operational</v>
      </c>
    </row>
    <row r="7" spans="1:9" ht="15" customHeight="1" x14ac:dyDescent="0.35">
      <c r="A7" s="16" t="str">
        <f>IFERROR(INDEX('Raw Data'!AC:AC,MATCH($B7,'Raw Data'!$C:$C,0)),"")</f>
        <v>Dumper</v>
      </c>
      <c r="B7" s="11" t="s">
        <v>150</v>
      </c>
      <c r="C7" s="14">
        <f>IFERROR(INDEX('Raw Data'!D:D,MATCH($B7,'Raw Data'!$C:$C,0)),"-")</f>
        <v>744</v>
      </c>
      <c r="D7" s="14">
        <f>IFERROR(INDEX('Raw Data'!E:E,MATCH($B7,'Raw Data'!$C:$C,0)),"-")</f>
        <v>633.79</v>
      </c>
      <c r="E7" s="14">
        <f>IFERROR(INDEX('Raw Data'!H:H,MATCH($B7,'Raw Data'!$C:$C,0)),"-")</f>
        <v>110.21</v>
      </c>
      <c r="F7" s="14">
        <f>IFERROR(INDEX('Raw Data'!J:J,MATCH($B7,'Raw Data'!$C:$C,0)),"-")</f>
        <v>142.2895</v>
      </c>
      <c r="G7" s="13">
        <f>IFERROR(INDEX('Raw Data'!O:O,MATCH($B7,'Raw Data'!$C:$C,0)),"-")</f>
        <v>0.8518682796</v>
      </c>
      <c r="H7" s="13">
        <f>IFERROR(INDEX('Raw Data'!P:P,MATCH($B7,'Raw Data'!$C:$C,0)),"-")</f>
        <v>0.76488205870000003</v>
      </c>
      <c r="I7" s="16" t="str">
        <f>IFERROR(INDEX('Raw Data'!AD:AD,MATCH($B7,'Raw Data'!$C:$C,0)),"-")</f>
        <v>Operational</v>
      </c>
    </row>
    <row r="8" spans="1:9" ht="15" customHeight="1" x14ac:dyDescent="0.35">
      <c r="A8" s="15" t="str">
        <f>IFERROR(INDEX('Raw Data'!AC:AC,MATCH($B8,'Raw Data'!$C:$C,0)),"")</f>
        <v>Dumper</v>
      </c>
      <c r="B8" s="7" t="s">
        <v>167</v>
      </c>
      <c r="C8" s="10">
        <f>IFERROR(INDEX('Raw Data'!D:D,MATCH($B8,'Raw Data'!$C:$C,0)),"-")</f>
        <v>744.000799999999</v>
      </c>
      <c r="D8" s="10">
        <f>IFERROR(INDEX('Raw Data'!E:E,MATCH($B8,'Raw Data'!$C:$C,0)),"-")</f>
        <v>580.45259999999905</v>
      </c>
      <c r="E8" s="10">
        <f>IFERROR(INDEX('Raw Data'!H:H,MATCH($B8,'Raw Data'!$C:$C,0)),"-")</f>
        <v>163.54820000000001</v>
      </c>
      <c r="F8" s="10">
        <f>IFERROR(INDEX('Raw Data'!J:J,MATCH($B8,'Raw Data'!$C:$C,0)),"-")</f>
        <v>92.707899999999995</v>
      </c>
      <c r="G8" s="9">
        <f>IFERROR(INDEX('Raw Data'!O:O,MATCH($B8,'Raw Data'!$C:$C,0)),"-")</f>
        <v>0.78017738690000005</v>
      </c>
      <c r="H8" s="9">
        <f>IFERROR(INDEX('Raw Data'!P:P,MATCH($B8,'Raw Data'!$C:$C,0)),"-")</f>
        <v>0.82113026970000003</v>
      </c>
      <c r="I8" s="15" t="str">
        <f>IFERROR(INDEX('Raw Data'!AD:AD,MATCH($B8,'Raw Data'!$C:$C,0)),"-")</f>
        <v>Operational</v>
      </c>
    </row>
    <row r="9" spans="1:9" ht="15" customHeight="1" x14ac:dyDescent="0.35">
      <c r="A9" s="16" t="str">
        <f>IFERROR(INDEX('Raw Data'!AC:AC,MATCH($B9,'Raw Data'!$C:$C,0)),"")</f>
        <v>Dumper</v>
      </c>
      <c r="B9" s="11" t="s">
        <v>107</v>
      </c>
      <c r="C9" s="14">
        <f>IFERROR(INDEX('Raw Data'!D:D,MATCH($B9,'Raw Data'!$C:$C,0)),"-")</f>
        <v>744.00099999999998</v>
      </c>
      <c r="D9" s="14">
        <f>IFERROR(INDEX('Raw Data'!E:E,MATCH($B9,'Raw Data'!$C:$C,0)),"-")</f>
        <v>577.68799999999999</v>
      </c>
      <c r="E9" s="14">
        <f>IFERROR(INDEX('Raw Data'!H:H,MATCH($B9,'Raw Data'!$C:$C,0)),"-")</f>
        <v>166.31299999999999</v>
      </c>
      <c r="F9" s="14">
        <f>IFERROR(INDEX('Raw Data'!J:J,MATCH($B9,'Raw Data'!$C:$C,0)),"-")</f>
        <v>154.875699999999</v>
      </c>
      <c r="G9" s="13">
        <f>IFERROR(INDEX('Raw Data'!O:O,MATCH($B9,'Raw Data'!$C:$C,0)),"-")</f>
        <v>0.77646132199999995</v>
      </c>
      <c r="H9" s="13">
        <f>IFERROR(INDEX('Raw Data'!P:P,MATCH($B9,'Raw Data'!$C:$C,0)),"-")</f>
        <v>0.68483783629999995</v>
      </c>
      <c r="I9" s="16" t="str">
        <f>IFERROR(INDEX('Raw Data'!AD:AD,MATCH($B9,'Raw Data'!$C:$C,0)),"-")</f>
        <v>Operational</v>
      </c>
    </row>
    <row r="10" spans="1:9" ht="15" customHeight="1" x14ac:dyDescent="0.35">
      <c r="A10" s="15" t="str">
        <f>IFERROR(INDEX('Raw Data'!AC:AC,MATCH($B10,'Raw Data'!$C:$C,0)),"")</f>
        <v>Dumper</v>
      </c>
      <c r="B10" s="7" t="s">
        <v>158</v>
      </c>
      <c r="C10" s="10">
        <f>IFERROR(INDEX('Raw Data'!D:D,MATCH($B10,'Raw Data'!$C:$C,0)),"-")</f>
        <v>744.00059999999996</v>
      </c>
      <c r="D10" s="10">
        <f>IFERROR(INDEX('Raw Data'!E:E,MATCH($B10,'Raw Data'!$C:$C,0)),"-")</f>
        <v>574.09960000000001</v>
      </c>
      <c r="E10" s="10">
        <f>IFERROR(INDEX('Raw Data'!H:H,MATCH($B10,'Raw Data'!$C:$C,0)),"-")</f>
        <v>169.90099999999899</v>
      </c>
      <c r="F10" s="10">
        <f>IFERROR(INDEX('Raw Data'!J:J,MATCH($B10,'Raw Data'!$C:$C,0)),"-")</f>
        <v>68.377299999999906</v>
      </c>
      <c r="G10" s="9">
        <f>IFERROR(INDEX('Raw Data'!O:O,MATCH($B10,'Raw Data'!$C:$C,0)),"-")</f>
        <v>0.77163862500000002</v>
      </c>
      <c r="H10" s="9">
        <f>IFERROR(INDEX('Raw Data'!P:P,MATCH($B10,'Raw Data'!$C:$C,0)),"-")</f>
        <v>0.83936776820000003</v>
      </c>
      <c r="I10" s="15" t="str">
        <f>IFERROR(INDEX('Raw Data'!AD:AD,MATCH($B10,'Raw Data'!$C:$C,0)),"-")</f>
        <v>Operational</v>
      </c>
    </row>
    <row r="11" spans="1:9" ht="15" customHeight="1" x14ac:dyDescent="0.35">
      <c r="A11" s="16" t="str">
        <f>IFERROR(INDEX('Raw Data'!AC:AC,MATCH($B11,'Raw Data'!$C:$C,0)),"")</f>
        <v>Dumper</v>
      </c>
      <c r="B11" s="11" t="s">
        <v>164</v>
      </c>
      <c r="C11" s="14">
        <f>IFERROR(INDEX('Raw Data'!D:D,MATCH($B11,'Raw Data'!$C:$C,0)),"-")</f>
        <v>744.00130000000001</v>
      </c>
      <c r="D11" s="14">
        <f>IFERROR(INDEX('Raw Data'!E:E,MATCH($B11,'Raw Data'!$C:$C,0)),"-")</f>
        <v>571.85329999999999</v>
      </c>
      <c r="E11" s="14">
        <f>IFERROR(INDEX('Raw Data'!H:H,MATCH($B11,'Raw Data'!$C:$C,0)),"-")</f>
        <v>172.148</v>
      </c>
      <c r="F11" s="14">
        <f>IFERROR(INDEX('Raw Data'!J:J,MATCH($B11,'Raw Data'!$C:$C,0)),"-")</f>
        <v>74.040299999999903</v>
      </c>
      <c r="G11" s="13">
        <f>IFERROR(INDEX('Raw Data'!O:O,MATCH($B11,'Raw Data'!$C:$C,0)),"-")</f>
        <v>0.76861868389999999</v>
      </c>
      <c r="H11" s="13">
        <f>IFERROR(INDEX('Raw Data'!P:P,MATCH($B11,'Raw Data'!$C:$C,0)),"-")</f>
        <v>0.82966313209999998</v>
      </c>
      <c r="I11" s="16" t="str">
        <f>IFERROR(INDEX('Raw Data'!AD:AD,MATCH($B11,'Raw Data'!$C:$C,0)),"-")</f>
        <v>Operational</v>
      </c>
    </row>
    <row r="12" spans="1:9" ht="15" customHeight="1" x14ac:dyDescent="0.35">
      <c r="A12" s="15" t="str">
        <f>IFERROR(INDEX('Raw Data'!AC:AC,MATCH($B12,'Raw Data'!$C:$C,0)),"")</f>
        <v>Dumper</v>
      </c>
      <c r="B12" s="7" t="s">
        <v>148</v>
      </c>
      <c r="C12" s="10">
        <f>IFERROR(INDEX('Raw Data'!D:D,MATCH($B12,'Raw Data'!$C:$C,0)),"-")</f>
        <v>744.00049999999896</v>
      </c>
      <c r="D12" s="10">
        <f>IFERROR(INDEX('Raw Data'!E:E,MATCH($B12,'Raw Data'!$C:$C,0)),"-")</f>
        <v>571.14599999999905</v>
      </c>
      <c r="E12" s="10">
        <f>IFERROR(INDEX('Raw Data'!H:H,MATCH($B12,'Raw Data'!$C:$C,0)),"-")</f>
        <v>172.85449999999901</v>
      </c>
      <c r="F12" s="10">
        <f>IFERROR(INDEX('Raw Data'!J:J,MATCH($B12,'Raw Data'!$C:$C,0)),"-")</f>
        <v>92.892799999999895</v>
      </c>
      <c r="G12" s="9">
        <f>IFERROR(INDEX('Raw Data'!O:O,MATCH($B12,'Raw Data'!$C:$C,0)),"-")</f>
        <v>0.76766883890000004</v>
      </c>
      <c r="H12" s="9">
        <f>IFERROR(INDEX('Raw Data'!P:P,MATCH($B12,'Raw Data'!$C:$C,0)),"-")</f>
        <v>0.81886102679999995</v>
      </c>
      <c r="I12" s="15" t="str">
        <f>IFERROR(INDEX('Raw Data'!AD:AD,MATCH($B12,'Raw Data'!$C:$C,0)),"-")</f>
        <v>Operational</v>
      </c>
    </row>
    <row r="13" spans="1:9" ht="15" customHeight="1" x14ac:dyDescent="0.35">
      <c r="A13" s="16" t="str">
        <f>IFERROR(INDEX('Raw Data'!AC:AC,MATCH($B13,'Raw Data'!$C:$C,0)),"")</f>
        <v>Dumper</v>
      </c>
      <c r="B13" s="11" t="s">
        <v>159</v>
      </c>
      <c r="C13" s="14">
        <f>IFERROR(INDEX('Raw Data'!D:D,MATCH($B13,'Raw Data'!$C:$C,0)),"-")</f>
        <v>744.00070000000005</v>
      </c>
      <c r="D13" s="14">
        <f>IFERROR(INDEX('Raw Data'!E:E,MATCH($B13,'Raw Data'!$C:$C,0)),"-")</f>
        <v>560.66010000000006</v>
      </c>
      <c r="E13" s="14">
        <f>IFERROR(INDEX('Raw Data'!H:H,MATCH($B13,'Raw Data'!$C:$C,0)),"-")</f>
        <v>183.34059999999999</v>
      </c>
      <c r="F13" s="14">
        <f>IFERROR(INDEX('Raw Data'!J:J,MATCH($B13,'Raw Data'!$C:$C,0)),"-")</f>
        <v>89.715999999999994</v>
      </c>
      <c r="G13" s="13">
        <f>IFERROR(INDEX('Raw Data'!O:O,MATCH($B13,'Raw Data'!$C:$C,0)),"-")</f>
        <v>0.75357469420000001</v>
      </c>
      <c r="H13" s="13">
        <f>IFERROR(INDEX('Raw Data'!P:P,MATCH($B13,'Raw Data'!$C:$C,0)),"-")</f>
        <v>0.82584546319999996</v>
      </c>
      <c r="I13" s="16" t="str">
        <f>IFERROR(INDEX('Raw Data'!AD:AD,MATCH($B13,'Raw Data'!$C:$C,0)),"-")</f>
        <v>Operational</v>
      </c>
    </row>
    <row r="14" spans="1:9" ht="15" customHeight="1" x14ac:dyDescent="0.35">
      <c r="A14" s="15" t="str">
        <f>IFERROR(INDEX('Raw Data'!AC:AC,MATCH($B14,'Raw Data'!$C:$C,0)),"")</f>
        <v>Dumper</v>
      </c>
      <c r="B14" s="7" t="s">
        <v>152</v>
      </c>
      <c r="C14" s="10">
        <f>IFERROR(INDEX('Raw Data'!D:D,MATCH($B14,'Raw Data'!$C:$C,0)),"-")</f>
        <v>744.00039999999899</v>
      </c>
      <c r="D14" s="10">
        <f>IFERROR(INDEX('Raw Data'!E:E,MATCH($B14,'Raw Data'!$C:$C,0)),"-")</f>
        <v>560.53549999999996</v>
      </c>
      <c r="E14" s="10">
        <f>IFERROR(INDEX('Raw Data'!H:H,MATCH($B14,'Raw Data'!$C:$C,0)),"-")</f>
        <v>183.4649</v>
      </c>
      <c r="F14" s="10">
        <f>IFERROR(INDEX('Raw Data'!J:J,MATCH($B14,'Raw Data'!$C:$C,0)),"-")</f>
        <v>92.065499999999901</v>
      </c>
      <c r="G14" s="9">
        <f>IFERROR(INDEX('Raw Data'!O:O,MATCH($B14,'Raw Data'!$C:$C,0)),"-")</f>
        <v>0.75340752499999997</v>
      </c>
      <c r="H14" s="9">
        <f>IFERROR(INDEX('Raw Data'!P:P,MATCH($B14,'Raw Data'!$C:$C,0)),"-")</f>
        <v>0.82242641189999999</v>
      </c>
      <c r="I14" s="15" t="str">
        <f>IFERROR(INDEX('Raw Data'!AD:AD,MATCH($B14,'Raw Data'!$C:$C,0)),"-")</f>
        <v>Operational</v>
      </c>
    </row>
    <row r="15" spans="1:9" ht="15" customHeight="1" x14ac:dyDescent="0.35">
      <c r="A15" s="16" t="str">
        <f>IFERROR(INDEX('Raw Data'!AC:AC,MATCH($B15,'Raw Data'!$C:$C,0)),"")</f>
        <v>Dumper</v>
      </c>
      <c r="B15" s="11" t="s">
        <v>146</v>
      </c>
      <c r="C15" s="14">
        <f>IFERROR(INDEX('Raw Data'!D:D,MATCH($B15,'Raw Data'!$C:$C,0)),"-")</f>
        <v>744.00029999999902</v>
      </c>
      <c r="D15" s="14">
        <f>IFERROR(INDEX('Raw Data'!E:E,MATCH($B15,'Raw Data'!$C:$C,0)),"-")</f>
        <v>559.65009999999904</v>
      </c>
      <c r="E15" s="14">
        <f>IFERROR(INDEX('Raw Data'!H:H,MATCH($B15,'Raw Data'!$C:$C,0)),"-")</f>
        <v>184.3502</v>
      </c>
      <c r="F15" s="14">
        <f>IFERROR(INDEX('Raw Data'!J:J,MATCH($B15,'Raw Data'!$C:$C,0)),"-")</f>
        <v>128.63279999999901</v>
      </c>
      <c r="G15" s="13">
        <f>IFERROR(INDEX('Raw Data'!O:O,MATCH($B15,'Raw Data'!$C:$C,0)),"-")</f>
        <v>0.75221757300000003</v>
      </c>
      <c r="H15" s="13">
        <f>IFERROR(INDEX('Raw Data'!P:P,MATCH($B15,'Raw Data'!$C:$C,0)),"-")</f>
        <v>0.75926351130000003</v>
      </c>
      <c r="I15" s="16" t="str">
        <f>IFERROR(INDEX('Raw Data'!AD:AD,MATCH($B15,'Raw Data'!$C:$C,0)),"-")</f>
        <v>Operational</v>
      </c>
    </row>
    <row r="16" spans="1:9" ht="15" customHeight="1" x14ac:dyDescent="0.35">
      <c r="A16" s="15" t="str">
        <f>IFERROR(INDEX('Raw Data'!AC:AC,MATCH($B16,'Raw Data'!$C:$C,0)),"")</f>
        <v>Dumper</v>
      </c>
      <c r="B16" s="7" t="s">
        <v>157</v>
      </c>
      <c r="C16" s="10">
        <f>IFERROR(INDEX('Raw Data'!D:D,MATCH($B16,'Raw Data'!$C:$C,0)),"-")</f>
        <v>744.00030000000004</v>
      </c>
      <c r="D16" s="10">
        <f>IFERROR(INDEX('Raw Data'!E:E,MATCH($B16,'Raw Data'!$C:$C,0)),"-")</f>
        <v>556.63070000000005</v>
      </c>
      <c r="E16" s="10">
        <f>IFERROR(INDEX('Raw Data'!H:H,MATCH($B16,'Raw Data'!$C:$C,0)),"-")</f>
        <v>187.36959999999999</v>
      </c>
      <c r="F16" s="10">
        <f>IFERROR(INDEX('Raw Data'!J:J,MATCH($B16,'Raw Data'!$C:$C,0)),"-")</f>
        <v>95.904399999999995</v>
      </c>
      <c r="G16" s="9">
        <f>IFERROR(INDEX('Raw Data'!O:O,MATCH($B16,'Raw Data'!$C:$C,0)),"-")</f>
        <v>0.7481592413</v>
      </c>
      <c r="H16" s="9">
        <f>IFERROR(INDEX('Raw Data'!P:P,MATCH($B16,'Raw Data'!$C:$C,0)),"-")</f>
        <v>0.81346195960000001</v>
      </c>
      <c r="I16" s="15" t="str">
        <f>IFERROR(INDEX('Raw Data'!AD:AD,MATCH($B16,'Raw Data'!$C:$C,0)),"-")</f>
        <v>Operational</v>
      </c>
    </row>
    <row r="17" spans="1:9" ht="15" customHeight="1" x14ac:dyDescent="0.35">
      <c r="A17" s="16" t="str">
        <f>IFERROR(INDEX('Raw Data'!AC:AC,MATCH($B17,'Raw Data'!$C:$C,0)),"")</f>
        <v>Dumper</v>
      </c>
      <c r="B17" s="11" t="s">
        <v>163</v>
      </c>
      <c r="C17" s="14">
        <f>IFERROR(INDEX('Raw Data'!D:D,MATCH($B17,'Raw Data'!$C:$C,0)),"-")</f>
        <v>743.99959999999999</v>
      </c>
      <c r="D17" s="14">
        <f>IFERROR(INDEX('Raw Data'!E:E,MATCH($B17,'Raw Data'!$C:$C,0)),"-")</f>
        <v>556.54579999999999</v>
      </c>
      <c r="E17" s="14">
        <f>IFERROR(INDEX('Raw Data'!H:H,MATCH($B17,'Raw Data'!$C:$C,0)),"-")</f>
        <v>187.4538</v>
      </c>
      <c r="F17" s="14">
        <f>IFERROR(INDEX('Raw Data'!J:J,MATCH($B17,'Raw Data'!$C:$C,0)),"-")</f>
        <v>95.903000000000006</v>
      </c>
      <c r="G17" s="13">
        <f>IFERROR(INDEX('Raw Data'!O:O,MATCH($B17,'Raw Data'!$C:$C,0)),"-")</f>
        <v>0.74804583229999999</v>
      </c>
      <c r="H17" s="13">
        <f>IFERROR(INDEX('Raw Data'!P:P,MATCH($B17,'Raw Data'!$C:$C,0)),"-")</f>
        <v>0.81049376350000002</v>
      </c>
      <c r="I17" s="16" t="str">
        <f>IFERROR(INDEX('Raw Data'!AD:AD,MATCH($B17,'Raw Data'!$C:$C,0)),"-")</f>
        <v>Operational</v>
      </c>
    </row>
    <row r="18" spans="1:9" ht="15" customHeight="1" x14ac:dyDescent="0.35">
      <c r="A18" s="15" t="str">
        <f>IFERROR(INDEX('Raw Data'!AC:AC,MATCH($B18,'Raw Data'!$C:$C,0)),"")</f>
        <v>Dumper</v>
      </c>
      <c r="B18" s="7" t="s">
        <v>145</v>
      </c>
      <c r="C18" s="10">
        <f>IFERROR(INDEX('Raw Data'!D:D,MATCH($B18,'Raw Data'!$C:$C,0)),"-")</f>
        <v>744.00030000000004</v>
      </c>
      <c r="D18" s="10">
        <f>IFERROR(INDEX('Raw Data'!E:E,MATCH($B18,'Raw Data'!$C:$C,0)),"-")</f>
        <v>555.68799999999999</v>
      </c>
      <c r="E18" s="10">
        <f>IFERROR(INDEX('Raw Data'!H:H,MATCH($B18,'Raw Data'!$C:$C,0)),"-")</f>
        <v>188.31229999999999</v>
      </c>
      <c r="F18" s="10">
        <f>IFERROR(INDEX('Raw Data'!J:J,MATCH($B18,'Raw Data'!$C:$C,0)),"-")</f>
        <v>94.856399999999894</v>
      </c>
      <c r="G18" s="9">
        <f>IFERROR(INDEX('Raw Data'!O:O,MATCH($B18,'Raw Data'!$C:$C,0)),"-")</f>
        <v>0.74689217200000002</v>
      </c>
      <c r="H18" s="9">
        <f>IFERROR(INDEX('Raw Data'!P:P,MATCH($B18,'Raw Data'!$C:$C,0)),"-")</f>
        <v>0.81662857570000003</v>
      </c>
      <c r="I18" s="15" t="str">
        <f>IFERROR(INDEX('Raw Data'!AD:AD,MATCH($B18,'Raw Data'!$C:$C,0)),"-")</f>
        <v>Operational</v>
      </c>
    </row>
    <row r="19" spans="1:9" ht="15" customHeight="1" x14ac:dyDescent="0.35">
      <c r="A19" s="16" t="str">
        <f>IFERROR(INDEX('Raw Data'!AC:AC,MATCH($B19,'Raw Data'!$C:$C,0)),"")</f>
        <v>Dumper</v>
      </c>
      <c r="B19" s="11" t="s">
        <v>143</v>
      </c>
      <c r="C19" s="14">
        <f>IFERROR(INDEX('Raw Data'!D:D,MATCH($B19,'Raw Data'!$C:$C,0)),"-")</f>
        <v>744.00029999999902</v>
      </c>
      <c r="D19" s="14">
        <f>IFERROR(INDEX('Raw Data'!E:E,MATCH($B19,'Raw Data'!$C:$C,0)),"-")</f>
        <v>553.85329999999999</v>
      </c>
      <c r="E19" s="14">
        <f>IFERROR(INDEX('Raw Data'!H:H,MATCH($B19,'Raw Data'!$C:$C,0)),"-")</f>
        <v>190.14699999999999</v>
      </c>
      <c r="F19" s="14">
        <f>IFERROR(INDEX('Raw Data'!J:J,MATCH($B19,'Raw Data'!$C:$C,0)),"-")</f>
        <v>67.909499999999994</v>
      </c>
      <c r="G19" s="13">
        <f>IFERROR(INDEX('Raw Data'!O:O,MATCH($B19,'Raw Data'!$C:$C,0)),"-")</f>
        <v>0.74442617830000002</v>
      </c>
      <c r="H19" s="13">
        <f>IFERROR(INDEX('Raw Data'!P:P,MATCH($B19,'Raw Data'!$C:$C,0)),"-")</f>
        <v>0.82075307669999997</v>
      </c>
      <c r="I19" s="16" t="str">
        <f>IFERROR(INDEX('Raw Data'!AD:AD,MATCH($B19,'Raw Data'!$C:$C,0)),"-")</f>
        <v>Operational</v>
      </c>
    </row>
    <row r="20" spans="1:9" ht="15" customHeight="1" x14ac:dyDescent="0.35">
      <c r="A20" s="15" t="str">
        <f>IFERROR(INDEX('Raw Data'!AC:AC,MATCH($B20,'Raw Data'!$C:$C,0)),"")</f>
        <v>Dumper</v>
      </c>
      <c r="B20" s="7" t="s">
        <v>160</v>
      </c>
      <c r="C20" s="10">
        <f>IFERROR(INDEX('Raw Data'!D:D,MATCH($B20,'Raw Data'!$C:$C,0)),"-")</f>
        <v>744.00009999999997</v>
      </c>
      <c r="D20" s="10">
        <f>IFERROR(INDEX('Raw Data'!E:E,MATCH($B20,'Raw Data'!$C:$C,0)),"-")</f>
        <v>551.80510000000004</v>
      </c>
      <c r="E20" s="10">
        <f>IFERROR(INDEX('Raw Data'!H:H,MATCH($B20,'Raw Data'!$C:$C,0)),"-")</f>
        <v>192.19499999999999</v>
      </c>
      <c r="F20" s="10">
        <f>IFERROR(INDEX('Raw Data'!J:J,MATCH($B20,'Raw Data'!$C:$C,0)),"-")</f>
        <v>63.448299999999897</v>
      </c>
      <c r="G20" s="9">
        <f>IFERROR(INDEX('Raw Data'!O:O,MATCH($B20,'Raw Data'!$C:$C,0)),"-")</f>
        <v>0.74167342179999995</v>
      </c>
      <c r="H20" s="9">
        <f>IFERROR(INDEX('Raw Data'!P:P,MATCH($B20,'Raw Data'!$C:$C,0)),"-")</f>
        <v>0.8456676098</v>
      </c>
      <c r="I20" s="15" t="str">
        <f>IFERROR(INDEX('Raw Data'!AD:AD,MATCH($B20,'Raw Data'!$C:$C,0)),"-")</f>
        <v>Operational</v>
      </c>
    </row>
    <row r="21" spans="1:9" ht="15" customHeight="1" x14ac:dyDescent="0.35">
      <c r="A21" s="16" t="str">
        <f>IFERROR(INDEX('Raw Data'!AC:AC,MATCH($B21,'Raw Data'!$C:$C,0)),"")</f>
        <v>Dumper</v>
      </c>
      <c r="B21" s="11" t="s">
        <v>110</v>
      </c>
      <c r="C21" s="14">
        <f>IFERROR(INDEX('Raw Data'!D:D,MATCH($B21,'Raw Data'!$C:$C,0)),"-")</f>
        <v>744</v>
      </c>
      <c r="D21" s="14">
        <f>IFERROR(INDEX('Raw Data'!E:E,MATCH($B21,'Raw Data'!$C:$C,0)),"-")</f>
        <v>549.26059999999995</v>
      </c>
      <c r="E21" s="14">
        <f>IFERROR(INDEX('Raw Data'!H:H,MATCH($B21,'Raw Data'!$C:$C,0)),"-")</f>
        <v>194.73939999999999</v>
      </c>
      <c r="F21" s="14">
        <f>IFERROR(INDEX('Raw Data'!J:J,MATCH($B21,'Raw Data'!$C:$C,0)),"-")</f>
        <v>92.094899999999896</v>
      </c>
      <c r="G21" s="13">
        <f>IFERROR(INDEX('Raw Data'!O:O,MATCH($B21,'Raw Data'!$C:$C,0)),"-")</f>
        <v>0.7382534946</v>
      </c>
      <c r="H21" s="13">
        <f>IFERROR(INDEX('Raw Data'!P:P,MATCH($B21,'Raw Data'!$C:$C,0)),"-")</f>
        <v>0.82108984330000001</v>
      </c>
      <c r="I21" s="16" t="str">
        <f>IFERROR(INDEX('Raw Data'!AD:AD,MATCH($B21,'Raw Data'!$C:$C,0)),"-")</f>
        <v>Operational</v>
      </c>
    </row>
    <row r="22" spans="1:9" ht="15" customHeight="1" x14ac:dyDescent="0.35">
      <c r="A22" s="15" t="str">
        <f>IFERROR(INDEX('Raw Data'!AC:AC,MATCH($B22,'Raw Data'!$C:$C,0)),"")</f>
        <v>Dumper</v>
      </c>
      <c r="B22" s="7" t="s">
        <v>142</v>
      </c>
      <c r="C22" s="10">
        <f>IFERROR(INDEX('Raw Data'!D:D,MATCH($B22,'Raw Data'!$C:$C,0)),"-")</f>
        <v>744.00040000000001</v>
      </c>
      <c r="D22" s="10">
        <f>IFERROR(INDEX('Raw Data'!E:E,MATCH($B22,'Raw Data'!$C:$C,0)),"-")</f>
        <v>545.81089999999995</v>
      </c>
      <c r="E22" s="10">
        <f>IFERROR(INDEX('Raw Data'!H:H,MATCH($B22,'Raw Data'!$C:$C,0)),"-")</f>
        <v>198.18950000000001</v>
      </c>
      <c r="F22" s="10">
        <f>IFERROR(INDEX('Raw Data'!J:J,MATCH($B22,'Raw Data'!$C:$C,0)),"-")</f>
        <v>93.399799999999999</v>
      </c>
      <c r="G22" s="9">
        <f>IFERROR(INDEX('Raw Data'!O:O,MATCH($B22,'Raw Data'!$C:$C,0)),"-")</f>
        <v>0.73361640669999995</v>
      </c>
      <c r="H22" s="9">
        <f>IFERROR(INDEX('Raw Data'!P:P,MATCH($B22,'Raw Data'!$C:$C,0)),"-")</f>
        <v>0.82010307969999996</v>
      </c>
      <c r="I22" s="15" t="str">
        <f>IFERROR(INDEX('Raw Data'!AD:AD,MATCH($B22,'Raw Data'!$C:$C,0)),"-")</f>
        <v>Operational</v>
      </c>
    </row>
    <row r="23" spans="1:9" ht="15" customHeight="1" x14ac:dyDescent="0.35">
      <c r="A23" s="16" t="str">
        <f>IFERROR(INDEX('Raw Data'!AC:AC,MATCH($B23,'Raw Data'!$C:$C,0)),"")</f>
        <v>Dumper</v>
      </c>
      <c r="B23" s="11" t="s">
        <v>135</v>
      </c>
      <c r="C23" s="14">
        <f>IFERROR(INDEX('Raw Data'!D:D,MATCH($B23,'Raw Data'!$C:$C,0)),"-")</f>
        <v>743.99919999999997</v>
      </c>
      <c r="D23" s="14">
        <f>IFERROR(INDEX('Raw Data'!E:E,MATCH($B23,'Raw Data'!$C:$C,0)),"-")</f>
        <v>545.01279999999997</v>
      </c>
      <c r="E23" s="14">
        <f>IFERROR(INDEX('Raw Data'!H:H,MATCH($B23,'Raw Data'!$C:$C,0)),"-")</f>
        <v>198.98639999999901</v>
      </c>
      <c r="F23" s="14">
        <f>IFERROR(INDEX('Raw Data'!J:J,MATCH($B23,'Raw Data'!$C:$C,0)),"-")</f>
        <v>63.851499999999902</v>
      </c>
      <c r="G23" s="13">
        <f>IFERROR(INDEX('Raw Data'!O:O,MATCH($B23,'Raw Data'!$C:$C,0)),"-")</f>
        <v>0.73254487369999999</v>
      </c>
      <c r="H23" s="13">
        <f>IFERROR(INDEX('Raw Data'!P:P,MATCH($B23,'Raw Data'!$C:$C,0)),"-")</f>
        <v>0.80731663549999999</v>
      </c>
      <c r="I23" s="16" t="str">
        <f>IFERROR(INDEX('Raw Data'!AD:AD,MATCH($B23,'Raw Data'!$C:$C,0)),"-")</f>
        <v>Operational</v>
      </c>
    </row>
    <row r="24" spans="1:9" ht="15" customHeight="1" x14ac:dyDescent="0.35">
      <c r="A24" s="15" t="str">
        <f>IFERROR(INDEX('Raw Data'!AC:AC,MATCH($B24,'Raw Data'!$C:$C,0)),"")</f>
        <v>Dumper</v>
      </c>
      <c r="B24" s="7" t="s">
        <v>170</v>
      </c>
      <c r="C24" s="10">
        <f>IFERROR(INDEX('Raw Data'!D:D,MATCH($B24,'Raw Data'!$C:$C,0)),"-")</f>
        <v>743.99969999999996</v>
      </c>
      <c r="D24" s="10">
        <f>IFERROR(INDEX('Raw Data'!E:E,MATCH($B24,'Raw Data'!$C:$C,0)),"-")</f>
        <v>538.06359999999995</v>
      </c>
      <c r="E24" s="10">
        <f>IFERROR(INDEX('Raw Data'!H:H,MATCH($B24,'Raw Data'!$C:$C,0)),"-")</f>
        <v>205.93610000000001</v>
      </c>
      <c r="F24" s="10">
        <f>IFERROR(INDEX('Raw Data'!J:J,MATCH($B24,'Raw Data'!$C:$C,0)),"-")</f>
        <v>61.780700000000003</v>
      </c>
      <c r="G24" s="9">
        <f>IFERROR(INDEX('Raw Data'!O:O,MATCH($B24,'Raw Data'!$C:$C,0)),"-")</f>
        <v>0.72320405509999997</v>
      </c>
      <c r="H24" s="9">
        <f>IFERROR(INDEX('Raw Data'!P:P,MATCH($B24,'Raw Data'!$C:$C,0)),"-")</f>
        <v>0.87097045780000004</v>
      </c>
      <c r="I24" s="15" t="str">
        <f>IFERROR(INDEX('Raw Data'!AD:AD,MATCH($B24,'Raw Data'!$C:$C,0)),"-")</f>
        <v>Operational</v>
      </c>
    </row>
    <row r="25" spans="1:9" ht="15" customHeight="1" x14ac:dyDescent="0.35">
      <c r="A25" s="16" t="str">
        <f>IFERROR(INDEX('Raw Data'!AC:AC,MATCH($B25,'Raw Data'!$C:$C,0)),"")</f>
        <v>Dumper</v>
      </c>
      <c r="B25" s="11" t="s">
        <v>136</v>
      </c>
      <c r="C25" s="14">
        <f>IFERROR(INDEX('Raw Data'!D:D,MATCH($B25,'Raw Data'!$C:$C,0)),"-")</f>
        <v>744.0009</v>
      </c>
      <c r="D25" s="14">
        <f>IFERROR(INDEX('Raw Data'!E:E,MATCH($B25,'Raw Data'!$C:$C,0)),"-")</f>
        <v>535.26250000000005</v>
      </c>
      <c r="E25" s="14">
        <f>IFERROR(INDEX('Raw Data'!H:H,MATCH($B25,'Raw Data'!$C:$C,0)),"-")</f>
        <v>208.73840000000001</v>
      </c>
      <c r="F25" s="14">
        <f>IFERROR(INDEX('Raw Data'!J:J,MATCH($B25,'Raw Data'!$C:$C,0)),"-")</f>
        <v>95.387</v>
      </c>
      <c r="G25" s="13">
        <f>IFERROR(INDEX('Raw Data'!O:O,MATCH($B25,'Raw Data'!$C:$C,0)),"-")</f>
        <v>0.71943797379999996</v>
      </c>
      <c r="H25" s="13">
        <f>IFERROR(INDEX('Raw Data'!P:P,MATCH($B25,'Raw Data'!$C:$C,0)),"-")</f>
        <v>0.80990691479999999</v>
      </c>
      <c r="I25" s="16" t="str">
        <f>IFERROR(INDEX('Raw Data'!AD:AD,MATCH($B25,'Raw Data'!$C:$C,0)),"-")</f>
        <v>Operational</v>
      </c>
    </row>
    <row r="26" spans="1:9" ht="15" customHeight="1" x14ac:dyDescent="0.35">
      <c r="A26" s="15" t="str">
        <f>IFERROR(INDEX('Raw Data'!AC:AC,MATCH($B26,'Raw Data'!$C:$C,0)),"")</f>
        <v>Dumper</v>
      </c>
      <c r="B26" s="7" t="s">
        <v>173</v>
      </c>
      <c r="C26" s="10">
        <f>IFERROR(INDEX('Raw Data'!D:D,MATCH($B26,'Raw Data'!$C:$C,0)),"-")</f>
        <v>743.9991</v>
      </c>
      <c r="D26" s="10">
        <f>IFERROR(INDEX('Raw Data'!E:E,MATCH($B26,'Raw Data'!$C:$C,0)),"-")</f>
        <v>534.88419999999996</v>
      </c>
      <c r="E26" s="10">
        <f>IFERROR(INDEX('Raw Data'!H:H,MATCH($B26,'Raw Data'!$C:$C,0)),"-")</f>
        <v>209.11489999999901</v>
      </c>
      <c r="F26" s="10">
        <f>IFERROR(INDEX('Raw Data'!J:J,MATCH($B26,'Raw Data'!$C:$C,0)),"-")</f>
        <v>90.643600000000006</v>
      </c>
      <c r="G26" s="9">
        <f>IFERROR(INDEX('Raw Data'!O:O,MATCH($B26,'Raw Data'!$C:$C,0)),"-")</f>
        <v>0.71893124600000002</v>
      </c>
      <c r="H26" s="9">
        <f>IFERROR(INDEX('Raw Data'!P:P,MATCH($B26,'Raw Data'!$C:$C,0)),"-")</f>
        <v>0.81964264409999998</v>
      </c>
      <c r="I26" s="15" t="str">
        <f>IFERROR(INDEX('Raw Data'!AD:AD,MATCH($B26,'Raw Data'!$C:$C,0)),"-")</f>
        <v>Operational</v>
      </c>
    </row>
    <row r="27" spans="1:9" ht="15" customHeight="1" x14ac:dyDescent="0.35">
      <c r="A27" s="16" t="str">
        <f>IFERROR(INDEX('Raw Data'!AC:AC,MATCH($B27,'Raw Data'!$C:$C,0)),"")</f>
        <v>Dumper</v>
      </c>
      <c r="B27" s="11" t="s">
        <v>155</v>
      </c>
      <c r="C27" s="14">
        <f>IFERROR(INDEX('Raw Data'!D:D,MATCH($B27,'Raw Data'!$C:$C,0)),"-")</f>
        <v>743.99900000000002</v>
      </c>
      <c r="D27" s="14">
        <f>IFERROR(INDEX('Raw Data'!E:E,MATCH($B27,'Raw Data'!$C:$C,0)),"-")</f>
        <v>531.23350000000005</v>
      </c>
      <c r="E27" s="14">
        <f>IFERROR(INDEX('Raw Data'!H:H,MATCH($B27,'Raw Data'!$C:$C,0)),"-")</f>
        <v>212.7655</v>
      </c>
      <c r="F27" s="14">
        <f>IFERROR(INDEX('Raw Data'!J:J,MATCH($B27,'Raw Data'!$C:$C,0)),"-")</f>
        <v>92.436199999999999</v>
      </c>
      <c r="G27" s="13">
        <f>IFERROR(INDEX('Raw Data'!O:O,MATCH($B27,'Raw Data'!$C:$C,0)),"-")</f>
        <v>0.71402448119999995</v>
      </c>
      <c r="H27" s="13">
        <f>IFERROR(INDEX('Raw Data'!P:P,MATCH($B27,'Raw Data'!$C:$C,0)),"-")</f>
        <v>0.81137484739999999</v>
      </c>
      <c r="I27" s="16" t="str">
        <f>IFERROR(INDEX('Raw Data'!AD:AD,MATCH($B27,'Raw Data'!$C:$C,0)),"-")</f>
        <v>Operational</v>
      </c>
    </row>
    <row r="28" spans="1:9" ht="15" customHeight="1" x14ac:dyDescent="0.35">
      <c r="A28" s="15" t="str">
        <f>IFERROR(INDEX('Raw Data'!AC:AC,MATCH($B28,'Raw Data'!$C:$C,0)),"")</f>
        <v>Dumper</v>
      </c>
      <c r="B28" s="7" t="s">
        <v>162</v>
      </c>
      <c r="C28" s="10">
        <f>IFERROR(INDEX('Raw Data'!D:D,MATCH($B28,'Raw Data'!$C:$C,0)),"-")</f>
        <v>744.00029999999902</v>
      </c>
      <c r="D28" s="10">
        <f>IFERROR(INDEX('Raw Data'!E:E,MATCH($B28,'Raw Data'!$C:$C,0)),"-")</f>
        <v>530.27899999999897</v>
      </c>
      <c r="E28" s="10">
        <f>IFERROR(INDEX('Raw Data'!H:H,MATCH($B28,'Raw Data'!$C:$C,0)),"-")</f>
        <v>213.72129999999899</v>
      </c>
      <c r="F28" s="10">
        <f>IFERROR(INDEX('Raw Data'!J:J,MATCH($B28,'Raw Data'!$C:$C,0)),"-")</f>
        <v>84.231700000000004</v>
      </c>
      <c r="G28" s="9">
        <f>IFERROR(INDEX('Raw Data'!O:O,MATCH($B28,'Raw Data'!$C:$C,0)),"-")</f>
        <v>0.71274030399999999</v>
      </c>
      <c r="H28" s="9">
        <f>IFERROR(INDEX('Raw Data'!P:P,MATCH($B28,'Raw Data'!$C:$C,0)),"-")</f>
        <v>0.83381880100000005</v>
      </c>
      <c r="I28" s="15" t="str">
        <f>IFERROR(INDEX('Raw Data'!AD:AD,MATCH($B28,'Raw Data'!$C:$C,0)),"-")</f>
        <v>Operational</v>
      </c>
    </row>
    <row r="29" spans="1:9" ht="15" customHeight="1" x14ac:dyDescent="0.35">
      <c r="A29" s="16" t="str">
        <f>IFERROR(INDEX('Raw Data'!AC:AC,MATCH($B29,'Raw Data'!$C:$C,0)),"")</f>
        <v>Dumper</v>
      </c>
      <c r="B29" s="11" t="s">
        <v>153</v>
      </c>
      <c r="C29" s="14">
        <f>IFERROR(INDEX('Raw Data'!D:D,MATCH($B29,'Raw Data'!$C:$C,0)),"-")</f>
        <v>743.99879999999996</v>
      </c>
      <c r="D29" s="14">
        <f>IFERROR(INDEX('Raw Data'!E:E,MATCH($B29,'Raw Data'!$C:$C,0)),"-")</f>
        <v>526.59590000000003</v>
      </c>
      <c r="E29" s="14">
        <f>IFERROR(INDEX('Raw Data'!H:H,MATCH($B29,'Raw Data'!$C:$C,0)),"-")</f>
        <v>217.40289999999999</v>
      </c>
      <c r="F29" s="14">
        <f>IFERROR(INDEX('Raw Data'!J:J,MATCH($B29,'Raw Data'!$C:$C,0)),"-")</f>
        <v>66.942300000000003</v>
      </c>
      <c r="G29" s="13">
        <f>IFERROR(INDEX('Raw Data'!O:O,MATCH($B29,'Raw Data'!$C:$C,0)),"-")</f>
        <v>0.70779132980000004</v>
      </c>
      <c r="H29" s="13">
        <f>IFERROR(INDEX('Raw Data'!P:P,MATCH($B29,'Raw Data'!$C:$C,0)),"-")</f>
        <v>0.85517566700000003</v>
      </c>
      <c r="I29" s="16" t="str">
        <f>IFERROR(INDEX('Raw Data'!AD:AD,MATCH($B29,'Raw Data'!$C:$C,0)),"-")</f>
        <v>Operational</v>
      </c>
    </row>
    <row r="30" spans="1:9" ht="15" customHeight="1" x14ac:dyDescent="0.35">
      <c r="A30" s="15" t="str">
        <f>IFERROR(INDEX('Raw Data'!AC:AC,MATCH($B30,'Raw Data'!$C:$C,0)),"")</f>
        <v>Dumper</v>
      </c>
      <c r="B30" s="7" t="s">
        <v>156</v>
      </c>
      <c r="C30" s="10">
        <f>IFERROR(INDEX('Raw Data'!D:D,MATCH($B30,'Raw Data'!$C:$C,0)),"-")</f>
        <v>744.00030000000004</v>
      </c>
      <c r="D30" s="10">
        <f>IFERROR(INDEX('Raw Data'!E:E,MATCH($B30,'Raw Data'!$C:$C,0)),"-")</f>
        <v>523.2192</v>
      </c>
      <c r="E30" s="10">
        <f>IFERROR(INDEX('Raw Data'!H:H,MATCH($B30,'Raw Data'!$C:$C,0)),"-")</f>
        <v>220.78110000000001</v>
      </c>
      <c r="F30" s="10">
        <f>IFERROR(INDEX('Raw Data'!J:J,MATCH($B30,'Raw Data'!$C:$C,0)),"-")</f>
        <v>70.112099999999998</v>
      </c>
      <c r="G30" s="9">
        <f>IFERROR(INDEX('Raw Data'!O:O,MATCH($B30,'Raw Data'!$C:$C,0)),"-")</f>
        <v>0.70325132930000001</v>
      </c>
      <c r="H30" s="9">
        <f>IFERROR(INDEX('Raw Data'!P:P,MATCH($B30,'Raw Data'!$C:$C,0)),"-")</f>
        <v>0.84831309710000002</v>
      </c>
      <c r="I30" s="15" t="str">
        <f>IFERROR(INDEX('Raw Data'!AD:AD,MATCH($B30,'Raw Data'!$C:$C,0)),"-")</f>
        <v>Operational</v>
      </c>
    </row>
    <row r="31" spans="1:9" ht="15" customHeight="1" x14ac:dyDescent="0.35">
      <c r="A31" s="16" t="str">
        <f>IFERROR(INDEX('Raw Data'!AC:AC,MATCH($B31,'Raw Data'!$C:$C,0)),"")</f>
        <v>Dumper</v>
      </c>
      <c r="B31" s="11" t="s">
        <v>151</v>
      </c>
      <c r="C31" s="14">
        <f>IFERROR(INDEX('Raw Data'!D:D,MATCH($B31,'Raw Data'!$C:$C,0)),"-")</f>
        <v>744.00029999999902</v>
      </c>
      <c r="D31" s="14">
        <f>IFERROR(INDEX('Raw Data'!E:E,MATCH($B31,'Raw Data'!$C:$C,0)),"-")</f>
        <v>521.52699999999902</v>
      </c>
      <c r="E31" s="14">
        <f>IFERROR(INDEX('Raw Data'!H:H,MATCH($B31,'Raw Data'!$C:$C,0)),"-")</f>
        <v>222.473299999999</v>
      </c>
      <c r="F31" s="14">
        <f>IFERROR(INDEX('Raw Data'!J:J,MATCH($B31,'Raw Data'!$C:$C,0)),"-")</f>
        <v>63.315899999999999</v>
      </c>
      <c r="G31" s="13">
        <f>IFERROR(INDEX('Raw Data'!O:O,MATCH($B31,'Raw Data'!$C:$C,0)),"-")</f>
        <v>0.70097686790000002</v>
      </c>
      <c r="H31" s="13">
        <f>IFERROR(INDEX('Raw Data'!P:P,MATCH($B31,'Raw Data'!$C:$C,0)),"-")</f>
        <v>0.81884389489999998</v>
      </c>
      <c r="I31" s="16" t="str">
        <f>IFERROR(INDEX('Raw Data'!AD:AD,MATCH($B31,'Raw Data'!$C:$C,0)),"-")</f>
        <v>Operational</v>
      </c>
    </row>
    <row r="32" spans="1:9" ht="15" customHeight="1" x14ac:dyDescent="0.35">
      <c r="A32" s="15" t="str">
        <f>IFERROR(INDEX('Raw Data'!AC:AC,MATCH($B32,'Raw Data'!$C:$C,0)),"")</f>
        <v>Dumper</v>
      </c>
      <c r="B32" s="7" t="s">
        <v>129</v>
      </c>
      <c r="C32" s="10">
        <f>IFERROR(INDEX('Raw Data'!D:D,MATCH($B32,'Raw Data'!$C:$C,0)),"-")</f>
        <v>744.00059999999996</v>
      </c>
      <c r="D32" s="10">
        <f>IFERROR(INDEX('Raw Data'!E:E,MATCH($B32,'Raw Data'!$C:$C,0)),"-")</f>
        <v>519.30439999999999</v>
      </c>
      <c r="E32" s="10">
        <f>IFERROR(INDEX('Raw Data'!H:H,MATCH($B32,'Raw Data'!$C:$C,0)),"-")</f>
        <v>224.6962</v>
      </c>
      <c r="F32" s="10">
        <f>IFERROR(INDEX('Raw Data'!J:J,MATCH($B32,'Raw Data'!$C:$C,0)),"-")</f>
        <v>99.631200000000007</v>
      </c>
      <c r="G32" s="9">
        <f>IFERROR(INDEX('Raw Data'!O:O,MATCH($B32,'Raw Data'!$C:$C,0)),"-")</f>
        <v>0.69798922210000003</v>
      </c>
      <c r="H32" s="9">
        <f>IFERROR(INDEX('Raw Data'!P:P,MATCH($B32,'Raw Data'!$C:$C,0)),"-")</f>
        <v>0.75608082659999998</v>
      </c>
      <c r="I32" s="15" t="str">
        <f>IFERROR(INDEX('Raw Data'!AD:AD,MATCH($B32,'Raw Data'!$C:$C,0)),"-")</f>
        <v>Operational</v>
      </c>
    </row>
    <row r="33" spans="1:9" ht="15" customHeight="1" x14ac:dyDescent="0.35">
      <c r="A33" s="16" t="str">
        <f>IFERROR(INDEX('Raw Data'!AC:AC,MATCH($B33,'Raw Data'!$C:$C,0)),"")</f>
        <v>Dumper</v>
      </c>
      <c r="B33" s="11" t="s">
        <v>178</v>
      </c>
      <c r="C33" s="14">
        <f>IFERROR(INDEX('Raw Data'!D:D,MATCH($B33,'Raw Data'!$C:$C,0)),"-")</f>
        <v>744.00059999999996</v>
      </c>
      <c r="D33" s="14">
        <f>IFERROR(INDEX('Raw Data'!E:E,MATCH($B33,'Raw Data'!$C:$C,0)),"-")</f>
        <v>514.17819999999995</v>
      </c>
      <c r="E33" s="14">
        <f>IFERROR(INDEX('Raw Data'!H:H,MATCH($B33,'Raw Data'!$C:$C,0)),"-")</f>
        <v>229.82239999999899</v>
      </c>
      <c r="F33" s="14">
        <f>IFERROR(INDEX('Raw Data'!J:J,MATCH($B33,'Raw Data'!$C:$C,0)),"-")</f>
        <v>60.323300000000003</v>
      </c>
      <c r="G33" s="13">
        <f>IFERROR(INDEX('Raw Data'!O:O,MATCH($B33,'Raw Data'!$C:$C,0)),"-")</f>
        <v>0.69109917379999997</v>
      </c>
      <c r="H33" s="13">
        <f>IFERROR(INDEX('Raw Data'!P:P,MATCH($B33,'Raw Data'!$C:$C,0)),"-")</f>
        <v>0.82616221379999999</v>
      </c>
      <c r="I33" s="16" t="str">
        <f>IFERROR(INDEX('Raw Data'!AD:AD,MATCH($B33,'Raw Data'!$C:$C,0)),"-")</f>
        <v>Operational</v>
      </c>
    </row>
    <row r="34" spans="1:9" ht="15" customHeight="1" x14ac:dyDescent="0.35">
      <c r="A34" s="15" t="str">
        <f>IFERROR(INDEX('Raw Data'!AC:AC,MATCH($B34,'Raw Data'!$C:$C,0)),"")</f>
        <v>Dumper</v>
      </c>
      <c r="B34" s="7" t="s">
        <v>139</v>
      </c>
      <c r="C34" s="10">
        <f>IFERROR(INDEX('Raw Data'!D:D,MATCH($B34,'Raw Data'!$C:$C,0)),"-")</f>
        <v>743.999899999999</v>
      </c>
      <c r="D34" s="10">
        <f>IFERROR(INDEX('Raw Data'!E:E,MATCH($B34,'Raw Data'!$C:$C,0)),"-")</f>
        <v>512.09159999999895</v>
      </c>
      <c r="E34" s="10">
        <f>IFERROR(INDEX('Raw Data'!H:H,MATCH($B34,'Raw Data'!$C:$C,0)),"-")</f>
        <v>231.9083</v>
      </c>
      <c r="F34" s="10">
        <f>IFERROR(INDEX('Raw Data'!J:J,MATCH($B34,'Raw Data'!$C:$C,0)),"-")</f>
        <v>116.29159999999899</v>
      </c>
      <c r="G34" s="9">
        <f>IFERROR(INDEX('Raw Data'!O:O,MATCH($B34,'Raw Data'!$C:$C,0)),"-")</f>
        <v>0.68829525380000001</v>
      </c>
      <c r="H34" s="9">
        <f>IFERROR(INDEX('Raw Data'!P:P,MATCH($B34,'Raw Data'!$C:$C,0)),"-")</f>
        <v>0.76395844020000003</v>
      </c>
      <c r="I34" s="15" t="str">
        <f>IFERROR(INDEX('Raw Data'!AD:AD,MATCH($B34,'Raw Data'!$C:$C,0)),"-")</f>
        <v>Operational</v>
      </c>
    </row>
    <row r="35" spans="1:9" ht="15" customHeight="1" x14ac:dyDescent="0.35">
      <c r="A35" s="16" t="str">
        <f>IFERROR(INDEX('Raw Data'!AC:AC,MATCH($B35,'Raw Data'!$C:$C,0)),"")</f>
        <v>Dumper</v>
      </c>
      <c r="B35" s="11" t="s">
        <v>174</v>
      </c>
      <c r="C35" s="14">
        <f>IFERROR(INDEX('Raw Data'!D:D,MATCH($B35,'Raw Data'!$C:$C,0)),"-")</f>
        <v>743.99980000000005</v>
      </c>
      <c r="D35" s="14">
        <f>IFERROR(INDEX('Raw Data'!E:E,MATCH($B35,'Raw Data'!$C:$C,0)),"-")</f>
        <v>511.83569999999997</v>
      </c>
      <c r="E35" s="14">
        <f>IFERROR(INDEX('Raw Data'!H:H,MATCH($B35,'Raw Data'!$C:$C,0)),"-")</f>
        <v>232.164099999999</v>
      </c>
      <c r="F35" s="14">
        <f>IFERROR(INDEX('Raw Data'!J:J,MATCH($B35,'Raw Data'!$C:$C,0)),"-")</f>
        <v>63.003599999999899</v>
      </c>
      <c r="G35" s="13">
        <f>IFERROR(INDEX('Raw Data'!O:O,MATCH($B35,'Raw Data'!$C:$C,0)),"-")</f>
        <v>0.68795139459999999</v>
      </c>
      <c r="H35" s="13">
        <f>IFERROR(INDEX('Raw Data'!P:P,MATCH($B35,'Raw Data'!$C:$C,0)),"-")</f>
        <v>0.86546952470000005</v>
      </c>
      <c r="I35" s="16" t="str">
        <f>IFERROR(INDEX('Raw Data'!AD:AD,MATCH($B35,'Raw Data'!$C:$C,0)),"-")</f>
        <v>Operational</v>
      </c>
    </row>
    <row r="36" spans="1:9" ht="15" customHeight="1" x14ac:dyDescent="0.35">
      <c r="A36" s="15" t="str">
        <f>IFERROR(INDEX('Raw Data'!AC:AC,MATCH($B36,'Raw Data'!$C:$C,0)),"")</f>
        <v>Dumper</v>
      </c>
      <c r="B36" s="7" t="s">
        <v>133</v>
      </c>
      <c r="C36" s="10">
        <f>IFERROR(INDEX('Raw Data'!D:D,MATCH($B36,'Raw Data'!$C:$C,0)),"-")</f>
        <v>744.00189999999998</v>
      </c>
      <c r="D36" s="10">
        <f>IFERROR(INDEX('Raw Data'!E:E,MATCH($B36,'Raw Data'!$C:$C,0)),"-")</f>
        <v>499.88150000000002</v>
      </c>
      <c r="E36" s="10">
        <f>IFERROR(INDEX('Raw Data'!H:H,MATCH($B36,'Raw Data'!$C:$C,0)),"-")</f>
        <v>244.12039999999999</v>
      </c>
      <c r="F36" s="10">
        <f>IFERROR(INDEX('Raw Data'!J:J,MATCH($B36,'Raw Data'!$C:$C,0)),"-")</f>
        <v>102.228899999999</v>
      </c>
      <c r="G36" s="9">
        <f>IFERROR(INDEX('Raw Data'!O:O,MATCH($B36,'Raw Data'!$C:$C,0)),"-")</f>
        <v>0.67188202070000003</v>
      </c>
      <c r="H36" s="9">
        <f>IFERROR(INDEX('Raw Data'!P:P,MATCH($B36,'Raw Data'!$C:$C,0)),"-")</f>
        <v>0.7861713226</v>
      </c>
      <c r="I36" s="15" t="str">
        <f>IFERROR(INDEX('Raw Data'!AD:AD,MATCH($B36,'Raw Data'!$C:$C,0)),"-")</f>
        <v>Operational</v>
      </c>
    </row>
    <row r="37" spans="1:9" ht="15" customHeight="1" x14ac:dyDescent="0.35">
      <c r="A37" s="16" t="str">
        <f>IFERROR(INDEX('Raw Data'!AC:AC,MATCH($B37,'Raw Data'!$C:$C,0)),"")</f>
        <v>Dumper</v>
      </c>
      <c r="B37" s="11" t="s">
        <v>171</v>
      </c>
      <c r="C37" s="14">
        <f>IFERROR(INDEX('Raw Data'!D:D,MATCH($B37,'Raw Data'!$C:$C,0)),"-")</f>
        <v>743.99950000000001</v>
      </c>
      <c r="D37" s="14">
        <f>IFERROR(INDEX('Raw Data'!E:E,MATCH($B37,'Raw Data'!$C:$C,0)),"-")</f>
        <v>498.00259999999997</v>
      </c>
      <c r="E37" s="14">
        <f>IFERROR(INDEX('Raw Data'!H:H,MATCH($B37,'Raw Data'!$C:$C,0)),"-")</f>
        <v>245.99690000000001</v>
      </c>
      <c r="F37" s="14">
        <f>IFERROR(INDEX('Raw Data'!J:J,MATCH($B37,'Raw Data'!$C:$C,0)),"-")</f>
        <v>69.556600000000003</v>
      </c>
      <c r="G37" s="13">
        <f>IFERROR(INDEX('Raw Data'!O:O,MATCH($B37,'Raw Data'!$C:$C,0)),"-")</f>
        <v>0.66935878319999997</v>
      </c>
      <c r="H37" s="13">
        <f>IFERROR(INDEX('Raw Data'!P:P,MATCH($B37,'Raw Data'!$C:$C,0)),"-")</f>
        <v>0.84554839670000004</v>
      </c>
      <c r="I37" s="16" t="str">
        <f>IFERROR(INDEX('Raw Data'!AD:AD,MATCH($B37,'Raw Data'!$C:$C,0)),"-")</f>
        <v>Operational</v>
      </c>
    </row>
    <row r="38" spans="1:9" ht="15" customHeight="1" x14ac:dyDescent="0.35">
      <c r="A38" s="15" t="str">
        <f>IFERROR(INDEX('Raw Data'!AC:AC,MATCH($B38,'Raw Data'!$C:$C,0)),"")</f>
        <v>Dumper</v>
      </c>
      <c r="B38" s="7" t="s">
        <v>134</v>
      </c>
      <c r="C38" s="10">
        <f>IFERROR(INDEX('Raw Data'!D:D,MATCH($B38,'Raw Data'!$C:$C,0)),"-")</f>
        <v>744.000799999999</v>
      </c>
      <c r="D38" s="10">
        <f>IFERROR(INDEX('Raw Data'!E:E,MATCH($B38,'Raw Data'!$C:$C,0)),"-")</f>
        <v>489.50039999999899</v>
      </c>
      <c r="E38" s="10">
        <f>IFERROR(INDEX('Raw Data'!H:H,MATCH($B38,'Raw Data'!$C:$C,0)),"-")</f>
        <v>254.50040000000001</v>
      </c>
      <c r="F38" s="10">
        <f>IFERROR(INDEX('Raw Data'!J:J,MATCH($B38,'Raw Data'!$C:$C,0)),"-")</f>
        <v>113.582999999999</v>
      </c>
      <c r="G38" s="9">
        <f>IFERROR(INDEX('Raw Data'!O:O,MATCH($B38,'Raw Data'!$C:$C,0)),"-")</f>
        <v>0.65792993769999997</v>
      </c>
      <c r="H38" s="9">
        <f>IFERROR(INDEX('Raw Data'!P:P,MATCH($B38,'Raw Data'!$C:$C,0)),"-")</f>
        <v>0.70523211009999998</v>
      </c>
      <c r="I38" s="15" t="str">
        <f>IFERROR(INDEX('Raw Data'!AD:AD,MATCH($B38,'Raw Data'!$C:$C,0)),"-")</f>
        <v>Operational</v>
      </c>
    </row>
    <row r="39" spans="1:9" ht="15" customHeight="1" x14ac:dyDescent="0.35">
      <c r="A39" s="16" t="str">
        <f>IFERROR(INDEX('Raw Data'!AC:AC,MATCH($B39,'Raw Data'!$C:$C,0)),"")</f>
        <v>Dumper</v>
      </c>
      <c r="B39" s="11" t="s">
        <v>140</v>
      </c>
      <c r="C39" s="14">
        <f>IFERROR(INDEX('Raw Data'!D:D,MATCH($B39,'Raw Data'!$C:$C,0)),"-")</f>
        <v>743.99950000000001</v>
      </c>
      <c r="D39" s="14">
        <f>IFERROR(INDEX('Raw Data'!E:E,MATCH($B39,'Raw Data'!$C:$C,0)),"-")</f>
        <v>483.54809999999998</v>
      </c>
      <c r="E39" s="14">
        <f>IFERROR(INDEX('Raw Data'!H:H,MATCH($B39,'Raw Data'!$C:$C,0)),"-")</f>
        <v>260.45139999999998</v>
      </c>
      <c r="F39" s="14">
        <f>IFERROR(INDEX('Raw Data'!J:J,MATCH($B39,'Raw Data'!$C:$C,0)),"-")</f>
        <v>70.736399999999904</v>
      </c>
      <c r="G39" s="13">
        <f>IFERROR(INDEX('Raw Data'!O:O,MATCH($B39,'Raw Data'!$C:$C,0)),"-")</f>
        <v>0.64993067869999999</v>
      </c>
      <c r="H39" s="13">
        <f>IFERROR(INDEX('Raw Data'!P:P,MATCH($B39,'Raw Data'!$C:$C,0)),"-")</f>
        <v>0.78932023520000005</v>
      </c>
      <c r="I39" s="16" t="str">
        <f>IFERROR(INDEX('Raw Data'!AD:AD,MATCH($B39,'Raw Data'!$C:$C,0)),"-")</f>
        <v>Operational</v>
      </c>
    </row>
    <row r="40" spans="1:9" ht="15" customHeight="1" x14ac:dyDescent="0.35">
      <c r="A40" s="15" t="str">
        <f>IFERROR(INDEX('Raw Data'!AC:AC,MATCH($B40,'Raw Data'!$C:$C,0)),"")</f>
        <v>Dumper</v>
      </c>
      <c r="B40" s="7" t="s">
        <v>177</v>
      </c>
      <c r="C40" s="10">
        <f>IFERROR(INDEX('Raw Data'!D:D,MATCH($B40,'Raw Data'!$C:$C,0)),"-")</f>
        <v>744.000799999999</v>
      </c>
      <c r="D40" s="10">
        <f>IFERROR(INDEX('Raw Data'!E:E,MATCH($B40,'Raw Data'!$C:$C,0)),"-")</f>
        <v>483.53729999999899</v>
      </c>
      <c r="E40" s="10">
        <f>IFERROR(INDEX('Raw Data'!H:H,MATCH($B40,'Raw Data'!$C:$C,0)),"-")</f>
        <v>260.46349999999899</v>
      </c>
      <c r="F40" s="10">
        <f>IFERROR(INDEX('Raw Data'!J:J,MATCH($B40,'Raw Data'!$C:$C,0)),"-")</f>
        <v>62.247299999999903</v>
      </c>
      <c r="G40" s="9">
        <f>IFERROR(INDEX('Raw Data'!O:O,MATCH($B40,'Raw Data'!$C:$C,0)),"-")</f>
        <v>0.64991502700000003</v>
      </c>
      <c r="H40" s="9">
        <f>IFERROR(INDEX('Raw Data'!P:P,MATCH($B40,'Raw Data'!$C:$C,0)),"-")</f>
        <v>0.85859705139999998</v>
      </c>
      <c r="I40" s="15" t="str">
        <f>IFERROR(INDEX('Raw Data'!AD:AD,MATCH($B40,'Raw Data'!$C:$C,0)),"-")</f>
        <v>Operational</v>
      </c>
    </row>
    <row r="41" spans="1:9" ht="15" customHeight="1" x14ac:dyDescent="0.35">
      <c r="A41" s="16" t="str">
        <f>IFERROR(INDEX('Raw Data'!AC:AC,MATCH($B41,'Raw Data'!$C:$C,0)),"")</f>
        <v>Dumper</v>
      </c>
      <c r="B41" s="11" t="s">
        <v>137</v>
      </c>
      <c r="C41" s="14">
        <f>IFERROR(INDEX('Raw Data'!D:D,MATCH($B41,'Raw Data'!$C:$C,0)),"-")</f>
        <v>744.00089999999898</v>
      </c>
      <c r="D41" s="14">
        <f>IFERROR(INDEX('Raw Data'!E:E,MATCH($B41,'Raw Data'!$C:$C,0)),"-")</f>
        <v>483.02789999999902</v>
      </c>
      <c r="E41" s="14">
        <f>IFERROR(INDEX('Raw Data'!H:H,MATCH($B41,'Raw Data'!$C:$C,0)),"-")</f>
        <v>260.97299999999899</v>
      </c>
      <c r="F41" s="14">
        <f>IFERROR(INDEX('Raw Data'!J:J,MATCH($B41,'Raw Data'!$C:$C,0)),"-")</f>
        <v>82.617500000000007</v>
      </c>
      <c r="G41" s="13">
        <f>IFERROR(INDEX('Raw Data'!O:O,MATCH($B41,'Raw Data'!$C:$C,0)),"-")</f>
        <v>0.64923026299999997</v>
      </c>
      <c r="H41" s="13">
        <f>IFERROR(INDEX('Raw Data'!P:P,MATCH($B41,'Raw Data'!$C:$C,0)),"-")</f>
        <v>0.8154332286</v>
      </c>
      <c r="I41" s="16" t="str">
        <f>IFERROR(INDEX('Raw Data'!AD:AD,MATCH($B41,'Raw Data'!$C:$C,0)),"-")</f>
        <v>Operational</v>
      </c>
    </row>
    <row r="42" spans="1:9" ht="15" customHeight="1" x14ac:dyDescent="0.35">
      <c r="A42" s="15" t="str">
        <f>IFERROR(INDEX('Raw Data'!AC:AC,MATCH($B42,'Raw Data'!$C:$C,0)),"")</f>
        <v>Dumper</v>
      </c>
      <c r="B42" s="7" t="s">
        <v>130</v>
      </c>
      <c r="C42" s="10">
        <f>IFERROR(INDEX('Raw Data'!D:D,MATCH($B42,'Raw Data'!$C:$C,0)),"-")</f>
        <v>744.00049999999896</v>
      </c>
      <c r="D42" s="10">
        <f>IFERROR(INDEX('Raw Data'!E:E,MATCH($B42,'Raw Data'!$C:$C,0)),"-")</f>
        <v>479.01449999999897</v>
      </c>
      <c r="E42" s="10">
        <f>IFERROR(INDEX('Raw Data'!H:H,MATCH($B42,'Raw Data'!$C:$C,0)),"-")</f>
        <v>264.98599999999902</v>
      </c>
      <c r="F42" s="10">
        <f>IFERROR(INDEX('Raw Data'!J:J,MATCH($B42,'Raw Data'!$C:$C,0)),"-")</f>
        <v>97.115899999999897</v>
      </c>
      <c r="G42" s="9">
        <f>IFERROR(INDEX('Raw Data'!O:O,MATCH($B42,'Raw Data'!$C:$C,0)),"-")</f>
        <v>0.64383626090000001</v>
      </c>
      <c r="H42" s="9">
        <f>IFERROR(INDEX('Raw Data'!P:P,MATCH($B42,'Raw Data'!$C:$C,0)),"-")</f>
        <v>0.78602672780000005</v>
      </c>
      <c r="I42" s="15" t="str">
        <f>IFERROR(INDEX('Raw Data'!AD:AD,MATCH($B42,'Raw Data'!$C:$C,0)),"-")</f>
        <v>Operational</v>
      </c>
    </row>
    <row r="43" spans="1:9" ht="15" customHeight="1" x14ac:dyDescent="0.35">
      <c r="A43" s="16" t="str">
        <f>IFERROR(INDEX('Raw Data'!AC:AC,MATCH($B43,'Raw Data'!$C:$C,0)),"")</f>
        <v>Dumper</v>
      </c>
      <c r="B43" s="11" t="s">
        <v>109</v>
      </c>
      <c r="C43" s="14">
        <f>IFERROR(INDEX('Raw Data'!D:D,MATCH($B43,'Raw Data'!$C:$C,0)),"-")</f>
        <v>743.99939999999901</v>
      </c>
      <c r="D43" s="14">
        <f>IFERROR(INDEX('Raw Data'!E:E,MATCH($B43,'Raw Data'!$C:$C,0)),"-")</f>
        <v>463.57709999999997</v>
      </c>
      <c r="E43" s="14">
        <f>IFERROR(INDEX('Raw Data'!H:H,MATCH($B43,'Raw Data'!$C:$C,0)),"-")</f>
        <v>280.42229999999898</v>
      </c>
      <c r="F43" s="14">
        <f>IFERROR(INDEX('Raw Data'!J:J,MATCH($B43,'Raw Data'!$C:$C,0)),"-")</f>
        <v>75.113900000000001</v>
      </c>
      <c r="G43" s="13">
        <f>IFERROR(INDEX('Raw Data'!O:O,MATCH($B43,'Raw Data'!$C:$C,0)),"-")</f>
        <v>0.62308800249999996</v>
      </c>
      <c r="H43" s="13">
        <f>IFERROR(INDEX('Raw Data'!P:P,MATCH($B43,'Raw Data'!$C:$C,0)),"-")</f>
        <v>0.82366320510000002</v>
      </c>
      <c r="I43" s="16" t="str">
        <f>IFERROR(INDEX('Raw Data'!AD:AD,MATCH($B43,'Raw Data'!$C:$C,0)),"-")</f>
        <v>Operational</v>
      </c>
    </row>
    <row r="44" spans="1:9" ht="15" customHeight="1" x14ac:dyDescent="0.35">
      <c r="A44" s="15" t="str">
        <f>IFERROR(INDEX('Raw Data'!AC:AC,MATCH($B44,'Raw Data'!$C:$C,0)),"")</f>
        <v>Dumper</v>
      </c>
      <c r="B44" s="7" t="s">
        <v>166</v>
      </c>
      <c r="C44" s="10">
        <f>IFERROR(INDEX('Raw Data'!D:D,MATCH($B44,'Raw Data'!$C:$C,0)),"-")</f>
        <v>743.99950000000001</v>
      </c>
      <c r="D44" s="10">
        <f>IFERROR(INDEX('Raw Data'!E:E,MATCH($B44,'Raw Data'!$C:$C,0)),"-")</f>
        <v>456.03349999999898</v>
      </c>
      <c r="E44" s="10">
        <f>IFERROR(INDEX('Raw Data'!H:H,MATCH($B44,'Raw Data'!$C:$C,0)),"-")</f>
        <v>287.96600000000001</v>
      </c>
      <c r="F44" s="10">
        <f>IFERROR(INDEX('Raw Data'!J:J,MATCH($B44,'Raw Data'!$C:$C,0)),"-")</f>
        <v>76.732299999999995</v>
      </c>
      <c r="G44" s="9">
        <f>IFERROR(INDEX('Raw Data'!O:O,MATCH($B44,'Raw Data'!$C:$C,0)),"-")</f>
        <v>0.61294866459999997</v>
      </c>
      <c r="H44" s="9">
        <f>IFERROR(INDEX('Raw Data'!P:P,MATCH($B44,'Raw Data'!$C:$C,0)),"-")</f>
        <v>0.82167516200000001</v>
      </c>
      <c r="I44" s="15" t="str">
        <f>IFERROR(INDEX('Raw Data'!AD:AD,MATCH($B44,'Raw Data'!$C:$C,0)),"-")</f>
        <v>Operational</v>
      </c>
    </row>
    <row r="45" spans="1:9" ht="15" customHeight="1" x14ac:dyDescent="0.35">
      <c r="A45" s="16" t="str">
        <f>IFERROR(INDEX('Raw Data'!AC:AC,MATCH($B45,'Raw Data'!$C:$C,0)),"")</f>
        <v>Dumper</v>
      </c>
      <c r="B45" s="11" t="s">
        <v>144</v>
      </c>
      <c r="C45" s="14">
        <f>IFERROR(INDEX('Raw Data'!D:D,MATCH($B45,'Raw Data'!$C:$C,0)),"-")</f>
        <v>744.00029999999902</v>
      </c>
      <c r="D45" s="14">
        <f>IFERROR(INDEX('Raw Data'!E:E,MATCH($B45,'Raw Data'!$C:$C,0)),"-")</f>
        <v>449.64600000000002</v>
      </c>
      <c r="E45" s="14">
        <f>IFERROR(INDEX('Raw Data'!H:H,MATCH($B45,'Raw Data'!$C:$C,0)),"-")</f>
        <v>294.354299999999</v>
      </c>
      <c r="F45" s="14">
        <f>IFERROR(INDEX('Raw Data'!J:J,MATCH($B45,'Raw Data'!$C:$C,0)),"-")</f>
        <v>68.212900000000005</v>
      </c>
      <c r="G45" s="13">
        <f>IFERROR(INDEX('Raw Data'!O:O,MATCH($B45,'Raw Data'!$C:$C,0)),"-")</f>
        <v>0.60436265950000001</v>
      </c>
      <c r="H45" s="13">
        <f>IFERROR(INDEX('Raw Data'!P:P,MATCH($B45,'Raw Data'!$C:$C,0)),"-")</f>
        <v>0.84721736660000002</v>
      </c>
      <c r="I45" s="16" t="str">
        <f>IFERROR(INDEX('Raw Data'!AD:AD,MATCH($B45,'Raw Data'!$C:$C,0)),"-")</f>
        <v>Operational</v>
      </c>
    </row>
    <row r="46" spans="1:9" ht="15" customHeight="1" x14ac:dyDescent="0.35">
      <c r="A46" s="15" t="str">
        <f>IFERROR(INDEX('Raw Data'!AC:AC,MATCH($B46,'Raw Data'!$C:$C,0)),"")</f>
        <v>Dumper</v>
      </c>
      <c r="B46" s="7" t="s">
        <v>111</v>
      </c>
      <c r="C46" s="10">
        <f>IFERROR(INDEX('Raw Data'!D:D,MATCH($B46,'Raw Data'!$C:$C,0)),"-")</f>
        <v>744</v>
      </c>
      <c r="D46" s="10">
        <f>IFERROR(INDEX('Raw Data'!E:E,MATCH($B46,'Raw Data'!$C:$C,0)),"-")</f>
        <v>433.63979999999998</v>
      </c>
      <c r="E46" s="10">
        <f>IFERROR(INDEX('Raw Data'!H:H,MATCH($B46,'Raw Data'!$C:$C,0)),"-")</f>
        <v>310.36020000000002</v>
      </c>
      <c r="F46" s="10">
        <f>IFERROR(INDEX('Raw Data'!J:J,MATCH($B46,'Raw Data'!$C:$C,0)),"-")</f>
        <v>86.265699999999995</v>
      </c>
      <c r="G46" s="9">
        <f>IFERROR(INDEX('Raw Data'!O:O,MATCH($B46,'Raw Data'!$C:$C,0)),"-")</f>
        <v>0.58284919349999997</v>
      </c>
      <c r="H46" s="9">
        <f>IFERROR(INDEX('Raw Data'!P:P,MATCH($B46,'Raw Data'!$C:$C,0)),"-")</f>
        <v>0.79080564099999995</v>
      </c>
      <c r="I46" s="15" t="str">
        <f>IFERROR(INDEX('Raw Data'!AD:AD,MATCH($B46,'Raw Data'!$C:$C,0)),"-")</f>
        <v>Operational</v>
      </c>
    </row>
    <row r="47" spans="1:9" ht="15" customHeight="1" x14ac:dyDescent="0.35">
      <c r="A47" s="16" t="str">
        <f>IFERROR(INDEX('Raw Data'!AC:AC,MATCH($B47,'Raw Data'!$C:$C,0)),"")</f>
        <v>Dumper</v>
      </c>
      <c r="B47" s="11" t="s">
        <v>102</v>
      </c>
      <c r="C47" s="14">
        <f>IFERROR(INDEX('Raw Data'!D:D,MATCH($B47,'Raw Data'!$C:$C,0)),"-")</f>
        <v>744.00129999999899</v>
      </c>
      <c r="D47" s="14">
        <f>IFERROR(INDEX('Raw Data'!E:E,MATCH($B47,'Raw Data'!$C:$C,0)),"-")</f>
        <v>418.97949999999997</v>
      </c>
      <c r="E47" s="14">
        <f>IFERROR(INDEX('Raw Data'!H:H,MATCH($B47,'Raw Data'!$C:$C,0)),"-")</f>
        <v>325.02179999999902</v>
      </c>
      <c r="F47" s="14">
        <f>IFERROR(INDEX('Raw Data'!J:J,MATCH($B47,'Raw Data'!$C:$C,0)),"-")</f>
        <v>115.9907</v>
      </c>
      <c r="G47" s="13">
        <f>IFERROR(INDEX('Raw Data'!O:O,MATCH($B47,'Raw Data'!$C:$C,0)),"-")</f>
        <v>0.56314350530000001</v>
      </c>
      <c r="H47" s="13">
        <f>IFERROR(INDEX('Raw Data'!P:P,MATCH($B47,'Raw Data'!$C:$C,0)),"-")</f>
        <v>0.71363658600000002</v>
      </c>
      <c r="I47" s="16" t="str">
        <f>IFERROR(INDEX('Raw Data'!AD:AD,MATCH($B47,'Raw Data'!$C:$C,0)),"-")</f>
        <v>Operational</v>
      </c>
    </row>
    <row r="48" spans="1:9" ht="15" customHeight="1" x14ac:dyDescent="0.35">
      <c r="A48" s="15" t="str">
        <f>IFERROR(INDEX('Raw Data'!AC:AC,MATCH($B48,'Raw Data'!$C:$C,0)),"")</f>
        <v>Dumper</v>
      </c>
      <c r="B48" s="7" t="s">
        <v>128</v>
      </c>
      <c r="C48" s="10">
        <f>IFERROR(INDEX('Raw Data'!D:D,MATCH($B48,'Raw Data'!$C:$C,0)),"-")</f>
        <v>744.00039999999899</v>
      </c>
      <c r="D48" s="10">
        <f>IFERROR(INDEX('Raw Data'!E:E,MATCH($B48,'Raw Data'!$C:$C,0)),"-")</f>
        <v>418.28219999999902</v>
      </c>
      <c r="E48" s="10">
        <f>IFERROR(INDEX('Raw Data'!H:H,MATCH($B48,'Raw Data'!$C:$C,0)),"-")</f>
        <v>325.718199999999</v>
      </c>
      <c r="F48" s="10">
        <f>IFERROR(INDEX('Raw Data'!J:J,MATCH($B48,'Raw Data'!$C:$C,0)),"-")</f>
        <v>56.733199999999997</v>
      </c>
      <c r="G48" s="9">
        <f>IFERROR(INDEX('Raw Data'!O:O,MATCH($B48,'Raw Data'!$C:$C,0)),"-")</f>
        <v>0.56220695580000002</v>
      </c>
      <c r="H48" s="9">
        <f>IFERROR(INDEX('Raw Data'!P:P,MATCH($B48,'Raw Data'!$C:$C,0)),"-")</f>
        <v>0.69053165540000006</v>
      </c>
      <c r="I48" s="15" t="str">
        <f>IFERROR(INDEX('Raw Data'!AD:AD,MATCH($B48,'Raw Data'!$C:$C,0)),"-")</f>
        <v>Operational</v>
      </c>
    </row>
    <row r="49" spans="1:9" ht="15" customHeight="1" x14ac:dyDescent="0.35">
      <c r="A49" s="16" t="str">
        <f>IFERROR(INDEX('Raw Data'!AC:AC,MATCH($B49,'Raw Data'!$C:$C,0)),"")</f>
        <v>Dumper</v>
      </c>
      <c r="B49" s="11" t="s">
        <v>154</v>
      </c>
      <c r="C49" s="14">
        <f>IFERROR(INDEX('Raw Data'!D:D,MATCH($B49,'Raw Data'!$C:$C,0)),"-")</f>
        <v>743.99969999999996</v>
      </c>
      <c r="D49" s="14">
        <f>IFERROR(INDEX('Raw Data'!E:E,MATCH($B49,'Raw Data'!$C:$C,0)),"-")</f>
        <v>412.43299999999999</v>
      </c>
      <c r="E49" s="14">
        <f>IFERROR(INDEX('Raw Data'!H:H,MATCH($B49,'Raw Data'!$C:$C,0)),"-")</f>
        <v>331.566699999999</v>
      </c>
      <c r="F49" s="14">
        <f>IFERROR(INDEX('Raw Data'!J:J,MATCH($B49,'Raw Data'!$C:$C,0)),"-")</f>
        <v>74.910200000000003</v>
      </c>
      <c r="G49" s="13">
        <f>IFERROR(INDEX('Raw Data'!O:O,MATCH($B49,'Raw Data'!$C:$C,0)),"-")</f>
        <v>0.55434565359999999</v>
      </c>
      <c r="H49" s="13">
        <f>IFERROR(INDEX('Raw Data'!P:P,MATCH($B49,'Raw Data'!$C:$C,0)),"-")</f>
        <v>0.80467785069999997</v>
      </c>
      <c r="I49" s="16" t="str">
        <f>IFERROR(INDEX('Raw Data'!AD:AD,MATCH($B49,'Raw Data'!$C:$C,0)),"-")</f>
        <v>Operational</v>
      </c>
    </row>
    <row r="50" spans="1:9" ht="15" customHeight="1" x14ac:dyDescent="0.35">
      <c r="A50" s="15" t="str">
        <f>IFERROR(INDEX('Raw Data'!AC:AC,MATCH($B50,'Raw Data'!$C:$C,0)),"")</f>
        <v>Dumper</v>
      </c>
      <c r="B50" s="7" t="s">
        <v>127</v>
      </c>
      <c r="C50" s="10">
        <f>IFERROR(INDEX('Raw Data'!D:D,MATCH($B50,'Raw Data'!$C:$C,0)),"-")</f>
        <v>744.00019999999995</v>
      </c>
      <c r="D50" s="10">
        <f>IFERROR(INDEX('Raw Data'!E:E,MATCH($B50,'Raw Data'!$C:$C,0)),"-")</f>
        <v>409.5958</v>
      </c>
      <c r="E50" s="10">
        <f>IFERROR(INDEX('Raw Data'!H:H,MATCH($B50,'Raw Data'!$C:$C,0)),"-")</f>
        <v>334.40440000000001</v>
      </c>
      <c r="F50" s="10">
        <f>IFERROR(INDEX('Raw Data'!J:J,MATCH($B50,'Raw Data'!$C:$C,0)),"-")</f>
        <v>80.601799999999997</v>
      </c>
      <c r="G50" s="9">
        <f>IFERROR(INDEX('Raw Data'!O:O,MATCH($B50,'Raw Data'!$C:$C,0)),"-")</f>
        <v>0.55053184129999999</v>
      </c>
      <c r="H50" s="9">
        <f>IFERROR(INDEX('Raw Data'!P:P,MATCH($B50,'Raw Data'!$C:$C,0)),"-")</f>
        <v>0.79112920590000002</v>
      </c>
      <c r="I50" s="15" t="str">
        <f>IFERROR(INDEX('Raw Data'!AD:AD,MATCH($B50,'Raw Data'!$C:$C,0)),"-")</f>
        <v>Operational</v>
      </c>
    </row>
    <row r="51" spans="1:9" ht="15" customHeight="1" x14ac:dyDescent="0.35">
      <c r="A51" s="16" t="str">
        <f>IFERROR(INDEX('Raw Data'!AC:AC,MATCH($B51,'Raw Data'!$C:$C,0)),"")</f>
        <v>Dumper</v>
      </c>
      <c r="B51" s="11" t="s">
        <v>105</v>
      </c>
      <c r="C51" s="14">
        <f>IFERROR(INDEX('Raw Data'!D:D,MATCH($B51,'Raw Data'!$C:$C,0)),"-")</f>
        <v>744.00059999999905</v>
      </c>
      <c r="D51" s="14">
        <f>IFERROR(INDEX('Raw Data'!E:E,MATCH($B51,'Raw Data'!$C:$C,0)),"-")</f>
        <v>405.35959999999898</v>
      </c>
      <c r="E51" s="14">
        <f>IFERROR(INDEX('Raw Data'!H:H,MATCH($B51,'Raw Data'!$C:$C,0)),"-")</f>
        <v>338.640999999999</v>
      </c>
      <c r="F51" s="14">
        <f>IFERROR(INDEX('Raw Data'!J:J,MATCH($B51,'Raw Data'!$C:$C,0)),"-")</f>
        <v>54.130499999999898</v>
      </c>
      <c r="G51" s="13">
        <f>IFERROR(INDEX('Raw Data'!O:O,MATCH($B51,'Raw Data'!$C:$C,0)),"-")</f>
        <v>0.54483773270000002</v>
      </c>
      <c r="H51" s="13">
        <f>IFERROR(INDEX('Raw Data'!P:P,MATCH($B51,'Raw Data'!$C:$C,0)),"-")</f>
        <v>0.79295173959999998</v>
      </c>
      <c r="I51" s="16" t="str">
        <f>IFERROR(INDEX('Raw Data'!AD:AD,MATCH($B51,'Raw Data'!$C:$C,0)),"-")</f>
        <v>Operational</v>
      </c>
    </row>
    <row r="52" spans="1:9" ht="15" customHeight="1" x14ac:dyDescent="0.35">
      <c r="A52" s="15" t="str">
        <f>IFERROR(INDEX('Raw Data'!AC:AC,MATCH($B52,'Raw Data'!$C:$C,0)),"")</f>
        <v>Dumper</v>
      </c>
      <c r="B52" s="7" t="s">
        <v>106</v>
      </c>
      <c r="C52" s="10">
        <f>IFERROR(INDEX('Raw Data'!D:D,MATCH($B52,'Raw Data'!$C:$C,0)),"-")</f>
        <v>743.99999999999898</v>
      </c>
      <c r="D52" s="10">
        <f>IFERROR(INDEX('Raw Data'!E:E,MATCH($B52,'Raw Data'!$C:$C,0)),"-")</f>
        <v>404.42529999999903</v>
      </c>
      <c r="E52" s="10">
        <f>IFERROR(INDEX('Raw Data'!H:H,MATCH($B52,'Raw Data'!$C:$C,0)),"-")</f>
        <v>339.57469999999898</v>
      </c>
      <c r="F52" s="10">
        <f>IFERROR(INDEX('Raw Data'!J:J,MATCH($B52,'Raw Data'!$C:$C,0)),"-")</f>
        <v>79.725499999999997</v>
      </c>
      <c r="G52" s="9">
        <f>IFERROR(INDEX('Raw Data'!O:O,MATCH($B52,'Raw Data'!$C:$C,0)),"-")</f>
        <v>0.54358239249999996</v>
      </c>
      <c r="H52" s="9">
        <f>IFERROR(INDEX('Raw Data'!P:P,MATCH($B52,'Raw Data'!$C:$C,0)),"-")</f>
        <v>0.79129198889999997</v>
      </c>
      <c r="I52" s="15" t="str">
        <f>IFERROR(INDEX('Raw Data'!AD:AD,MATCH($B52,'Raw Data'!$C:$C,0)),"-")</f>
        <v>Operational</v>
      </c>
    </row>
    <row r="53" spans="1:9" ht="15" customHeight="1" x14ac:dyDescent="0.35">
      <c r="A53" s="16" t="str">
        <f>IFERROR(INDEX('Raw Data'!AC:AC,MATCH($B53,'Raw Data'!$C:$C,0)),"")</f>
        <v>Dumper</v>
      </c>
      <c r="B53" s="11" t="s">
        <v>115</v>
      </c>
      <c r="C53" s="14">
        <f>IFERROR(INDEX('Raw Data'!D:D,MATCH($B53,'Raw Data'!$C:$C,0)),"-")</f>
        <v>744.00099999999998</v>
      </c>
      <c r="D53" s="14">
        <f>IFERROR(INDEX('Raw Data'!E:E,MATCH($B53,'Raw Data'!$C:$C,0)),"-")</f>
        <v>402.78359999999998</v>
      </c>
      <c r="E53" s="14">
        <f>IFERROR(INDEX('Raw Data'!H:H,MATCH($B53,'Raw Data'!$C:$C,0)),"-")</f>
        <v>341.21739999999897</v>
      </c>
      <c r="F53" s="14">
        <f>IFERROR(INDEX('Raw Data'!J:J,MATCH($B53,'Raw Data'!$C:$C,0)),"-")</f>
        <v>89.891599999999997</v>
      </c>
      <c r="G53" s="13">
        <f>IFERROR(INDEX('Raw Data'!O:O,MATCH($B53,'Raw Data'!$C:$C,0)),"-")</f>
        <v>0.54137507880000002</v>
      </c>
      <c r="H53" s="13">
        <f>IFERROR(INDEX('Raw Data'!P:P,MATCH($B53,'Raw Data'!$C:$C,0)),"-")</f>
        <v>0.76592567320000005</v>
      </c>
      <c r="I53" s="16" t="str">
        <f>IFERROR(INDEX('Raw Data'!AD:AD,MATCH($B53,'Raw Data'!$C:$C,0)),"-")</f>
        <v>Operational</v>
      </c>
    </row>
    <row r="54" spans="1:9" ht="15" customHeight="1" x14ac:dyDescent="0.35">
      <c r="A54" s="15" t="str">
        <f>IFERROR(INDEX('Raw Data'!AC:AC,MATCH($B54,'Raw Data'!$C:$C,0)),"")</f>
        <v>Dumper</v>
      </c>
      <c r="B54" s="7" t="s">
        <v>161</v>
      </c>
      <c r="C54" s="10">
        <f>IFERROR(INDEX('Raw Data'!D:D,MATCH($B54,'Raw Data'!$C:$C,0)),"-")</f>
        <v>744</v>
      </c>
      <c r="D54" s="10">
        <f>IFERROR(INDEX('Raw Data'!E:E,MATCH($B54,'Raw Data'!$C:$C,0)),"-")</f>
        <v>393.29169999999999</v>
      </c>
      <c r="E54" s="10">
        <f>IFERROR(INDEX('Raw Data'!H:H,MATCH($B54,'Raw Data'!$C:$C,0)),"-")</f>
        <v>350.70829999999899</v>
      </c>
      <c r="F54" s="10">
        <f>IFERROR(INDEX('Raw Data'!J:J,MATCH($B54,'Raw Data'!$C:$C,0)),"-")</f>
        <v>54.4482</v>
      </c>
      <c r="G54" s="9">
        <f>IFERROR(INDEX('Raw Data'!O:O,MATCH($B54,'Raw Data'!$C:$C,0)),"-")</f>
        <v>0.52861787630000001</v>
      </c>
      <c r="H54" s="9">
        <f>IFERROR(INDEX('Raw Data'!P:P,MATCH($B54,'Raw Data'!$C:$C,0)),"-")</f>
        <v>0.84568807329999995</v>
      </c>
      <c r="I54" s="15" t="str">
        <f>IFERROR(INDEX('Raw Data'!AD:AD,MATCH($B54,'Raw Data'!$C:$C,0)),"-")</f>
        <v>Operational</v>
      </c>
    </row>
    <row r="55" spans="1:9" ht="15" customHeight="1" x14ac:dyDescent="0.35">
      <c r="A55" s="16" t="str">
        <f>IFERROR(INDEX('Raw Data'!AC:AC,MATCH($B55,'Raw Data'!$C:$C,0)),"")</f>
        <v>Dumper</v>
      </c>
      <c r="B55" s="11" t="s">
        <v>147</v>
      </c>
      <c r="C55" s="14">
        <f>IFERROR(INDEX('Raw Data'!D:D,MATCH($B55,'Raw Data'!$C:$C,0)),"-")</f>
        <v>744.00019999999904</v>
      </c>
      <c r="D55" s="14">
        <f>IFERROR(INDEX('Raw Data'!E:E,MATCH($B55,'Raw Data'!$C:$C,0)),"-")</f>
        <v>390.39559999999898</v>
      </c>
      <c r="E55" s="14">
        <f>IFERROR(INDEX('Raw Data'!H:H,MATCH($B55,'Raw Data'!$C:$C,0)),"-")</f>
        <v>353.60459999999898</v>
      </c>
      <c r="F55" s="14">
        <f>IFERROR(INDEX('Raw Data'!J:J,MATCH($B55,'Raw Data'!$C:$C,0)),"-")</f>
        <v>58.671999999999898</v>
      </c>
      <c r="G55" s="13">
        <f>IFERROR(INDEX('Raw Data'!O:O,MATCH($B55,'Raw Data'!$C:$C,0)),"-")</f>
        <v>0.52472512780000002</v>
      </c>
      <c r="H55" s="13">
        <f>IFERROR(INDEX('Raw Data'!P:P,MATCH($B55,'Raw Data'!$C:$C,0)),"-")</f>
        <v>0.84172055219999997</v>
      </c>
      <c r="I55" s="16" t="str">
        <f>IFERROR(INDEX('Raw Data'!AD:AD,MATCH($B55,'Raw Data'!$C:$C,0)),"-")</f>
        <v>Operational</v>
      </c>
    </row>
    <row r="56" spans="1:9" ht="15" customHeight="1" x14ac:dyDescent="0.35">
      <c r="A56" s="15" t="str">
        <f>IFERROR(INDEX('Raw Data'!AC:AC,MATCH($B56,'Raw Data'!$C:$C,0)),"")</f>
        <v>Dumper</v>
      </c>
      <c r="B56" s="7" t="s">
        <v>165</v>
      </c>
      <c r="C56" s="10">
        <f>IFERROR(INDEX('Raw Data'!D:D,MATCH($B56,'Raw Data'!$C:$C,0)),"-")</f>
        <v>744.00049999999896</v>
      </c>
      <c r="D56" s="10">
        <f>IFERROR(INDEX('Raw Data'!E:E,MATCH($B56,'Raw Data'!$C:$C,0)),"-")</f>
        <v>381.35909999999899</v>
      </c>
      <c r="E56" s="10">
        <f>IFERROR(INDEX('Raw Data'!H:H,MATCH($B56,'Raw Data'!$C:$C,0)),"-")</f>
        <v>362.64139999999998</v>
      </c>
      <c r="F56" s="10">
        <f>IFERROR(INDEX('Raw Data'!J:J,MATCH($B56,'Raw Data'!$C:$C,0)),"-")</f>
        <v>107.295499999999</v>
      </c>
      <c r="G56" s="9">
        <f>IFERROR(INDEX('Raw Data'!O:O,MATCH($B56,'Raw Data'!$C:$C,0)),"-")</f>
        <v>0.51257909099999999</v>
      </c>
      <c r="H56" s="9">
        <f>IFERROR(INDEX('Raw Data'!P:P,MATCH($B56,'Raw Data'!$C:$C,0)),"-")</f>
        <v>0.70701262929999997</v>
      </c>
      <c r="I56" s="15" t="str">
        <f>IFERROR(INDEX('Raw Data'!AD:AD,MATCH($B56,'Raw Data'!$C:$C,0)),"-")</f>
        <v>Operational</v>
      </c>
    </row>
    <row r="57" spans="1:9" ht="15" customHeight="1" x14ac:dyDescent="0.35">
      <c r="A57" s="16" t="str">
        <f>IFERROR(INDEX('Raw Data'!AC:AC,MATCH($B57,'Raw Data'!$C:$C,0)),"")</f>
        <v>Dumper</v>
      </c>
      <c r="B57" s="11" t="s">
        <v>116</v>
      </c>
      <c r="C57" s="14">
        <f>IFERROR(INDEX('Raw Data'!D:D,MATCH($B57,'Raw Data'!$C:$C,0)),"-")</f>
        <v>743.99950000000001</v>
      </c>
      <c r="D57" s="14">
        <f>IFERROR(INDEX('Raw Data'!E:E,MATCH($B57,'Raw Data'!$C:$C,0)),"-")</f>
        <v>366.01729999999998</v>
      </c>
      <c r="E57" s="14">
        <f>IFERROR(INDEX('Raw Data'!H:H,MATCH($B57,'Raw Data'!$C:$C,0)),"-")</f>
        <v>377.98219999999901</v>
      </c>
      <c r="F57" s="14">
        <f>IFERROR(INDEX('Raw Data'!J:J,MATCH($B57,'Raw Data'!$C:$C,0)),"-")</f>
        <v>47.769499999999901</v>
      </c>
      <c r="G57" s="13">
        <f>IFERROR(INDEX('Raw Data'!O:O,MATCH($B57,'Raw Data'!$C:$C,0)),"-")</f>
        <v>0.49195906719999999</v>
      </c>
      <c r="H57" s="13">
        <f>IFERROR(INDEX('Raw Data'!P:P,MATCH($B57,'Raw Data'!$C:$C,0)),"-")</f>
        <v>0.85462326509999997</v>
      </c>
      <c r="I57" s="16" t="str">
        <f>IFERROR(INDEX('Raw Data'!AD:AD,MATCH($B57,'Raw Data'!$C:$C,0)),"-")</f>
        <v>Operational</v>
      </c>
    </row>
    <row r="58" spans="1:9" ht="15" customHeight="1" x14ac:dyDescent="0.35">
      <c r="A58" s="15" t="str">
        <f>IFERROR(INDEX('Raw Data'!AC:AC,MATCH($B58,'Raw Data'!$C:$C,0)),"")</f>
        <v>Dumper</v>
      </c>
      <c r="B58" s="7" t="s">
        <v>175</v>
      </c>
      <c r="C58" s="10">
        <f>IFERROR(INDEX('Raw Data'!D:D,MATCH($B58,'Raw Data'!$C:$C,0)),"-")</f>
        <v>743.999899999999</v>
      </c>
      <c r="D58" s="10">
        <f>IFERROR(INDEX('Raw Data'!E:E,MATCH($B58,'Raw Data'!$C:$C,0)),"-")</f>
        <v>361.49339999999899</v>
      </c>
      <c r="E58" s="10">
        <f>IFERROR(INDEX('Raw Data'!H:H,MATCH($B58,'Raw Data'!$C:$C,0)),"-")</f>
        <v>382.50649999999899</v>
      </c>
      <c r="F58" s="10">
        <f>IFERROR(INDEX('Raw Data'!J:J,MATCH($B58,'Raw Data'!$C:$C,0)),"-")</f>
        <v>70.823099999999897</v>
      </c>
      <c r="G58" s="9">
        <f>IFERROR(INDEX('Raw Data'!O:O,MATCH($B58,'Raw Data'!$C:$C,0)),"-")</f>
        <v>0.48587829110000003</v>
      </c>
      <c r="H58" s="9">
        <f>IFERROR(INDEX('Raw Data'!P:P,MATCH($B58,'Raw Data'!$C:$C,0)),"-")</f>
        <v>0.79351960509999997</v>
      </c>
      <c r="I58" s="15" t="str">
        <f>IFERROR(INDEX('Raw Data'!AD:AD,MATCH($B58,'Raw Data'!$C:$C,0)),"-")</f>
        <v>Operational</v>
      </c>
    </row>
    <row r="59" spans="1:9" ht="15" customHeight="1" x14ac:dyDescent="0.35">
      <c r="A59" s="16" t="str">
        <f>IFERROR(INDEX('Raw Data'!AC:AC,MATCH($B59,'Raw Data'!$C:$C,0)),"")</f>
        <v>Dumper</v>
      </c>
      <c r="B59" s="11" t="s">
        <v>112</v>
      </c>
      <c r="C59" s="14">
        <f>IFERROR(INDEX('Raw Data'!D:D,MATCH($B59,'Raw Data'!$C:$C,0)),"-")</f>
        <v>744.00009999999895</v>
      </c>
      <c r="D59" s="14">
        <f>IFERROR(INDEX('Raw Data'!E:E,MATCH($B59,'Raw Data'!$C:$C,0)),"-")</f>
        <v>351.11149999999901</v>
      </c>
      <c r="E59" s="14">
        <f>IFERROR(INDEX('Raw Data'!H:H,MATCH($B59,'Raw Data'!$C:$C,0)),"-")</f>
        <v>392.88859999999897</v>
      </c>
      <c r="F59" s="14">
        <f>IFERROR(INDEX('Raw Data'!J:J,MATCH($B59,'Raw Data'!$C:$C,0)),"-")</f>
        <v>77.9879999999999</v>
      </c>
      <c r="G59" s="13">
        <f>IFERROR(INDEX('Raw Data'!O:O,MATCH($B59,'Raw Data'!$C:$C,0)),"-")</f>
        <v>0.47192399569999999</v>
      </c>
      <c r="H59" s="13">
        <f>IFERROR(INDEX('Raw Data'!P:P,MATCH($B59,'Raw Data'!$C:$C,0)),"-")</f>
        <v>0.76881588899999997</v>
      </c>
      <c r="I59" s="16" t="str">
        <f>IFERROR(INDEX('Raw Data'!AD:AD,MATCH($B59,'Raw Data'!$C:$C,0)),"-")</f>
        <v>Operational</v>
      </c>
    </row>
    <row r="60" spans="1:9" ht="15" customHeight="1" x14ac:dyDescent="0.35">
      <c r="A60" s="15" t="str">
        <f>IFERROR(INDEX('Raw Data'!AC:AC,MATCH($B60,'Raw Data'!$C:$C,0)),"")</f>
        <v>Dumper</v>
      </c>
      <c r="B60" s="7" t="s">
        <v>172</v>
      </c>
      <c r="C60" s="10">
        <f>IFERROR(INDEX('Raw Data'!D:D,MATCH($B60,'Raw Data'!$C:$C,0)),"-")</f>
        <v>744.00019999999904</v>
      </c>
      <c r="D60" s="10">
        <f>IFERROR(INDEX('Raw Data'!E:E,MATCH($B60,'Raw Data'!$C:$C,0)),"-")</f>
        <v>342.48880000000003</v>
      </c>
      <c r="E60" s="10">
        <f>IFERROR(INDEX('Raw Data'!H:H,MATCH($B60,'Raw Data'!$C:$C,0)),"-")</f>
        <v>401.51139999999901</v>
      </c>
      <c r="F60" s="10">
        <f>IFERROR(INDEX('Raw Data'!J:J,MATCH($B60,'Raw Data'!$C:$C,0)),"-")</f>
        <v>42.024900000000002</v>
      </c>
      <c r="G60" s="9">
        <f>IFERROR(INDEX('Raw Data'!O:O,MATCH($B60,'Raw Data'!$C:$C,0)),"-")</f>
        <v>0.4603342849</v>
      </c>
      <c r="H60" s="9">
        <f>IFERROR(INDEX('Raw Data'!P:P,MATCH($B60,'Raw Data'!$C:$C,0)),"-")</f>
        <v>0.79858465440000004</v>
      </c>
      <c r="I60" s="15" t="str">
        <f>IFERROR(INDEX('Raw Data'!AD:AD,MATCH($B60,'Raw Data'!$C:$C,0)),"-")</f>
        <v>Operational</v>
      </c>
    </row>
    <row r="61" spans="1:9" ht="15" customHeight="1" x14ac:dyDescent="0.35">
      <c r="A61" s="16" t="str">
        <f>IFERROR(INDEX('Raw Data'!AC:AC,MATCH($B61,'Raw Data'!$C:$C,0)),"")</f>
        <v>Dumper</v>
      </c>
      <c r="B61" s="11" t="s">
        <v>131</v>
      </c>
      <c r="C61" s="14">
        <f>IFERROR(INDEX('Raw Data'!D:D,MATCH($B61,'Raw Data'!$C:$C,0)),"-")</f>
        <v>743.99990000000003</v>
      </c>
      <c r="D61" s="14">
        <f>IFERROR(INDEX('Raw Data'!E:E,MATCH($B61,'Raw Data'!$C:$C,0)),"-")</f>
        <v>332.24209999999999</v>
      </c>
      <c r="E61" s="14">
        <f>IFERROR(INDEX('Raw Data'!H:H,MATCH($B61,'Raw Data'!$C:$C,0)),"-")</f>
        <v>411.75779999999997</v>
      </c>
      <c r="F61" s="14">
        <f>IFERROR(INDEX('Raw Data'!J:J,MATCH($B61,'Raw Data'!$C:$C,0)),"-")</f>
        <v>126.315899999999</v>
      </c>
      <c r="G61" s="13">
        <f>IFERROR(INDEX('Raw Data'!O:O,MATCH($B61,'Raw Data'!$C:$C,0)),"-")</f>
        <v>0.44656202239999998</v>
      </c>
      <c r="H61" s="13">
        <f>IFERROR(INDEX('Raw Data'!P:P,MATCH($B61,'Raw Data'!$C:$C,0)),"-")</f>
        <v>0.53813950730000004</v>
      </c>
      <c r="I61" s="16" t="str">
        <f>IFERROR(INDEX('Raw Data'!AD:AD,MATCH($B61,'Raw Data'!$C:$C,0)),"-")</f>
        <v>Operational</v>
      </c>
    </row>
    <row r="62" spans="1:9" ht="15" customHeight="1" x14ac:dyDescent="0.35">
      <c r="A62" s="15" t="str">
        <f>IFERROR(INDEX('Raw Data'!AC:AC,MATCH($B62,'Raw Data'!$C:$C,0)),"")</f>
        <v>Dumper</v>
      </c>
      <c r="B62" s="7" t="s">
        <v>123</v>
      </c>
      <c r="C62" s="10">
        <f>IFERROR(INDEX('Raw Data'!D:D,MATCH($B62,'Raw Data'!$C:$C,0)),"-")</f>
        <v>744.00080000000003</v>
      </c>
      <c r="D62" s="10">
        <f>IFERROR(INDEX('Raw Data'!E:E,MATCH($B62,'Raw Data'!$C:$C,0)),"-")</f>
        <v>319.30290000000002</v>
      </c>
      <c r="E62" s="10">
        <f>IFERROR(INDEX('Raw Data'!H:H,MATCH($B62,'Raw Data'!$C:$C,0)),"-")</f>
        <v>424.69789999999898</v>
      </c>
      <c r="F62" s="10">
        <f>IFERROR(INDEX('Raw Data'!J:J,MATCH($B62,'Raw Data'!$C:$C,0)),"-")</f>
        <v>45.684699999999999</v>
      </c>
      <c r="G62" s="9">
        <f>IFERROR(INDEX('Raw Data'!O:O,MATCH($B62,'Raw Data'!$C:$C,0)),"-")</f>
        <v>0.42917010300000002</v>
      </c>
      <c r="H62" s="9">
        <f>IFERROR(INDEX('Raw Data'!P:P,MATCH($B62,'Raw Data'!$C:$C,0)),"-")</f>
        <v>0.76063073650000002</v>
      </c>
      <c r="I62" s="15" t="str">
        <f>IFERROR(INDEX('Raw Data'!AD:AD,MATCH($B62,'Raw Data'!$C:$C,0)),"-")</f>
        <v>Operational</v>
      </c>
    </row>
    <row r="63" spans="1:9" ht="15" customHeight="1" x14ac:dyDescent="0.35">
      <c r="A63" s="16" t="str">
        <f>IFERROR(INDEX('Raw Data'!AC:AC,MATCH($B63,'Raw Data'!$C:$C,0)),"")</f>
        <v>Dumper</v>
      </c>
      <c r="B63" s="11" t="s">
        <v>132</v>
      </c>
      <c r="C63" s="14">
        <f>IFERROR(INDEX('Raw Data'!D:D,MATCH($B63,'Raw Data'!$C:$C,0)),"-")</f>
        <v>744.00099999999998</v>
      </c>
      <c r="D63" s="14">
        <f>IFERROR(INDEX('Raw Data'!E:E,MATCH($B63,'Raw Data'!$C:$C,0)),"-")</f>
        <v>299.50990000000002</v>
      </c>
      <c r="E63" s="14">
        <f>IFERROR(INDEX('Raw Data'!H:H,MATCH($B63,'Raw Data'!$C:$C,0)),"-")</f>
        <v>444.49109999999899</v>
      </c>
      <c r="F63" s="14">
        <f>IFERROR(INDEX('Raw Data'!J:J,MATCH($B63,'Raw Data'!$C:$C,0)),"-")</f>
        <v>37.045499999999997</v>
      </c>
      <c r="G63" s="13">
        <f>IFERROR(INDEX('Raw Data'!O:O,MATCH($B63,'Raw Data'!$C:$C,0)),"-")</f>
        <v>0.40256652879999999</v>
      </c>
      <c r="H63" s="13">
        <f>IFERROR(INDEX('Raw Data'!P:P,MATCH($B63,'Raw Data'!$C:$C,0)),"-")</f>
        <v>0.77477338809999996</v>
      </c>
      <c r="I63" s="16" t="str">
        <f>IFERROR(INDEX('Raw Data'!AD:AD,MATCH($B63,'Raw Data'!$C:$C,0)),"-")</f>
        <v>Operational</v>
      </c>
    </row>
    <row r="64" spans="1:9" ht="15" customHeight="1" x14ac:dyDescent="0.35">
      <c r="A64" s="15" t="str">
        <f>IFERROR(INDEX('Raw Data'!AC:AC,MATCH($B64,'Raw Data'!$C:$C,0)),"")</f>
        <v>Dumper</v>
      </c>
      <c r="B64" s="7" t="s">
        <v>121</v>
      </c>
      <c r="C64" s="10">
        <f>IFERROR(INDEX('Raw Data'!D:D,MATCH($B64,'Raw Data'!$C:$C,0)),"-")</f>
        <v>744</v>
      </c>
      <c r="D64" s="10">
        <f>IFERROR(INDEX('Raw Data'!E:E,MATCH($B64,'Raw Data'!$C:$C,0)),"-")</f>
        <v>296.5446</v>
      </c>
      <c r="E64" s="10">
        <f>IFERROR(INDEX('Raw Data'!H:H,MATCH($B64,'Raw Data'!$C:$C,0)),"-")</f>
        <v>447.45539999999897</v>
      </c>
      <c r="F64" s="10">
        <f>IFERROR(INDEX('Raw Data'!J:J,MATCH($B64,'Raw Data'!$C:$C,0)),"-")</f>
        <v>44.424799999999898</v>
      </c>
      <c r="G64" s="9">
        <f>IFERROR(INDEX('Raw Data'!O:O,MATCH($B64,'Raw Data'!$C:$C,0)),"-")</f>
        <v>0.39858145160000003</v>
      </c>
      <c r="H64" s="9">
        <f>IFERROR(INDEX('Raw Data'!P:P,MATCH($B64,'Raw Data'!$C:$C,0)),"-")</f>
        <v>0.83451966420000001</v>
      </c>
      <c r="I64" s="15" t="str">
        <f>IFERROR(INDEX('Raw Data'!AD:AD,MATCH($B64,'Raw Data'!$C:$C,0)),"-")</f>
        <v>Operational</v>
      </c>
    </row>
    <row r="65" spans="1:9" ht="15" customHeight="1" x14ac:dyDescent="0.35">
      <c r="A65" s="16" t="str">
        <f>IFERROR(INDEX('Raw Data'!AC:AC,MATCH($B65,'Raw Data'!$C:$C,0)),"")</f>
        <v>Dumper</v>
      </c>
      <c r="B65" s="11" t="s">
        <v>126</v>
      </c>
      <c r="C65" s="14">
        <f>IFERROR(INDEX('Raw Data'!D:D,MATCH($B65,'Raw Data'!$C:$C,0)),"-")</f>
        <v>744.00160000000005</v>
      </c>
      <c r="D65" s="14">
        <f>IFERROR(INDEX('Raw Data'!E:E,MATCH($B65,'Raw Data'!$C:$C,0)),"-")</f>
        <v>294.32329999999899</v>
      </c>
      <c r="E65" s="14">
        <f>IFERROR(INDEX('Raw Data'!H:H,MATCH($B65,'Raw Data'!$C:$C,0)),"-")</f>
        <v>449.67829999999998</v>
      </c>
      <c r="F65" s="14">
        <f>IFERROR(INDEX('Raw Data'!J:J,MATCH($B65,'Raw Data'!$C:$C,0)),"-")</f>
        <v>45.6601</v>
      </c>
      <c r="G65" s="13">
        <f>IFERROR(INDEX('Raw Data'!O:O,MATCH($B65,'Raw Data'!$C:$C,0)),"-")</f>
        <v>0.39559498259999998</v>
      </c>
      <c r="H65" s="13">
        <f>IFERROR(INDEX('Raw Data'!P:P,MATCH($B65,'Raw Data'!$C:$C,0)),"-")</f>
        <v>0.8269841362</v>
      </c>
      <c r="I65" s="16" t="str">
        <f>IFERROR(INDEX('Raw Data'!AD:AD,MATCH($B65,'Raw Data'!$C:$C,0)),"-")</f>
        <v>Operational</v>
      </c>
    </row>
    <row r="66" spans="1:9" ht="15" customHeight="1" x14ac:dyDescent="0.35">
      <c r="A66" s="15" t="str">
        <f>IFERROR(INDEX('Raw Data'!AC:AC,MATCH($B66,'Raw Data'!$C:$C,0)),"")</f>
        <v>Dumper</v>
      </c>
      <c r="B66" s="7" t="s">
        <v>104</v>
      </c>
      <c r="C66" s="10">
        <f>IFERROR(INDEX('Raw Data'!D:D,MATCH($B66,'Raw Data'!$C:$C,0)),"-")</f>
        <v>744.00059999999996</v>
      </c>
      <c r="D66" s="10">
        <f>IFERROR(INDEX('Raw Data'!E:E,MATCH($B66,'Raw Data'!$C:$C,0)),"-")</f>
        <v>290.54909999999899</v>
      </c>
      <c r="E66" s="10">
        <f>IFERROR(INDEX('Raw Data'!H:H,MATCH($B66,'Raw Data'!$C:$C,0)),"-")</f>
        <v>453.45150000000001</v>
      </c>
      <c r="F66" s="10">
        <f>IFERROR(INDEX('Raw Data'!J:J,MATCH($B66,'Raw Data'!$C:$C,0)),"-")</f>
        <v>84.051699999999897</v>
      </c>
      <c r="G66" s="9">
        <f>IFERROR(INDEX('Raw Data'!O:O,MATCH($B66,'Raw Data'!$C:$C,0)),"-")</f>
        <v>0.39052266889999998</v>
      </c>
      <c r="H66" s="9">
        <f>IFERROR(INDEX('Raw Data'!P:P,MATCH($B66,'Raw Data'!$C:$C,0)),"-")</f>
        <v>0.71071429919999995</v>
      </c>
      <c r="I66" s="15" t="str">
        <f>IFERROR(INDEX('Raw Data'!AD:AD,MATCH($B66,'Raw Data'!$C:$C,0)),"-")</f>
        <v>Operational</v>
      </c>
    </row>
    <row r="67" spans="1:9" ht="15" customHeight="1" x14ac:dyDescent="0.35">
      <c r="A67" s="16" t="str">
        <f>IFERROR(INDEX('Raw Data'!AC:AC,MATCH($B67,'Raw Data'!$C:$C,0)),"")</f>
        <v>Dumper</v>
      </c>
      <c r="B67" s="11" t="s">
        <v>149</v>
      </c>
      <c r="C67" s="14">
        <f>IFERROR(INDEX('Raw Data'!D:D,MATCH($B67,'Raw Data'!$C:$C,0)),"-")</f>
        <v>744.00070000000005</v>
      </c>
      <c r="D67" s="14">
        <f>IFERROR(INDEX('Raw Data'!E:E,MATCH($B67,'Raw Data'!$C:$C,0)),"-")</f>
        <v>272.43319999999898</v>
      </c>
      <c r="E67" s="14">
        <f>IFERROR(INDEX('Raw Data'!H:H,MATCH($B67,'Raw Data'!$C:$C,0)),"-")</f>
        <v>471.5675</v>
      </c>
      <c r="F67" s="14">
        <f>IFERROR(INDEX('Raw Data'!J:J,MATCH($B67,'Raw Data'!$C:$C,0)),"-")</f>
        <v>31.709399999999899</v>
      </c>
      <c r="G67" s="13">
        <f>IFERROR(INDEX('Raw Data'!O:O,MATCH($B67,'Raw Data'!$C:$C,0)),"-")</f>
        <v>0.36617331139999998</v>
      </c>
      <c r="H67" s="13">
        <f>IFERROR(INDEX('Raw Data'!P:P,MATCH($B67,'Raw Data'!$C:$C,0)),"-")</f>
        <v>0.78254816230000002</v>
      </c>
      <c r="I67" s="16" t="str">
        <f>IFERROR(INDEX('Raw Data'!AD:AD,MATCH($B67,'Raw Data'!$C:$C,0)),"-")</f>
        <v>Operational</v>
      </c>
    </row>
    <row r="68" spans="1:9" ht="15" customHeight="1" x14ac:dyDescent="0.35">
      <c r="A68" s="15" t="str">
        <f>IFERROR(INDEX('Raw Data'!AC:AC,MATCH($B68,'Raw Data'!$C:$C,0)),"")</f>
        <v>Dumper</v>
      </c>
      <c r="B68" s="7" t="s">
        <v>103</v>
      </c>
      <c r="C68" s="10">
        <f>IFERROR(INDEX('Raw Data'!D:D,MATCH($B68,'Raw Data'!$C:$C,0)),"-")</f>
        <v>744.00099999999895</v>
      </c>
      <c r="D68" s="10">
        <f>IFERROR(INDEX('Raw Data'!E:E,MATCH($B68,'Raw Data'!$C:$C,0)),"-")</f>
        <v>265.86769999999899</v>
      </c>
      <c r="E68" s="10">
        <f>IFERROR(INDEX('Raw Data'!H:H,MATCH($B68,'Raw Data'!$C:$C,0)),"-")</f>
        <v>478.133299999999</v>
      </c>
      <c r="F68" s="10">
        <f>IFERROR(INDEX('Raw Data'!J:J,MATCH($B68,'Raw Data'!$C:$C,0)),"-")</f>
        <v>39.1387</v>
      </c>
      <c r="G68" s="9">
        <f>IFERROR(INDEX('Raw Data'!O:O,MATCH($B68,'Raw Data'!$C:$C,0)),"-")</f>
        <v>0.35734857879999998</v>
      </c>
      <c r="H68" s="9">
        <f>IFERROR(INDEX('Raw Data'!P:P,MATCH($B68,'Raw Data'!$C:$C,0)),"-")</f>
        <v>0.8412582649</v>
      </c>
      <c r="I68" s="15" t="str">
        <f>IFERROR(INDEX('Raw Data'!AD:AD,MATCH($B68,'Raw Data'!$C:$C,0)),"-")</f>
        <v>Operational</v>
      </c>
    </row>
    <row r="69" spans="1:9" ht="15" customHeight="1" x14ac:dyDescent="0.35">
      <c r="A69" s="16" t="str">
        <f>IFERROR(INDEX('Raw Data'!AC:AC,MATCH($B69,'Raw Data'!$C:$C,0)),"")</f>
        <v>Dumper</v>
      </c>
      <c r="B69" s="11" t="s">
        <v>124</v>
      </c>
      <c r="C69" s="14">
        <f>IFERROR(INDEX('Raw Data'!D:D,MATCH($B69,'Raw Data'!$C:$C,0)),"-")</f>
        <v>744.00039999999899</v>
      </c>
      <c r="D69" s="14">
        <f>IFERROR(INDEX('Raw Data'!E:E,MATCH($B69,'Raw Data'!$C:$C,0)),"-")</f>
        <v>223.80349999999899</v>
      </c>
      <c r="E69" s="14">
        <f>IFERROR(INDEX('Raw Data'!H:H,MATCH($B69,'Raw Data'!$C:$C,0)),"-")</f>
        <v>520.19690000000003</v>
      </c>
      <c r="F69" s="14">
        <f>IFERROR(INDEX('Raw Data'!J:J,MATCH($B69,'Raw Data'!$C:$C,0)),"-")</f>
        <v>62.339799999999897</v>
      </c>
      <c r="G69" s="13">
        <f>IFERROR(INDEX('Raw Data'!O:O,MATCH($B69,'Raw Data'!$C:$C,0)),"-")</f>
        <v>0.30081099420000001</v>
      </c>
      <c r="H69" s="13">
        <f>IFERROR(INDEX('Raw Data'!P:P,MATCH($B69,'Raw Data'!$C:$C,0)),"-")</f>
        <v>0.70895584739999995</v>
      </c>
      <c r="I69" s="16" t="str">
        <f>IFERROR(INDEX('Raw Data'!AD:AD,MATCH($B69,'Raw Data'!$C:$C,0)),"-")</f>
        <v>Operational</v>
      </c>
    </row>
    <row r="70" spans="1:9" ht="15" customHeight="1" x14ac:dyDescent="0.35">
      <c r="A70" s="15" t="str">
        <f>IFERROR(INDEX('Raw Data'!AC:AC,MATCH($B70,'Raw Data'!$C:$C,0)),"")</f>
        <v>Dumper</v>
      </c>
      <c r="B70" s="7" t="s">
        <v>141</v>
      </c>
      <c r="C70" s="10">
        <f>IFERROR(INDEX('Raw Data'!D:D,MATCH($B70,'Raw Data'!$C:$C,0)),"-")</f>
        <v>744.00019999999995</v>
      </c>
      <c r="D70" s="10">
        <f>IFERROR(INDEX('Raw Data'!E:E,MATCH($B70,'Raw Data'!$C:$C,0)),"-")</f>
        <v>199.97710000000001</v>
      </c>
      <c r="E70" s="10">
        <f>IFERROR(INDEX('Raw Data'!H:H,MATCH($B70,'Raw Data'!$C:$C,0)),"-")</f>
        <v>544.0231</v>
      </c>
      <c r="F70" s="10">
        <f>IFERROR(INDEX('Raw Data'!J:J,MATCH($B70,'Raw Data'!$C:$C,0)),"-")</f>
        <v>45.533499999999997</v>
      </c>
      <c r="G70" s="9">
        <f>IFERROR(INDEX('Raw Data'!O:O,MATCH($B70,'Raw Data'!$C:$C,0)),"-")</f>
        <v>0.26878635249999999</v>
      </c>
      <c r="H70" s="9">
        <f>IFERROR(INDEX('Raw Data'!P:P,MATCH($B70,'Raw Data'!$C:$C,0)),"-")</f>
        <v>0.75514246380000005</v>
      </c>
      <c r="I70" s="15" t="str">
        <f>IFERROR(INDEX('Raw Data'!AD:AD,MATCH($B70,'Raw Data'!$C:$C,0)),"-")</f>
        <v>Operational</v>
      </c>
    </row>
    <row r="71" spans="1:9" ht="15" customHeight="1" x14ac:dyDescent="0.35">
      <c r="A71" s="16" t="str">
        <f>IFERROR(INDEX('Raw Data'!AC:AC,MATCH($B71,'Raw Data'!$C:$C,0)),"")</f>
        <v>Dumper</v>
      </c>
      <c r="B71" s="11" t="s">
        <v>125</v>
      </c>
      <c r="C71" s="14">
        <f>IFERROR(INDEX('Raw Data'!D:D,MATCH($B71,'Raw Data'!$C:$C,0)),"-")</f>
        <v>744.00139999999897</v>
      </c>
      <c r="D71" s="14">
        <f>IFERROR(INDEX('Raw Data'!E:E,MATCH($B71,'Raw Data'!$C:$C,0)),"-")</f>
        <v>196.462099999999</v>
      </c>
      <c r="E71" s="14">
        <f>IFERROR(INDEX('Raw Data'!H:H,MATCH($B71,'Raw Data'!$C:$C,0)),"-")</f>
        <v>547.539299999999</v>
      </c>
      <c r="F71" s="14">
        <f>IFERROR(INDEX('Raw Data'!J:J,MATCH($B71,'Raw Data'!$C:$C,0)),"-")</f>
        <v>45.348100000000002</v>
      </c>
      <c r="G71" s="13">
        <f>IFERROR(INDEX('Raw Data'!O:O,MATCH($B71,'Raw Data'!$C:$C,0)),"-")</f>
        <v>0.26406146549999998</v>
      </c>
      <c r="H71" s="13">
        <f>IFERROR(INDEX('Raw Data'!P:P,MATCH($B71,'Raw Data'!$C:$C,0)),"-")</f>
        <v>0.6335649471</v>
      </c>
      <c r="I71" s="16" t="str">
        <f>IFERROR(INDEX('Raw Data'!AD:AD,MATCH($B71,'Raw Data'!$C:$C,0)),"-")</f>
        <v>Operational</v>
      </c>
    </row>
    <row r="72" spans="1:9" ht="15" customHeight="1" x14ac:dyDescent="0.35">
      <c r="A72" s="15" t="str">
        <f>IFERROR(INDEX('Raw Data'!AC:AC,MATCH($B72,'Raw Data'!$C:$C,0)),"")</f>
        <v>Dumper</v>
      </c>
      <c r="B72" s="7" t="s">
        <v>114</v>
      </c>
      <c r="C72" s="10">
        <f>IFERROR(INDEX('Raw Data'!D:D,MATCH($B72,'Raw Data'!$C:$C,0)),"-")</f>
        <v>738.04569999999899</v>
      </c>
      <c r="D72" s="10">
        <f>IFERROR(INDEX('Raw Data'!E:E,MATCH($B72,'Raw Data'!$C:$C,0)),"-")</f>
        <v>180.19980000000001</v>
      </c>
      <c r="E72" s="10">
        <f>IFERROR(INDEX('Raw Data'!H:H,MATCH($B72,'Raw Data'!$C:$C,0)),"-")</f>
        <v>557.84589999999901</v>
      </c>
      <c r="F72" s="10">
        <f>IFERROR(INDEX('Raw Data'!J:J,MATCH($B72,'Raw Data'!$C:$C,0)),"-")</f>
        <v>60.1098</v>
      </c>
      <c r="G72" s="9">
        <f>IFERROR(INDEX('Raw Data'!O:O,MATCH($B72,'Raw Data'!$C:$C,0)),"-")</f>
        <v>0.2441580515</v>
      </c>
      <c r="H72" s="9">
        <f>IFERROR(INDEX('Raw Data'!P:P,MATCH($B72,'Raw Data'!$C:$C,0)),"-")</f>
        <v>0.64915776820000004</v>
      </c>
      <c r="I72" s="15" t="str">
        <f>IFERROR(INDEX('Raw Data'!AD:AD,MATCH($B72,'Raw Data'!$C:$C,0)),"-")</f>
        <v>Operational</v>
      </c>
    </row>
    <row r="73" spans="1:9" ht="15" customHeight="1" x14ac:dyDescent="0.35">
      <c r="A73" s="16" t="str">
        <f>IFERROR(INDEX('Raw Data'!AC:AC,MATCH($B73,'Raw Data'!$C:$C,0)),"")</f>
        <v>Dumper</v>
      </c>
      <c r="B73" s="11" t="s">
        <v>138</v>
      </c>
      <c r="C73" s="14">
        <f>IFERROR(INDEX('Raw Data'!D:D,MATCH($B73,'Raw Data'!$C:$C,0)),"-")</f>
        <v>743.99959999999999</v>
      </c>
      <c r="D73" s="14">
        <f>IFERROR(INDEX('Raw Data'!E:E,MATCH($B73,'Raw Data'!$C:$C,0)),"-")</f>
        <v>179.33099999999999</v>
      </c>
      <c r="E73" s="14">
        <f>IFERROR(INDEX('Raw Data'!H:H,MATCH($B73,'Raw Data'!$C:$C,0)),"-")</f>
        <v>564.66859999999997</v>
      </c>
      <c r="F73" s="14">
        <f>IFERROR(INDEX('Raw Data'!J:J,MATCH($B73,'Raw Data'!$C:$C,0)),"-")</f>
        <v>24.373299999999901</v>
      </c>
      <c r="G73" s="13">
        <f>IFERROR(INDEX('Raw Data'!O:O,MATCH($B73,'Raw Data'!$C:$C,0)),"-")</f>
        <v>0.24103641989999999</v>
      </c>
      <c r="H73" s="13">
        <f>IFERROR(INDEX('Raw Data'!P:P,MATCH($B73,'Raw Data'!$C:$C,0)),"-")</f>
        <v>0.85292559570000004</v>
      </c>
      <c r="I73" s="16" t="str">
        <f>IFERROR(INDEX('Raw Data'!AD:AD,MATCH($B73,'Raw Data'!$C:$C,0)),"-")</f>
        <v>Operational</v>
      </c>
    </row>
    <row r="74" spans="1:9" ht="15" customHeight="1" x14ac:dyDescent="0.35">
      <c r="A74" s="15" t="str">
        <f>IFERROR(INDEX('Raw Data'!AC:AC,MATCH($B74,'Raw Data'!$C:$C,0)),"")</f>
        <v>Dumper</v>
      </c>
      <c r="B74" s="7" t="s">
        <v>108</v>
      </c>
      <c r="C74" s="10">
        <f>IFERROR(INDEX('Raw Data'!D:D,MATCH($B74,'Raw Data'!$C:$C,0)),"-")</f>
        <v>744.00009999999997</v>
      </c>
      <c r="D74" s="10">
        <f>IFERROR(INDEX('Raw Data'!E:E,MATCH($B74,'Raw Data'!$C:$C,0)),"-")</f>
        <v>148.86419999999899</v>
      </c>
      <c r="E74" s="10">
        <f>IFERROR(INDEX('Raw Data'!H:H,MATCH($B74,'Raw Data'!$C:$C,0)),"-")</f>
        <v>595.13589999999999</v>
      </c>
      <c r="F74" s="10">
        <f>IFERROR(INDEX('Raw Data'!J:J,MATCH($B74,'Raw Data'!$C:$C,0)),"-")</f>
        <v>41.353999999999999</v>
      </c>
      <c r="G74" s="9">
        <f>IFERROR(INDEX('Raw Data'!O:O,MATCH($B74,'Raw Data'!$C:$C,0)),"-")</f>
        <v>0.20008626339999999</v>
      </c>
      <c r="H74" s="9">
        <f>IFERROR(INDEX('Raw Data'!P:P,MATCH($B74,'Raw Data'!$C:$C,0)),"-")</f>
        <v>0.7029641781</v>
      </c>
      <c r="I74" s="15" t="str">
        <f>IFERROR(INDEX('Raw Data'!AD:AD,MATCH($B74,'Raw Data'!$C:$C,0)),"-")</f>
        <v>Operational</v>
      </c>
    </row>
    <row r="75" spans="1:9" ht="15" customHeight="1" x14ac:dyDescent="0.35">
      <c r="A75" s="16" t="str">
        <f>IFERROR(INDEX('Raw Data'!AC:AC,MATCH($B75,'Raw Data'!$C:$C,0)),"")</f>
        <v>Dumper</v>
      </c>
      <c r="B75" s="11" t="s">
        <v>118</v>
      </c>
      <c r="C75" s="14">
        <f>IFERROR(INDEX('Raw Data'!D:D,MATCH($B75,'Raw Data'!$C:$C,0)),"-")</f>
        <v>744.00009999999895</v>
      </c>
      <c r="D75" s="14">
        <f>IFERROR(INDEX('Raw Data'!E:E,MATCH($B75,'Raw Data'!$C:$C,0)),"-")</f>
        <v>86.816599999999994</v>
      </c>
      <c r="E75" s="14">
        <f>IFERROR(INDEX('Raw Data'!H:H,MATCH($B75,'Raw Data'!$C:$C,0)),"-")</f>
        <v>657.18349999999896</v>
      </c>
      <c r="F75" s="14">
        <f>IFERROR(INDEX('Raw Data'!J:J,MATCH($B75,'Raw Data'!$C:$C,0)),"-")</f>
        <v>35.350700000000003</v>
      </c>
      <c r="G75" s="13">
        <f>IFERROR(INDEX('Raw Data'!O:O,MATCH($B75,'Raw Data'!$C:$C,0)),"-")</f>
        <v>0.1166889628</v>
      </c>
      <c r="H75" s="13">
        <f>IFERROR(INDEX('Raw Data'!P:P,MATCH($B75,'Raw Data'!$C:$C,0)),"-")</f>
        <v>0.57346751659999995</v>
      </c>
      <c r="I75" s="16" t="str">
        <f>IFERROR(INDEX('Raw Data'!AD:AD,MATCH($B75,'Raw Data'!$C:$C,0)),"-")</f>
        <v>Operational</v>
      </c>
    </row>
    <row r="76" spans="1:9" ht="15" customHeight="1" x14ac:dyDescent="0.35">
      <c r="A76" s="15" t="str">
        <f>IFERROR(INDEX('Raw Data'!AC:AC,MATCH($B76,'Raw Data'!$C:$C,0)),"")</f>
        <v>Dumper</v>
      </c>
      <c r="B76" s="7" t="s">
        <v>120</v>
      </c>
      <c r="C76" s="10">
        <f>IFERROR(INDEX('Raw Data'!D:D,MATCH($B76,'Raw Data'!$C:$C,0)),"-")</f>
        <v>744.000799999999</v>
      </c>
      <c r="D76" s="10">
        <f>IFERROR(INDEX('Raw Data'!E:E,MATCH($B76,'Raw Data'!$C:$C,0)),"-")</f>
        <v>75.519099999999995</v>
      </c>
      <c r="E76" s="10">
        <f>IFERROR(INDEX('Raw Data'!H:H,MATCH($B76,'Raw Data'!$C:$C,0)),"-")</f>
        <v>668.48169999999902</v>
      </c>
      <c r="F76" s="10">
        <f>IFERROR(INDEX('Raw Data'!J:J,MATCH($B76,'Raw Data'!$C:$C,0)),"-")</f>
        <v>13.1874</v>
      </c>
      <c r="G76" s="9">
        <f>IFERROR(INDEX('Raw Data'!O:O,MATCH($B76,'Raw Data'!$C:$C,0)),"-")</f>
        <v>0.10150405749999999</v>
      </c>
      <c r="H76" s="9">
        <f>IFERROR(INDEX('Raw Data'!P:P,MATCH($B76,'Raw Data'!$C:$C,0)),"-")</f>
        <v>0.78434197439999997</v>
      </c>
      <c r="I76" s="15" t="str">
        <f>IFERROR(INDEX('Raw Data'!AD:AD,MATCH($B76,'Raw Data'!$C:$C,0)),"-")</f>
        <v>Operational</v>
      </c>
    </row>
    <row r="77" spans="1:9" ht="15" customHeight="1" x14ac:dyDescent="0.35">
      <c r="A77" s="16" t="str">
        <f>IFERROR(INDEX('Raw Data'!AC:AC,MATCH($B77,'Raw Data'!$C:$C,0)),"")</f>
        <v>Dumper</v>
      </c>
      <c r="B77" s="11" t="s">
        <v>119</v>
      </c>
      <c r="C77" s="14">
        <f>IFERROR(INDEX('Raw Data'!D:D,MATCH($B77,'Raw Data'!$C:$C,0)),"-")</f>
        <v>744.00059999999905</v>
      </c>
      <c r="D77" s="14">
        <f>IFERROR(INDEX('Raw Data'!E:E,MATCH($B77,'Raw Data'!$C:$C,0)),"-")</f>
        <v>21.3626</v>
      </c>
      <c r="E77" s="14">
        <f>IFERROR(INDEX('Raw Data'!H:H,MATCH($B77,'Raw Data'!$C:$C,0)),"-")</f>
        <v>722.63799999999901</v>
      </c>
      <c r="F77" s="14">
        <f>IFERROR(INDEX('Raw Data'!J:J,MATCH($B77,'Raw Data'!$C:$C,0)),"-")</f>
        <v>5.8335999999999997</v>
      </c>
      <c r="G77" s="13">
        <f>IFERROR(INDEX('Raw Data'!O:O,MATCH($B77,'Raw Data'!$C:$C,0)),"-")</f>
        <v>2.8713148899999999E-2</v>
      </c>
      <c r="H77" s="13">
        <f>IFERROR(INDEX('Raw Data'!P:P,MATCH($B77,'Raw Data'!$C:$C,0)),"-")</f>
        <v>0.70144551690000001</v>
      </c>
      <c r="I77" s="16" t="str">
        <f>IFERROR(INDEX('Raw Data'!AD:AD,MATCH($B77,'Raw Data'!$C:$C,0)),"-")</f>
        <v>Operational</v>
      </c>
    </row>
    <row r="78" spans="1:9" ht="15" customHeight="1" x14ac:dyDescent="0.35">
      <c r="A78" s="15" t="str">
        <f>IFERROR(INDEX('Raw Data'!AC:AC,MATCH($B78,'Raw Data'!$C:$C,0)),"")</f>
        <v>Dumper</v>
      </c>
      <c r="B78" s="7" t="s">
        <v>117</v>
      </c>
      <c r="C78" s="10">
        <f>IFERROR(INDEX('Raw Data'!D:D,MATCH($B78,'Raw Data'!$C:$C,0)),"-")</f>
        <v>744</v>
      </c>
      <c r="D78" s="10">
        <f>IFERROR(INDEX('Raw Data'!E:E,MATCH($B78,'Raw Data'!$C:$C,0)),"-")</f>
        <v>11.939500000000001</v>
      </c>
      <c r="E78" s="10">
        <f>IFERROR(INDEX('Raw Data'!H:H,MATCH($B78,'Raw Data'!$C:$C,0)),"-")</f>
        <v>732.06050000000005</v>
      </c>
      <c r="F78" s="10">
        <f>IFERROR(INDEX('Raw Data'!J:J,MATCH($B78,'Raw Data'!$C:$C,0)),"-")</f>
        <v>1.675</v>
      </c>
      <c r="G78" s="9">
        <f>IFERROR(INDEX('Raw Data'!O:O,MATCH($B78,'Raw Data'!$C:$C,0)),"-")</f>
        <v>1.6047715099999998E-2</v>
      </c>
      <c r="H78" s="9">
        <f>IFERROR(INDEX('Raw Data'!P:P,MATCH($B78,'Raw Data'!$C:$C,0)),"-")</f>
        <v>0.82994262740000002</v>
      </c>
      <c r="I78" s="15" t="str">
        <f>IFERROR(INDEX('Raw Data'!AD:AD,MATCH($B78,'Raw Data'!$C:$C,0)),"-")</f>
        <v>Operational</v>
      </c>
    </row>
    <row r="79" spans="1:9" ht="15" customHeight="1" x14ac:dyDescent="0.35">
      <c r="A79" s="16" t="str">
        <f>IFERROR(INDEX('Raw Data'!AC:AC,MATCH($B79,'Raw Data'!$C:$C,0)),"")</f>
        <v>Dumper</v>
      </c>
      <c r="B79" s="11" t="s">
        <v>179</v>
      </c>
      <c r="C79" s="14">
        <f>IFERROR(INDEX('Raw Data'!D:D,MATCH($B79,'Raw Data'!$C:$C,0)),"-")</f>
        <v>744</v>
      </c>
      <c r="D79" s="14">
        <f>IFERROR(INDEX('Raw Data'!E:E,MATCH($B79,'Raw Data'!$C:$C,0)),"-")</f>
        <v>1.1863999999999999</v>
      </c>
      <c r="E79" s="14">
        <f>IFERROR(INDEX('Raw Data'!H:H,MATCH($B79,'Raw Data'!$C:$C,0)),"-")</f>
        <v>742.81359999999995</v>
      </c>
      <c r="F79" s="14">
        <f>IFERROR(INDEX('Raw Data'!J:J,MATCH($B79,'Raw Data'!$C:$C,0)),"-")</f>
        <v>0</v>
      </c>
      <c r="G79" s="13">
        <f>IFERROR(INDEX('Raw Data'!O:O,MATCH($B79,'Raw Data'!$C:$C,0)),"-")</f>
        <v>1.5946236999999999E-3</v>
      </c>
      <c r="H79" s="13">
        <f>IFERROR(INDEX('Raw Data'!P:P,MATCH($B79,'Raw Data'!$C:$C,0)),"-")</f>
        <v>0.98019217800000003</v>
      </c>
      <c r="I79" s="16" t="str">
        <f>IFERROR(INDEX('Raw Data'!AD:AD,MATCH($B79,'Raw Data'!$C:$C,0)),"-")</f>
        <v>Operational</v>
      </c>
    </row>
    <row r="80" spans="1:9" ht="15" customHeight="1" x14ac:dyDescent="0.35">
      <c r="A80" s="15" t="str">
        <f>IFERROR(INDEX('Raw Data'!AC:AC,MATCH($B80,'Raw Data'!$C:$C,0)),"")</f>
        <v>Dumper</v>
      </c>
      <c r="B80" s="7" t="s">
        <v>113</v>
      </c>
      <c r="C80" s="10">
        <f>IFERROR(INDEX('Raw Data'!D:D,MATCH($B80,'Raw Data'!$C:$C,0)),"-")</f>
        <v>744</v>
      </c>
      <c r="D80" s="10">
        <f>IFERROR(INDEX('Raw Data'!E:E,MATCH($B80,'Raw Data'!$C:$C,0)),"-")</f>
        <v>0</v>
      </c>
      <c r="E80" s="10">
        <f>IFERROR(INDEX('Raw Data'!H:H,MATCH($B80,'Raw Data'!$C:$C,0)),"-")</f>
        <v>744</v>
      </c>
      <c r="F80" s="10">
        <f>IFERROR(INDEX('Raw Data'!J:J,MATCH($B80,'Raw Data'!$C:$C,0)),"-")</f>
        <v>0</v>
      </c>
      <c r="G80" s="9">
        <f>IFERROR(INDEX('Raw Data'!O:O,MATCH($B80,'Raw Data'!$C:$C,0)),"-")</f>
        <v>0</v>
      </c>
      <c r="H80" s="9">
        <f>IFERROR(INDEX('Raw Data'!P:P,MATCH($B80,'Raw Data'!$C:$C,0)),"-")</f>
        <v>0</v>
      </c>
      <c r="I80" s="15" t="str">
        <f>IFERROR(INDEX('Raw Data'!AD:AD,MATCH($B80,'Raw Data'!$C:$C,0)),"-")</f>
        <v>Non-Operational</v>
      </c>
    </row>
    <row r="81" spans="1:9" ht="15" customHeight="1" x14ac:dyDescent="0.35">
      <c r="A81" s="16" t="str">
        <f>IFERROR(INDEX('Raw Data'!AC:AC,MATCH($B81,'Raw Data'!$C:$C,0)),"")</f>
        <v>Dumper</v>
      </c>
      <c r="B81" s="11" t="s">
        <v>122</v>
      </c>
      <c r="C81" s="14">
        <f>IFERROR(INDEX('Raw Data'!D:D,MATCH($B81,'Raw Data'!$C:$C,0)),"-")</f>
        <v>744</v>
      </c>
      <c r="D81" s="14">
        <f>IFERROR(INDEX('Raw Data'!E:E,MATCH($B81,'Raw Data'!$C:$C,0)),"-")</f>
        <v>0</v>
      </c>
      <c r="E81" s="14">
        <f>IFERROR(INDEX('Raw Data'!H:H,MATCH($B81,'Raw Data'!$C:$C,0)),"-")</f>
        <v>744</v>
      </c>
      <c r="F81" s="14">
        <f>IFERROR(INDEX('Raw Data'!J:J,MATCH($B81,'Raw Data'!$C:$C,0)),"-")</f>
        <v>0</v>
      </c>
      <c r="G81" s="13">
        <f>IFERROR(INDEX('Raw Data'!O:O,MATCH($B81,'Raw Data'!$C:$C,0)),"-")</f>
        <v>0</v>
      </c>
      <c r="H81" s="13">
        <f>IFERROR(INDEX('Raw Data'!P:P,MATCH($B81,'Raw Data'!$C:$C,0)),"-")</f>
        <v>0</v>
      </c>
      <c r="I81" s="16" t="str">
        <f>IFERROR(INDEX('Raw Data'!AD:AD,MATCH($B81,'Raw Data'!$C:$C,0)),"-")</f>
        <v>Non-Operational</v>
      </c>
    </row>
    <row r="82" spans="1:9" ht="15" customHeight="1" x14ac:dyDescent="0.35">
      <c r="A82" s="15" t="str">
        <f>IFERROR(INDEX('Raw Data'!AC:AC,MATCH($B82,'Raw Data'!$C:$C,0)),"")</f>
        <v>Dumper</v>
      </c>
      <c r="B82" s="7" t="s">
        <v>176</v>
      </c>
      <c r="C82" s="10">
        <f>IFERROR(INDEX('Raw Data'!D:D,MATCH($B82,'Raw Data'!$C:$C,0)),"-")</f>
        <v>744</v>
      </c>
      <c r="D82" s="10">
        <f>IFERROR(INDEX('Raw Data'!E:E,MATCH($B82,'Raw Data'!$C:$C,0)),"-")</f>
        <v>0</v>
      </c>
      <c r="E82" s="10">
        <f>IFERROR(INDEX('Raw Data'!H:H,MATCH($B82,'Raw Data'!$C:$C,0)),"-")</f>
        <v>744</v>
      </c>
      <c r="F82" s="10">
        <f>IFERROR(INDEX('Raw Data'!J:J,MATCH($B82,'Raw Data'!$C:$C,0)),"-")</f>
        <v>0</v>
      </c>
      <c r="G82" s="9">
        <f>IFERROR(INDEX('Raw Data'!O:O,MATCH($B82,'Raw Data'!$C:$C,0)),"-")</f>
        <v>0</v>
      </c>
      <c r="H82" s="9">
        <f>IFERROR(INDEX('Raw Data'!P:P,MATCH($B82,'Raw Data'!$C:$C,0)),"-")</f>
        <v>0</v>
      </c>
      <c r="I82" s="15" t="str">
        <f>IFERROR(INDEX('Raw Data'!AD:AD,MATCH($B82,'Raw Data'!$C:$C,0)),"-")</f>
        <v>Non-Operational</v>
      </c>
    </row>
    <row r="83" spans="1:9" ht="18" customHeight="1" x14ac:dyDescent="0.35">
      <c r="A83" s="72" t="s">
        <v>278</v>
      </c>
      <c r="B83" s="72"/>
      <c r="C83" s="72"/>
      <c r="D83" s="72"/>
      <c r="E83" s="72"/>
      <c r="F83" s="72"/>
      <c r="G83" s="72"/>
      <c r="H83" s="72"/>
      <c r="I83" s="72"/>
    </row>
    <row r="84" spans="1:9" ht="15" customHeight="1" x14ac:dyDescent="0.35">
      <c r="A84" s="15" t="str">
        <f>IFERROR(INDEX('Raw Data'!AC:AC,MATCH($B84,'Raw Data'!$C:$C,0)),"")</f>
        <v>Excavator</v>
      </c>
      <c r="B84" s="7" t="s">
        <v>206</v>
      </c>
      <c r="C84" s="10">
        <f>IFERROR(INDEX('Raw Data'!D:D,MATCH($B84,'Raw Data'!$C:$C,0)),"-")</f>
        <v>744.00009999999895</v>
      </c>
      <c r="D84" s="10">
        <f>IFERROR(INDEX('Raw Data'!E:E,MATCH($B84,'Raw Data'!$C:$C,0)),"-")</f>
        <v>643.35509999999897</v>
      </c>
      <c r="E84" s="10">
        <f>IFERROR(INDEX('Raw Data'!H:H,MATCH($B84,'Raw Data'!$C:$C,0)),"-")</f>
        <v>100.645</v>
      </c>
      <c r="F84" s="10">
        <f>IFERROR(INDEX('Raw Data'!J:J,MATCH($B84,'Raw Data'!$C:$C,0)),"-")</f>
        <v>22.8507</v>
      </c>
      <c r="G84" s="9">
        <f>IFERROR(INDEX('Raw Data'!O:O,MATCH($B84,'Raw Data'!$C:$C,0)),"-")</f>
        <v>0.86472448049999995</v>
      </c>
      <c r="H84" s="9">
        <f>IFERROR(INDEX('Raw Data'!P:P,MATCH($B84,'Raw Data'!$C:$C,0)),"-")</f>
        <v>0.91343785099999997</v>
      </c>
      <c r="I84" s="15" t="str">
        <f>IFERROR(INDEX('Raw Data'!AD:AD,MATCH($B84,'Raw Data'!$C:$C,0)),"-")</f>
        <v>Operational</v>
      </c>
    </row>
    <row r="85" spans="1:9" ht="15" customHeight="1" x14ac:dyDescent="0.35">
      <c r="A85" s="16" t="str">
        <f>IFERROR(INDEX('Raw Data'!AC:AC,MATCH($B85,'Raw Data'!$C:$C,0)),"")</f>
        <v>Excavator</v>
      </c>
      <c r="B85" s="11" t="s">
        <v>211</v>
      </c>
      <c r="C85" s="14">
        <f>IFERROR(INDEX('Raw Data'!D:D,MATCH($B85,'Raw Data'!$C:$C,0)),"-")</f>
        <v>744.00009999999997</v>
      </c>
      <c r="D85" s="14">
        <f>IFERROR(INDEX('Raw Data'!E:E,MATCH($B85,'Raw Data'!$C:$C,0)),"-")</f>
        <v>636.42069999999899</v>
      </c>
      <c r="E85" s="14">
        <f>IFERROR(INDEX('Raw Data'!H:H,MATCH($B85,'Raw Data'!$C:$C,0)),"-")</f>
        <v>107.57940000000001</v>
      </c>
      <c r="F85" s="14">
        <f>IFERROR(INDEX('Raw Data'!J:J,MATCH($B85,'Raw Data'!$C:$C,0)),"-")</f>
        <v>33.739399999999897</v>
      </c>
      <c r="G85" s="13">
        <f>IFERROR(INDEX('Raw Data'!O:O,MATCH($B85,'Raw Data'!$C:$C,0)),"-")</f>
        <v>0.8554040517</v>
      </c>
      <c r="H85" s="13">
        <f>IFERROR(INDEX('Raw Data'!P:P,MATCH($B85,'Raw Data'!$C:$C,0)),"-")</f>
        <v>0.87494875640000003</v>
      </c>
      <c r="I85" s="16" t="str">
        <f>IFERROR(INDEX('Raw Data'!AD:AD,MATCH($B85,'Raw Data'!$C:$C,0)),"-")</f>
        <v>Operational</v>
      </c>
    </row>
    <row r="86" spans="1:9" ht="15" customHeight="1" x14ac:dyDescent="0.35">
      <c r="A86" s="15" t="str">
        <f>IFERROR(INDEX('Raw Data'!AC:AC,MATCH($B86,'Raw Data'!$C:$C,0)),"")</f>
        <v>Excavator</v>
      </c>
      <c r="B86" s="7" t="s">
        <v>215</v>
      </c>
      <c r="C86" s="10">
        <f>IFERROR(INDEX('Raw Data'!D:D,MATCH($B86,'Raw Data'!$C:$C,0)),"-")</f>
        <v>743.999899999999</v>
      </c>
      <c r="D86" s="10">
        <f>IFERROR(INDEX('Raw Data'!E:E,MATCH($B86,'Raw Data'!$C:$C,0)),"-")</f>
        <v>629.844999999999</v>
      </c>
      <c r="E86" s="10">
        <f>IFERROR(INDEX('Raw Data'!H:H,MATCH($B86,'Raw Data'!$C:$C,0)),"-")</f>
        <v>114.1549</v>
      </c>
      <c r="F86" s="10">
        <f>IFERROR(INDEX('Raw Data'!J:J,MATCH($B86,'Raw Data'!$C:$C,0)),"-")</f>
        <v>77.185199999999995</v>
      </c>
      <c r="G86" s="9">
        <f>IFERROR(INDEX('Raw Data'!O:O,MATCH($B86,'Raw Data'!$C:$C,0)),"-")</f>
        <v>0.846565974</v>
      </c>
      <c r="H86" s="9">
        <f>IFERROR(INDEX('Raw Data'!P:P,MATCH($B86,'Raw Data'!$C:$C,0)),"-")</f>
        <v>0.80887662839999996</v>
      </c>
      <c r="I86" s="15" t="str">
        <f>IFERROR(INDEX('Raw Data'!AD:AD,MATCH($B86,'Raw Data'!$C:$C,0)),"-")</f>
        <v>Operational</v>
      </c>
    </row>
    <row r="87" spans="1:9" ht="15" customHeight="1" x14ac:dyDescent="0.35">
      <c r="A87" s="16" t="str">
        <f>IFERROR(INDEX('Raw Data'!AC:AC,MATCH($B87,'Raw Data'!$C:$C,0)),"")</f>
        <v>Excavator</v>
      </c>
      <c r="B87" s="11" t="s">
        <v>209</v>
      </c>
      <c r="C87" s="14">
        <f>IFERROR(INDEX('Raw Data'!D:D,MATCH($B87,'Raw Data'!$C:$C,0)),"-")</f>
        <v>743.99990000000003</v>
      </c>
      <c r="D87" s="14">
        <f>IFERROR(INDEX('Raw Data'!E:E,MATCH($B87,'Raw Data'!$C:$C,0)),"-")</f>
        <v>621.36369999999999</v>
      </c>
      <c r="E87" s="14">
        <f>IFERROR(INDEX('Raw Data'!H:H,MATCH($B87,'Raw Data'!$C:$C,0)),"-")</f>
        <v>122.6362</v>
      </c>
      <c r="F87" s="14">
        <f>IFERROR(INDEX('Raw Data'!J:J,MATCH($B87,'Raw Data'!$C:$C,0)),"-")</f>
        <v>27.663099999999901</v>
      </c>
      <c r="G87" s="13">
        <f>IFERROR(INDEX('Raw Data'!O:O,MATCH($B87,'Raw Data'!$C:$C,0)),"-")</f>
        <v>0.83516637569999996</v>
      </c>
      <c r="H87" s="13">
        <f>IFERROR(INDEX('Raw Data'!P:P,MATCH($B87,'Raw Data'!$C:$C,0)),"-")</f>
        <v>0.88262397690000005</v>
      </c>
      <c r="I87" s="16" t="str">
        <f>IFERROR(INDEX('Raw Data'!AD:AD,MATCH($B87,'Raw Data'!$C:$C,0)),"-")</f>
        <v>Operational</v>
      </c>
    </row>
    <row r="88" spans="1:9" ht="15" customHeight="1" x14ac:dyDescent="0.35">
      <c r="A88" s="15" t="str">
        <f>IFERROR(INDEX('Raw Data'!AC:AC,MATCH($B88,'Raw Data'!$C:$C,0)),"")</f>
        <v>Excavator</v>
      </c>
      <c r="B88" s="7" t="s">
        <v>200</v>
      </c>
      <c r="C88" s="10">
        <f>IFERROR(INDEX('Raw Data'!D:D,MATCH($B88,'Raw Data'!$C:$C,0)),"-")</f>
        <v>743.99990000000003</v>
      </c>
      <c r="D88" s="10">
        <f>IFERROR(INDEX('Raw Data'!E:E,MATCH($B88,'Raw Data'!$C:$C,0)),"-")</f>
        <v>616.4307</v>
      </c>
      <c r="E88" s="10">
        <f>IFERROR(INDEX('Raw Data'!H:H,MATCH($B88,'Raw Data'!$C:$C,0)),"-")</f>
        <v>127.5692</v>
      </c>
      <c r="F88" s="10">
        <f>IFERROR(INDEX('Raw Data'!J:J,MATCH($B88,'Raw Data'!$C:$C,0)),"-")</f>
        <v>78.185500000000005</v>
      </c>
      <c r="G88" s="9">
        <f>IFERROR(INDEX('Raw Data'!O:O,MATCH($B88,'Raw Data'!$C:$C,0)),"-")</f>
        <v>0.82853599850000004</v>
      </c>
      <c r="H88" s="9">
        <f>IFERROR(INDEX('Raw Data'!P:P,MATCH($B88,'Raw Data'!$C:$C,0)),"-")</f>
        <v>0.84501145060000005</v>
      </c>
      <c r="I88" s="15" t="str">
        <f>IFERROR(INDEX('Raw Data'!AD:AD,MATCH($B88,'Raw Data'!$C:$C,0)),"-")</f>
        <v>Operational</v>
      </c>
    </row>
    <row r="89" spans="1:9" ht="15" customHeight="1" x14ac:dyDescent="0.35">
      <c r="A89" s="16" t="str">
        <f>IFERROR(INDEX('Raw Data'!AC:AC,MATCH($B89,'Raw Data'!$C:$C,0)),"")</f>
        <v>Excavator</v>
      </c>
      <c r="B89" s="11" t="s">
        <v>212</v>
      </c>
      <c r="C89" s="14">
        <f>IFERROR(INDEX('Raw Data'!D:D,MATCH($B89,'Raw Data'!$C:$C,0)),"-")</f>
        <v>744.00009999999997</v>
      </c>
      <c r="D89" s="14">
        <f>IFERROR(INDEX('Raw Data'!E:E,MATCH($B89,'Raw Data'!$C:$C,0)),"-")</f>
        <v>612.702</v>
      </c>
      <c r="E89" s="14">
        <f>IFERROR(INDEX('Raw Data'!H:H,MATCH($B89,'Raw Data'!$C:$C,0)),"-")</f>
        <v>131.29810000000001</v>
      </c>
      <c r="F89" s="14">
        <f>IFERROR(INDEX('Raw Data'!J:J,MATCH($B89,'Raw Data'!$C:$C,0)),"-")</f>
        <v>53.497099999999897</v>
      </c>
      <c r="G89" s="13">
        <f>IFERROR(INDEX('Raw Data'!O:O,MATCH($B89,'Raw Data'!$C:$C,0)),"-")</f>
        <v>0.82352408290000001</v>
      </c>
      <c r="H89" s="13">
        <f>IFERROR(INDEX('Raw Data'!P:P,MATCH($B89,'Raw Data'!$C:$C,0)),"-")</f>
        <v>0.8836804842</v>
      </c>
      <c r="I89" s="16" t="str">
        <f>IFERROR(INDEX('Raw Data'!AD:AD,MATCH($B89,'Raw Data'!$C:$C,0)),"-")</f>
        <v>Operational</v>
      </c>
    </row>
    <row r="90" spans="1:9" ht="15" customHeight="1" x14ac:dyDescent="0.35">
      <c r="A90" s="15" t="str">
        <f>IFERROR(INDEX('Raw Data'!AC:AC,MATCH($B90,'Raw Data'!$C:$C,0)),"")</f>
        <v>Excavator</v>
      </c>
      <c r="B90" s="7" t="s">
        <v>216</v>
      </c>
      <c r="C90" s="10">
        <f>IFERROR(INDEX('Raw Data'!D:D,MATCH($B90,'Raw Data'!$C:$C,0)),"-")</f>
        <v>744</v>
      </c>
      <c r="D90" s="10">
        <f>IFERROR(INDEX('Raw Data'!E:E,MATCH($B90,'Raw Data'!$C:$C,0)),"-")</f>
        <v>601.24109999999996</v>
      </c>
      <c r="E90" s="10">
        <f>IFERROR(INDEX('Raw Data'!H:H,MATCH($B90,'Raw Data'!$C:$C,0)),"-")</f>
        <v>142.75889999999899</v>
      </c>
      <c r="F90" s="10">
        <f>IFERROR(INDEX('Raw Data'!J:J,MATCH($B90,'Raw Data'!$C:$C,0)),"-")</f>
        <v>101.3207</v>
      </c>
      <c r="G90" s="9">
        <f>IFERROR(INDEX('Raw Data'!O:O,MATCH($B90,'Raw Data'!$C:$C,0)),"-")</f>
        <v>0.80811975810000003</v>
      </c>
      <c r="H90" s="9">
        <f>IFERROR(INDEX('Raw Data'!P:P,MATCH($B90,'Raw Data'!$C:$C,0)),"-")</f>
        <v>0.81244678719999996</v>
      </c>
      <c r="I90" s="15" t="str">
        <f>IFERROR(INDEX('Raw Data'!AD:AD,MATCH($B90,'Raw Data'!$C:$C,0)),"-")</f>
        <v>Operational</v>
      </c>
    </row>
    <row r="91" spans="1:9" ht="15" customHeight="1" x14ac:dyDescent="0.35">
      <c r="A91" s="16" t="str">
        <f>IFERROR(INDEX('Raw Data'!AC:AC,MATCH($B91,'Raw Data'!$C:$C,0)),"")</f>
        <v>Excavator</v>
      </c>
      <c r="B91" s="11" t="s">
        <v>217</v>
      </c>
      <c r="C91" s="14">
        <f>IFERROR(INDEX('Raw Data'!D:D,MATCH($B91,'Raw Data'!$C:$C,0)),"-")</f>
        <v>743.99919999999997</v>
      </c>
      <c r="D91" s="14">
        <f>IFERROR(INDEX('Raw Data'!E:E,MATCH($B91,'Raw Data'!$C:$C,0)),"-")</f>
        <v>597.03729999999996</v>
      </c>
      <c r="E91" s="14">
        <f>IFERROR(INDEX('Raw Data'!H:H,MATCH($B91,'Raw Data'!$C:$C,0)),"-")</f>
        <v>146.96189999999899</v>
      </c>
      <c r="F91" s="14">
        <f>IFERROR(INDEX('Raw Data'!J:J,MATCH($B91,'Raw Data'!$C:$C,0)),"-")</f>
        <v>81.1420999999999</v>
      </c>
      <c r="G91" s="13">
        <f>IFERROR(INDEX('Raw Data'!O:O,MATCH($B91,'Raw Data'!$C:$C,0)),"-")</f>
        <v>0.80247035209999995</v>
      </c>
      <c r="H91" s="13">
        <f>IFERROR(INDEX('Raw Data'!P:P,MATCH($B91,'Raw Data'!$C:$C,0)),"-")</f>
        <v>0.80623538930000005</v>
      </c>
      <c r="I91" s="16" t="str">
        <f>IFERROR(INDEX('Raw Data'!AD:AD,MATCH($B91,'Raw Data'!$C:$C,0)),"-")</f>
        <v>Operational</v>
      </c>
    </row>
    <row r="92" spans="1:9" ht="15" customHeight="1" x14ac:dyDescent="0.35">
      <c r="A92" s="15" t="str">
        <f>IFERROR(INDEX('Raw Data'!AC:AC,MATCH($B92,'Raw Data'!$C:$C,0)),"")</f>
        <v>Excavator</v>
      </c>
      <c r="B92" s="7" t="s">
        <v>226</v>
      </c>
      <c r="C92" s="10">
        <f>IFERROR(INDEX('Raw Data'!D:D,MATCH($B92,'Raw Data'!$C:$C,0)),"-")</f>
        <v>743.9991</v>
      </c>
      <c r="D92" s="10">
        <f>IFERROR(INDEX('Raw Data'!E:E,MATCH($B92,'Raw Data'!$C:$C,0)),"-")</f>
        <v>583.07259999999997</v>
      </c>
      <c r="E92" s="10">
        <f>IFERROR(INDEX('Raw Data'!H:H,MATCH($B92,'Raw Data'!$C:$C,0)),"-")</f>
        <v>160.9265</v>
      </c>
      <c r="F92" s="10">
        <f>IFERROR(INDEX('Raw Data'!J:J,MATCH($B92,'Raw Data'!$C:$C,0)),"-")</f>
        <v>89.101299999999995</v>
      </c>
      <c r="G92" s="9">
        <f>IFERROR(INDEX('Raw Data'!O:O,MATCH($B92,'Raw Data'!$C:$C,0)),"-")</f>
        <v>0.78370067919999997</v>
      </c>
      <c r="H92" s="9">
        <f>IFERROR(INDEX('Raw Data'!P:P,MATCH($B92,'Raw Data'!$C:$C,0)),"-")</f>
        <v>0.80869517790000001</v>
      </c>
      <c r="I92" s="15" t="str">
        <f>IFERROR(INDEX('Raw Data'!AD:AD,MATCH($B92,'Raw Data'!$C:$C,0)),"-")</f>
        <v>Operational</v>
      </c>
    </row>
    <row r="93" spans="1:9" ht="15" customHeight="1" x14ac:dyDescent="0.35">
      <c r="A93" s="16" t="str">
        <f>IFERROR(INDEX('Raw Data'!AC:AC,MATCH($B93,'Raw Data'!$C:$C,0)),"")</f>
        <v>Excavator</v>
      </c>
      <c r="B93" s="11" t="s">
        <v>225</v>
      </c>
      <c r="C93" s="14">
        <f>IFERROR(INDEX('Raw Data'!D:D,MATCH($B93,'Raw Data'!$C:$C,0)),"-")</f>
        <v>744.0009</v>
      </c>
      <c r="D93" s="14">
        <f>IFERROR(INDEX('Raw Data'!E:E,MATCH($B93,'Raw Data'!$C:$C,0)),"-")</f>
        <v>566.76969999999994</v>
      </c>
      <c r="E93" s="14">
        <f>IFERROR(INDEX('Raw Data'!H:H,MATCH($B93,'Raw Data'!$C:$C,0)),"-")</f>
        <v>177.2312</v>
      </c>
      <c r="F93" s="14">
        <f>IFERROR(INDEX('Raw Data'!J:J,MATCH($B93,'Raw Data'!$C:$C,0)),"-")</f>
        <v>83.711299999999994</v>
      </c>
      <c r="G93" s="13">
        <f>IFERROR(INDEX('Raw Data'!O:O,MATCH($B93,'Raw Data'!$C:$C,0)),"-")</f>
        <v>0.76178630970000005</v>
      </c>
      <c r="H93" s="13">
        <f>IFERROR(INDEX('Raw Data'!P:P,MATCH($B93,'Raw Data'!$C:$C,0)),"-")</f>
        <v>0.83037590049999999</v>
      </c>
      <c r="I93" s="16" t="str">
        <f>IFERROR(INDEX('Raw Data'!AD:AD,MATCH($B93,'Raw Data'!$C:$C,0)),"-")</f>
        <v>Operational</v>
      </c>
    </row>
    <row r="94" spans="1:9" ht="15" customHeight="1" x14ac:dyDescent="0.35">
      <c r="A94" s="15" t="str">
        <f>IFERROR(INDEX('Raw Data'!AC:AC,MATCH($B94,'Raw Data'!$C:$C,0)),"")</f>
        <v>Excavator</v>
      </c>
      <c r="B94" s="7" t="s">
        <v>220</v>
      </c>
      <c r="C94" s="10">
        <f>IFERROR(INDEX('Raw Data'!D:D,MATCH($B94,'Raw Data'!$C:$C,0)),"-")</f>
        <v>744.00070000000005</v>
      </c>
      <c r="D94" s="10">
        <f>IFERROR(INDEX('Raw Data'!E:E,MATCH($B94,'Raw Data'!$C:$C,0)),"-")</f>
        <v>547.1925</v>
      </c>
      <c r="E94" s="10">
        <f>IFERROR(INDEX('Raw Data'!H:H,MATCH($B94,'Raw Data'!$C:$C,0)),"-")</f>
        <v>196.8082</v>
      </c>
      <c r="F94" s="10">
        <f>IFERROR(INDEX('Raw Data'!J:J,MATCH($B94,'Raw Data'!$C:$C,0)),"-")</f>
        <v>93.524299999999997</v>
      </c>
      <c r="G94" s="9">
        <f>IFERROR(INDEX('Raw Data'!O:O,MATCH($B94,'Raw Data'!$C:$C,0)),"-")</f>
        <v>0.73547309829999996</v>
      </c>
      <c r="H94" s="9">
        <f>IFERROR(INDEX('Raw Data'!P:P,MATCH($B94,'Raw Data'!$C:$C,0)),"-")</f>
        <v>0.79678961240000001</v>
      </c>
      <c r="I94" s="15" t="str">
        <f>IFERROR(INDEX('Raw Data'!AD:AD,MATCH($B94,'Raw Data'!$C:$C,0)),"-")</f>
        <v>Operational</v>
      </c>
    </row>
    <row r="95" spans="1:9" ht="15" customHeight="1" x14ac:dyDescent="0.35">
      <c r="A95" s="16" t="str">
        <f>IFERROR(INDEX('Raw Data'!AC:AC,MATCH($B95,'Raw Data'!$C:$C,0)),"")</f>
        <v>Excavator</v>
      </c>
      <c r="B95" s="11" t="s">
        <v>227</v>
      </c>
      <c r="C95" s="14">
        <f>IFERROR(INDEX('Raw Data'!D:D,MATCH($B95,'Raw Data'!$C:$C,0)),"-")</f>
        <v>744.0009</v>
      </c>
      <c r="D95" s="14">
        <f>IFERROR(INDEX('Raw Data'!E:E,MATCH($B95,'Raw Data'!$C:$C,0)),"-")</f>
        <v>536.9194</v>
      </c>
      <c r="E95" s="14">
        <f>IFERROR(INDEX('Raw Data'!H:H,MATCH($B95,'Raw Data'!$C:$C,0)),"-")</f>
        <v>207.08150000000001</v>
      </c>
      <c r="F95" s="14">
        <f>IFERROR(INDEX('Raw Data'!J:J,MATCH($B95,'Raw Data'!$C:$C,0)),"-")</f>
        <v>55.199999999999903</v>
      </c>
      <c r="G95" s="13">
        <f>IFERROR(INDEX('Raw Data'!O:O,MATCH($B95,'Raw Data'!$C:$C,0)),"-")</f>
        <v>0.72166498720000005</v>
      </c>
      <c r="H95" s="13">
        <f>IFERROR(INDEX('Raw Data'!P:P,MATCH($B95,'Raw Data'!$C:$C,0)),"-")</f>
        <v>0.86222010230000001</v>
      </c>
      <c r="I95" s="16" t="str">
        <f>IFERROR(INDEX('Raw Data'!AD:AD,MATCH($B95,'Raw Data'!$C:$C,0)),"-")</f>
        <v>Operational</v>
      </c>
    </row>
    <row r="96" spans="1:9" ht="15" customHeight="1" x14ac:dyDescent="0.35">
      <c r="A96" s="15" t="str">
        <f>IFERROR(INDEX('Raw Data'!AC:AC,MATCH($B96,'Raw Data'!$C:$C,0)),"")</f>
        <v>Excavator</v>
      </c>
      <c r="B96" s="7" t="s">
        <v>205</v>
      </c>
      <c r="C96" s="10">
        <f>IFERROR(INDEX('Raw Data'!D:D,MATCH($B96,'Raw Data'!$C:$C,0)),"-")</f>
        <v>744.00009999999997</v>
      </c>
      <c r="D96" s="10">
        <f>IFERROR(INDEX('Raw Data'!E:E,MATCH($B96,'Raw Data'!$C:$C,0)),"-")</f>
        <v>532.0729</v>
      </c>
      <c r="E96" s="10">
        <f>IFERROR(INDEX('Raw Data'!H:H,MATCH($B96,'Raw Data'!$C:$C,0)),"-")</f>
        <v>211.927199999999</v>
      </c>
      <c r="F96" s="10">
        <f>IFERROR(INDEX('Raw Data'!J:J,MATCH($B96,'Raw Data'!$C:$C,0)),"-")</f>
        <v>37.211499999999901</v>
      </c>
      <c r="G96" s="9">
        <f>IFERROR(INDEX('Raw Data'!O:O,MATCH($B96,'Raw Data'!$C:$C,0)),"-")</f>
        <v>0.71515165120000002</v>
      </c>
      <c r="H96" s="9">
        <f>IFERROR(INDEX('Raw Data'!P:P,MATCH($B96,'Raw Data'!$C:$C,0)),"-")</f>
        <v>0.89011449369999995</v>
      </c>
      <c r="I96" s="15" t="str">
        <f>IFERROR(INDEX('Raw Data'!AD:AD,MATCH($B96,'Raw Data'!$C:$C,0)),"-")</f>
        <v>Operational</v>
      </c>
    </row>
    <row r="97" spans="1:9" ht="15" customHeight="1" x14ac:dyDescent="0.35">
      <c r="A97" s="16" t="str">
        <f>IFERROR(INDEX('Raw Data'!AC:AC,MATCH($B97,'Raw Data'!$C:$C,0)),"")</f>
        <v>Excavator</v>
      </c>
      <c r="B97" s="11" t="s">
        <v>208</v>
      </c>
      <c r="C97" s="14">
        <f>IFERROR(INDEX('Raw Data'!D:D,MATCH($B97,'Raw Data'!$C:$C,0)),"-")</f>
        <v>743.99980000000005</v>
      </c>
      <c r="D97" s="14">
        <f>IFERROR(INDEX('Raw Data'!E:E,MATCH($B97,'Raw Data'!$C:$C,0)),"-")</f>
        <v>527.88760000000002</v>
      </c>
      <c r="E97" s="14">
        <f>IFERROR(INDEX('Raw Data'!H:H,MATCH($B97,'Raw Data'!$C:$C,0)),"-")</f>
        <v>216.11219999999901</v>
      </c>
      <c r="F97" s="14">
        <f>IFERROR(INDEX('Raw Data'!J:J,MATCH($B97,'Raw Data'!$C:$C,0)),"-")</f>
        <v>34.649299999999897</v>
      </c>
      <c r="G97" s="13">
        <f>IFERROR(INDEX('Raw Data'!O:O,MATCH($B97,'Raw Data'!$C:$C,0)),"-")</f>
        <v>0.70952653480000005</v>
      </c>
      <c r="H97" s="13">
        <f>IFERROR(INDEX('Raw Data'!P:P,MATCH($B97,'Raw Data'!$C:$C,0)),"-")</f>
        <v>0.85902453479999996</v>
      </c>
      <c r="I97" s="16" t="str">
        <f>IFERROR(INDEX('Raw Data'!AD:AD,MATCH($B97,'Raw Data'!$C:$C,0)),"-")</f>
        <v>Operational</v>
      </c>
    </row>
    <row r="98" spans="1:9" ht="15" customHeight="1" x14ac:dyDescent="0.35">
      <c r="A98" s="15" t="str">
        <f>IFERROR(INDEX('Raw Data'!AC:AC,MATCH($B98,'Raw Data'!$C:$C,0)),"")</f>
        <v>Excavator</v>
      </c>
      <c r="B98" s="7" t="s">
        <v>213</v>
      </c>
      <c r="C98" s="10">
        <f>IFERROR(INDEX('Raw Data'!D:D,MATCH($B98,'Raw Data'!$C:$C,0)),"-")</f>
        <v>743.99950000000001</v>
      </c>
      <c r="D98" s="10">
        <f>IFERROR(INDEX('Raw Data'!E:E,MATCH($B98,'Raw Data'!$C:$C,0)),"-")</f>
        <v>497.22820000000002</v>
      </c>
      <c r="E98" s="10">
        <f>IFERROR(INDEX('Raw Data'!H:H,MATCH($B98,'Raw Data'!$C:$C,0)),"-")</f>
        <v>246.771299999999</v>
      </c>
      <c r="F98" s="10">
        <f>IFERROR(INDEX('Raw Data'!J:J,MATCH($B98,'Raw Data'!$C:$C,0)),"-")</f>
        <v>30.729199999999899</v>
      </c>
      <c r="G98" s="9">
        <f>IFERROR(INDEX('Raw Data'!O:O,MATCH($B98,'Raw Data'!$C:$C,0)),"-")</f>
        <v>0.66831792229999998</v>
      </c>
      <c r="H98" s="9">
        <f>IFERROR(INDEX('Raw Data'!P:P,MATCH($B98,'Raw Data'!$C:$C,0)),"-")</f>
        <v>0.87154087400000002</v>
      </c>
      <c r="I98" s="15" t="str">
        <f>IFERROR(INDEX('Raw Data'!AD:AD,MATCH($B98,'Raw Data'!$C:$C,0)),"-")</f>
        <v>Operational</v>
      </c>
    </row>
    <row r="99" spans="1:9" ht="15" customHeight="1" x14ac:dyDescent="0.35">
      <c r="A99" s="16" t="str">
        <f>IFERROR(INDEX('Raw Data'!AC:AC,MATCH($B99,'Raw Data'!$C:$C,0)),"")</f>
        <v>Excavator</v>
      </c>
      <c r="B99" s="11" t="s">
        <v>201</v>
      </c>
      <c r="C99" s="14">
        <f>IFERROR(INDEX('Raw Data'!D:D,MATCH($B99,'Raw Data'!$C:$C,0)),"-")</f>
        <v>744.00039999999899</v>
      </c>
      <c r="D99" s="14">
        <f>IFERROR(INDEX('Raw Data'!E:E,MATCH($B99,'Raw Data'!$C:$C,0)),"-")</f>
        <v>481.65460000000002</v>
      </c>
      <c r="E99" s="14">
        <f>IFERROR(INDEX('Raw Data'!H:H,MATCH($B99,'Raw Data'!$C:$C,0)),"-")</f>
        <v>262.34579999999897</v>
      </c>
      <c r="F99" s="14">
        <f>IFERROR(INDEX('Raw Data'!J:J,MATCH($B99,'Raw Data'!$C:$C,0)),"-")</f>
        <v>31.1858</v>
      </c>
      <c r="G99" s="13">
        <f>IFERROR(INDEX('Raw Data'!O:O,MATCH($B99,'Raw Data'!$C:$C,0)),"-")</f>
        <v>0.64738486699999997</v>
      </c>
      <c r="H99" s="13">
        <f>IFERROR(INDEX('Raw Data'!P:P,MATCH($B99,'Raw Data'!$C:$C,0)),"-")</f>
        <v>0.92200406680000002</v>
      </c>
      <c r="I99" s="16" t="str">
        <f>IFERROR(INDEX('Raw Data'!AD:AD,MATCH($B99,'Raw Data'!$C:$C,0)),"-")</f>
        <v>Operational</v>
      </c>
    </row>
    <row r="100" spans="1:9" ht="15" customHeight="1" x14ac:dyDescent="0.35">
      <c r="A100" s="15" t="str">
        <f>IFERROR(INDEX('Raw Data'!AC:AC,MATCH($B100,'Raw Data'!$C:$C,0)),"")</f>
        <v>Excavator</v>
      </c>
      <c r="B100" s="7" t="s">
        <v>219</v>
      </c>
      <c r="C100" s="10">
        <f>IFERROR(INDEX('Raw Data'!D:D,MATCH($B100,'Raw Data'!$C:$C,0)),"-")</f>
        <v>743.99979999999903</v>
      </c>
      <c r="D100" s="10">
        <f>IFERROR(INDEX('Raw Data'!E:E,MATCH($B100,'Raw Data'!$C:$C,0)),"-")</f>
        <v>433.982699999999</v>
      </c>
      <c r="E100" s="10">
        <f>IFERROR(INDEX('Raw Data'!H:H,MATCH($B100,'Raw Data'!$C:$C,0)),"-")</f>
        <v>310.01710000000003</v>
      </c>
      <c r="F100" s="10">
        <f>IFERROR(INDEX('Raw Data'!J:J,MATCH($B100,'Raw Data'!$C:$C,0)),"-")</f>
        <v>82.298000000000002</v>
      </c>
      <c r="G100" s="9">
        <f>IFERROR(INDEX('Raw Data'!O:O,MATCH($B100,'Raw Data'!$C:$C,0)),"-")</f>
        <v>0.58331023739999999</v>
      </c>
      <c r="H100" s="9">
        <f>IFERROR(INDEX('Raw Data'!P:P,MATCH($B100,'Raw Data'!$C:$C,0)),"-")</f>
        <v>0.78345311920000005</v>
      </c>
      <c r="I100" s="15" t="str">
        <f>IFERROR(INDEX('Raw Data'!AD:AD,MATCH($B100,'Raw Data'!$C:$C,0)),"-")</f>
        <v>Operational</v>
      </c>
    </row>
    <row r="101" spans="1:9" ht="15" customHeight="1" x14ac:dyDescent="0.35">
      <c r="A101" s="15" t="str">
        <f>IFERROR(INDEX('Raw Data'!AC:AC,MATCH($B101,'Raw Data'!$C:$C,0)),"")</f>
        <v>Excavator</v>
      </c>
      <c r="B101" s="7" t="s">
        <v>214</v>
      </c>
      <c r="C101" s="10">
        <f>IFERROR(INDEX('Raw Data'!D:D,MATCH($B101,'Raw Data'!$C:$C,0)),"-")</f>
        <v>743.99979999999903</v>
      </c>
      <c r="D101" s="10">
        <f>IFERROR(INDEX('Raw Data'!E:E,MATCH($B101,'Raw Data'!$C:$C,0)),"-")</f>
        <v>403.58229999999901</v>
      </c>
      <c r="E101" s="10">
        <f>IFERROR(INDEX('Raw Data'!H:H,MATCH($B101,'Raw Data'!$C:$C,0)),"-")</f>
        <v>340.417499999999</v>
      </c>
      <c r="F101" s="10">
        <f>IFERROR(INDEX('Raw Data'!J:J,MATCH($B101,'Raw Data'!$C:$C,0)),"-")</f>
        <v>41.525999999999897</v>
      </c>
      <c r="G101" s="9">
        <f>IFERROR(INDEX('Raw Data'!O:O,MATCH($B101,'Raw Data'!$C:$C,0)),"-")</f>
        <v>0.54244947379999997</v>
      </c>
      <c r="H101" s="9">
        <f>IFERROR(INDEX('Raw Data'!P:P,MATCH($B101,'Raw Data'!$C:$C,0)),"-")</f>
        <v>0.86096962129999999</v>
      </c>
      <c r="I101" s="15" t="str">
        <f>IFERROR(INDEX('Raw Data'!AD:AD,MATCH($B101,'Raw Data'!$C:$C,0)),"-")</f>
        <v>Operational</v>
      </c>
    </row>
    <row r="102" spans="1:9" ht="15" customHeight="1" x14ac:dyDescent="0.35">
      <c r="A102" s="16" t="str">
        <f>IFERROR(INDEX('Raw Data'!AC:AC,MATCH($B102,'Raw Data'!$C:$C,0)),"")</f>
        <v>Excavator</v>
      </c>
      <c r="B102" s="11" t="s">
        <v>203</v>
      </c>
      <c r="C102" s="14">
        <f>IFERROR(INDEX('Raw Data'!D:D,MATCH($B102,'Raw Data'!$C:$C,0)),"-")</f>
        <v>743.99949999999899</v>
      </c>
      <c r="D102" s="14">
        <f>IFERROR(INDEX('Raw Data'!E:E,MATCH($B102,'Raw Data'!$C:$C,0)),"-")</f>
        <v>344.77009999999899</v>
      </c>
      <c r="E102" s="14">
        <f>IFERROR(INDEX('Raw Data'!H:H,MATCH($B102,'Raw Data'!$C:$C,0)),"-")</f>
        <v>399.22939999999898</v>
      </c>
      <c r="F102" s="14">
        <f>IFERROR(INDEX('Raw Data'!J:J,MATCH($B102,'Raw Data'!$C:$C,0)),"-")</f>
        <v>26.892499999999899</v>
      </c>
      <c r="G102" s="13">
        <f>IFERROR(INDEX('Raw Data'!O:O,MATCH($B102,'Raw Data'!$C:$C,0)),"-")</f>
        <v>0.46340098349999997</v>
      </c>
      <c r="H102" s="13">
        <f>IFERROR(INDEX('Raw Data'!P:P,MATCH($B102,'Raw Data'!$C:$C,0)),"-")</f>
        <v>0.8788642055</v>
      </c>
      <c r="I102" s="16" t="str">
        <f>IFERROR(INDEX('Raw Data'!AD:AD,MATCH($B102,'Raw Data'!$C:$C,0)),"-")</f>
        <v>Operational</v>
      </c>
    </row>
    <row r="103" spans="1:9" ht="15" customHeight="1" x14ac:dyDescent="0.35">
      <c r="A103" s="15" t="str">
        <f>IFERROR(INDEX('Raw Data'!AC:AC,MATCH($B103,'Raw Data'!$C:$C,0)),"")</f>
        <v>Excavator</v>
      </c>
      <c r="B103" s="7" t="s">
        <v>202</v>
      </c>
      <c r="C103" s="10">
        <f>IFERROR(INDEX('Raw Data'!D:D,MATCH($B103,'Raw Data'!$C:$C,0)),"-")</f>
        <v>741.18219999999997</v>
      </c>
      <c r="D103" s="10">
        <f>IFERROR(INDEX('Raw Data'!E:E,MATCH($B103,'Raw Data'!$C:$C,0)),"-")</f>
        <v>269.31089999999898</v>
      </c>
      <c r="E103" s="10">
        <f>IFERROR(INDEX('Raw Data'!H:H,MATCH($B103,'Raw Data'!$C:$C,0)),"-")</f>
        <v>471.87130000000002</v>
      </c>
      <c r="F103" s="10">
        <f>IFERROR(INDEX('Raw Data'!J:J,MATCH($B103,'Raw Data'!$C:$C,0)),"-")</f>
        <v>1.8183</v>
      </c>
      <c r="G103" s="9">
        <f>IFERROR(INDEX('Raw Data'!O:O,MATCH($B103,'Raw Data'!$C:$C,0)),"-")</f>
        <v>0.36335316740000001</v>
      </c>
      <c r="H103" s="9">
        <f>IFERROR(INDEX('Raw Data'!P:P,MATCH($B103,'Raw Data'!$C:$C,0)),"-")</f>
        <v>0.75181249630000002</v>
      </c>
      <c r="I103" s="15" t="str">
        <f>IFERROR(INDEX('Raw Data'!AD:AD,MATCH($B103,'Raw Data'!$C:$C,0)),"-")</f>
        <v>Operational</v>
      </c>
    </row>
    <row r="104" spans="1:9" ht="15" customHeight="1" x14ac:dyDescent="0.35">
      <c r="A104" s="16" t="str">
        <f>IFERROR(INDEX('Raw Data'!AC:AC,MATCH($B104,'Raw Data'!$C:$C,0)),"")</f>
        <v>Excavator</v>
      </c>
      <c r="B104" s="11" t="s">
        <v>223</v>
      </c>
      <c r="C104" s="14">
        <f>IFERROR(INDEX('Raw Data'!D:D,MATCH($B104,'Raw Data'!$C:$C,0)),"-")</f>
        <v>744.00049999999999</v>
      </c>
      <c r="D104" s="14">
        <f>IFERROR(INDEX('Raw Data'!E:E,MATCH($B104,'Raw Data'!$C:$C,0)),"-")</f>
        <v>262.471599999999</v>
      </c>
      <c r="E104" s="14">
        <f>IFERROR(INDEX('Raw Data'!H:H,MATCH($B104,'Raw Data'!$C:$C,0)),"-")</f>
        <v>481.52890000000002</v>
      </c>
      <c r="F104" s="14">
        <f>IFERROR(INDEX('Raw Data'!J:J,MATCH($B104,'Raw Data'!$C:$C,0)),"-")</f>
        <v>47.232300000000002</v>
      </c>
      <c r="G104" s="13">
        <f>IFERROR(INDEX('Raw Data'!O:O,MATCH($B104,'Raw Data'!$C:$C,0)),"-")</f>
        <v>0.35278417150000002</v>
      </c>
      <c r="H104" s="13">
        <f>IFERROR(INDEX('Raw Data'!P:P,MATCH($B104,'Raw Data'!$C:$C,0)),"-")</f>
        <v>0.79179995089999999</v>
      </c>
      <c r="I104" s="16" t="str">
        <f>IFERROR(INDEX('Raw Data'!AD:AD,MATCH($B104,'Raw Data'!$C:$C,0)),"-")</f>
        <v>Operational</v>
      </c>
    </row>
    <row r="105" spans="1:9" ht="15" customHeight="1" x14ac:dyDescent="0.35">
      <c r="A105" s="15" t="str">
        <f>IFERROR(INDEX('Raw Data'!AC:AC,MATCH($B105,'Raw Data'!$C:$C,0)),"")</f>
        <v>Excavator</v>
      </c>
      <c r="B105" s="7" t="s">
        <v>221</v>
      </c>
      <c r="C105" s="10">
        <f>IFERROR(INDEX('Raw Data'!D:D,MATCH($B105,'Raw Data'!$C:$C,0)),"-")</f>
        <v>743.99959999999999</v>
      </c>
      <c r="D105" s="10">
        <f>IFERROR(INDEX('Raw Data'!E:E,MATCH($B105,'Raw Data'!$C:$C,0)),"-")</f>
        <v>204.440799999999</v>
      </c>
      <c r="E105" s="10">
        <f>IFERROR(INDEX('Raw Data'!H:H,MATCH($B105,'Raw Data'!$C:$C,0)),"-")</f>
        <v>539.55880000000002</v>
      </c>
      <c r="F105" s="10">
        <f>IFERROR(INDEX('Raw Data'!J:J,MATCH($B105,'Raw Data'!$C:$C,0)),"-")</f>
        <v>18.316800000000001</v>
      </c>
      <c r="G105" s="9">
        <f>IFERROR(INDEX('Raw Data'!O:O,MATCH($B105,'Raw Data'!$C:$C,0)),"-")</f>
        <v>0.27478616919999999</v>
      </c>
      <c r="H105" s="9">
        <f>IFERROR(INDEX('Raw Data'!P:P,MATCH($B105,'Raw Data'!$C:$C,0)),"-")</f>
        <v>0.88043140119999996</v>
      </c>
      <c r="I105" s="15" t="str">
        <f>IFERROR(INDEX('Raw Data'!AD:AD,MATCH($B105,'Raw Data'!$C:$C,0)),"-")</f>
        <v>Operational</v>
      </c>
    </row>
    <row r="106" spans="1:9" ht="15" customHeight="1" x14ac:dyDescent="0.35">
      <c r="A106" s="16" t="str">
        <f>IFERROR(INDEX('Raw Data'!AC:AC,MATCH($B106,'Raw Data'!$C:$C,0)),"")</f>
        <v>Excavator</v>
      </c>
      <c r="B106" s="11" t="s">
        <v>218</v>
      </c>
      <c r="C106" s="14">
        <f>IFERROR(INDEX('Raw Data'!D:D,MATCH($B106,'Raw Data'!$C:$C,0)),"-")</f>
        <v>743.99990000000003</v>
      </c>
      <c r="D106" s="14">
        <f>IFERROR(INDEX('Raw Data'!E:E,MATCH($B106,'Raw Data'!$C:$C,0)),"-")</f>
        <v>187.89410000000001</v>
      </c>
      <c r="E106" s="14">
        <f>IFERROR(INDEX('Raw Data'!H:H,MATCH($B106,'Raw Data'!$C:$C,0)),"-")</f>
        <v>556.10580000000004</v>
      </c>
      <c r="F106" s="14">
        <f>IFERROR(INDEX('Raw Data'!J:J,MATCH($B106,'Raw Data'!$C:$C,0)),"-")</f>
        <v>6.1798999999999902</v>
      </c>
      <c r="G106" s="13">
        <f>IFERROR(INDEX('Raw Data'!O:O,MATCH($B106,'Raw Data'!$C:$C,0)),"-")</f>
        <v>0.2525458673</v>
      </c>
      <c r="H106" s="13">
        <f>IFERROR(INDEX('Raw Data'!P:P,MATCH($B106,'Raw Data'!$C:$C,0)),"-")</f>
        <v>0.95127521299999995</v>
      </c>
      <c r="I106" s="16" t="str">
        <f>IFERROR(INDEX('Raw Data'!AD:AD,MATCH($B106,'Raw Data'!$C:$C,0)),"-")</f>
        <v>Operational</v>
      </c>
    </row>
    <row r="107" spans="1:9" ht="15" customHeight="1" x14ac:dyDescent="0.35">
      <c r="A107" s="15" t="str">
        <f>IFERROR(INDEX('Raw Data'!AC:AC,MATCH($B107,'Raw Data'!$C:$C,0)),"")</f>
        <v>Excavator</v>
      </c>
      <c r="B107" s="7" t="s">
        <v>210</v>
      </c>
      <c r="C107" s="10">
        <f>IFERROR(INDEX('Raw Data'!D:D,MATCH($B107,'Raw Data'!$C:$C,0)),"-")</f>
        <v>743.99929999999995</v>
      </c>
      <c r="D107" s="10">
        <f>IFERROR(INDEX('Raw Data'!E:E,MATCH($B107,'Raw Data'!$C:$C,0)),"-")</f>
        <v>182.561499999999</v>
      </c>
      <c r="E107" s="10">
        <f>IFERROR(INDEX('Raw Data'!H:H,MATCH($B107,'Raw Data'!$C:$C,0)),"-")</f>
        <v>561.43779999999902</v>
      </c>
      <c r="F107" s="10">
        <f>IFERROR(INDEX('Raw Data'!J:J,MATCH($B107,'Raw Data'!$C:$C,0)),"-")</f>
        <v>30.643799999999999</v>
      </c>
      <c r="G107" s="9">
        <f>IFERROR(INDEX('Raw Data'!O:O,MATCH($B107,'Raw Data'!$C:$C,0)),"-")</f>
        <v>0.24537859109999999</v>
      </c>
      <c r="H107" s="9">
        <f>IFERROR(INDEX('Raw Data'!P:P,MATCH($B107,'Raw Data'!$C:$C,0)),"-")</f>
        <v>0.79929393660000003</v>
      </c>
      <c r="I107" s="15" t="str">
        <f>IFERROR(INDEX('Raw Data'!AD:AD,MATCH($B107,'Raw Data'!$C:$C,0)),"-")</f>
        <v>Operational</v>
      </c>
    </row>
    <row r="108" spans="1:9" ht="15" customHeight="1" x14ac:dyDescent="0.35">
      <c r="A108" s="16" t="str">
        <f>IFERROR(INDEX('Raw Data'!AC:AC,MATCH($B108,'Raw Data'!$C:$C,0)),"")</f>
        <v>Excavator</v>
      </c>
      <c r="B108" s="11" t="s">
        <v>204</v>
      </c>
      <c r="C108" s="14">
        <f>IFERROR(INDEX('Raw Data'!D:D,MATCH($B108,'Raw Data'!$C:$C,0)),"-")</f>
        <v>744.00019999999995</v>
      </c>
      <c r="D108" s="14">
        <f>IFERROR(INDEX('Raw Data'!E:E,MATCH($B108,'Raw Data'!$C:$C,0)),"-")</f>
        <v>157.2636</v>
      </c>
      <c r="E108" s="14">
        <f>IFERROR(INDEX('Raw Data'!H:H,MATCH($B108,'Raw Data'!$C:$C,0)),"-")</f>
        <v>586.73659999999995</v>
      </c>
      <c r="F108" s="14">
        <f>IFERROR(INDEX('Raw Data'!J:J,MATCH($B108,'Raw Data'!$C:$C,0)),"-")</f>
        <v>15.1619999999999</v>
      </c>
      <c r="G108" s="13">
        <f>IFERROR(INDEX('Raw Data'!O:O,MATCH($B108,'Raw Data'!$C:$C,0)),"-")</f>
        <v>0.2113757496</v>
      </c>
      <c r="H108" s="13">
        <f>IFERROR(INDEX('Raw Data'!P:P,MATCH($B108,'Raw Data'!$C:$C,0)),"-")</f>
        <v>0.86608217030000001</v>
      </c>
      <c r="I108" s="16" t="str">
        <f>IFERROR(INDEX('Raw Data'!AD:AD,MATCH($B108,'Raw Data'!$C:$C,0)),"-")</f>
        <v>Operational</v>
      </c>
    </row>
    <row r="109" spans="1:9" ht="15" customHeight="1" x14ac:dyDescent="0.35">
      <c r="A109" s="15" t="str">
        <f>IFERROR(INDEX('Raw Data'!AC:AC,MATCH($B109,'Raw Data'!$C:$C,0)),"")</f>
        <v>Excavator</v>
      </c>
      <c r="B109" s="7" t="s">
        <v>224</v>
      </c>
      <c r="C109" s="10">
        <f>IFERROR(INDEX('Raw Data'!D:D,MATCH($B109,'Raw Data'!$C:$C,0)),"-")</f>
        <v>743.99969999999996</v>
      </c>
      <c r="D109" s="10">
        <f>IFERROR(INDEX('Raw Data'!E:E,MATCH($B109,'Raw Data'!$C:$C,0)),"-")</f>
        <v>51.667900000000003</v>
      </c>
      <c r="E109" s="10">
        <f>IFERROR(INDEX('Raw Data'!H:H,MATCH($B109,'Raw Data'!$C:$C,0)),"-")</f>
        <v>692.33179999999902</v>
      </c>
      <c r="F109" s="10">
        <f>IFERROR(INDEX('Raw Data'!J:J,MATCH($B109,'Raw Data'!$C:$C,0)),"-")</f>
        <v>7.1529999999999898</v>
      </c>
      <c r="G109" s="9">
        <f>IFERROR(INDEX('Raw Data'!O:O,MATCH($B109,'Raw Data'!$C:$C,0)),"-")</f>
        <v>6.9446130100000003E-2</v>
      </c>
      <c r="H109" s="9">
        <f>IFERROR(INDEX('Raw Data'!P:P,MATCH($B109,'Raw Data'!$C:$C,0)),"-")</f>
        <v>0.84203151279999999</v>
      </c>
      <c r="I109" s="15" t="str">
        <f>IFERROR(INDEX('Raw Data'!AD:AD,MATCH($B109,'Raw Data'!$C:$C,0)),"-")</f>
        <v>Operational</v>
      </c>
    </row>
    <row r="110" spans="1:9" ht="15" customHeight="1" x14ac:dyDescent="0.35">
      <c r="A110" s="16" t="str">
        <f>IFERROR(INDEX('Raw Data'!AC:AC,MATCH($B110,'Raw Data'!$C:$C,0)),"")</f>
        <v>Excavator</v>
      </c>
      <c r="B110" s="11" t="s">
        <v>207</v>
      </c>
      <c r="C110" s="14">
        <f>IFERROR(INDEX('Raw Data'!D:D,MATCH($B110,'Raw Data'!$C:$C,0)),"-")</f>
        <v>744</v>
      </c>
      <c r="D110" s="14">
        <f>IFERROR(INDEX('Raw Data'!E:E,MATCH($B110,'Raw Data'!$C:$C,0)),"-")</f>
        <v>0</v>
      </c>
      <c r="E110" s="14">
        <f>IFERROR(INDEX('Raw Data'!H:H,MATCH($B110,'Raw Data'!$C:$C,0)),"-")</f>
        <v>744</v>
      </c>
      <c r="F110" s="14">
        <f>IFERROR(INDEX('Raw Data'!J:J,MATCH($B110,'Raw Data'!$C:$C,0)),"-")</f>
        <v>0</v>
      </c>
      <c r="G110" s="13">
        <f>IFERROR(INDEX('Raw Data'!O:O,MATCH($B110,'Raw Data'!$C:$C,0)),"-")</f>
        <v>0</v>
      </c>
      <c r="H110" s="13">
        <f>IFERROR(INDEX('Raw Data'!P:P,MATCH($B110,'Raw Data'!$C:$C,0)),"-")</f>
        <v>0</v>
      </c>
      <c r="I110" s="16" t="str">
        <f>IFERROR(INDEX('Raw Data'!AD:AD,MATCH($B110,'Raw Data'!$C:$C,0)),"-")</f>
        <v>Non-Operational</v>
      </c>
    </row>
    <row r="111" spans="1:9" ht="15" customHeight="1" x14ac:dyDescent="0.35">
      <c r="A111" s="15" t="str">
        <f>IFERROR(INDEX('Raw Data'!AC:AC,MATCH($B111,'Raw Data'!$C:$C,0)),"")</f>
        <v>Excavator</v>
      </c>
      <c r="B111" s="7" t="s">
        <v>222</v>
      </c>
      <c r="C111" s="10">
        <f>IFERROR(INDEX('Raw Data'!D:D,MATCH($B111,'Raw Data'!$C:$C,0)),"-")</f>
        <v>744</v>
      </c>
      <c r="D111" s="10">
        <f>IFERROR(INDEX('Raw Data'!E:E,MATCH($B111,'Raw Data'!$C:$C,0)),"-")</f>
        <v>0</v>
      </c>
      <c r="E111" s="10">
        <f>IFERROR(INDEX('Raw Data'!H:H,MATCH($B111,'Raw Data'!$C:$C,0)),"-")</f>
        <v>744</v>
      </c>
      <c r="F111" s="10">
        <f>IFERROR(INDEX('Raw Data'!J:J,MATCH($B111,'Raw Data'!$C:$C,0)),"-")</f>
        <v>0</v>
      </c>
      <c r="G111" s="9">
        <f>IFERROR(INDEX('Raw Data'!O:O,MATCH($B111,'Raw Data'!$C:$C,0)),"-")</f>
        <v>0</v>
      </c>
      <c r="H111" s="9">
        <f>IFERROR(INDEX('Raw Data'!P:P,MATCH($B111,'Raw Data'!$C:$C,0)),"-")</f>
        <v>0</v>
      </c>
      <c r="I111" s="15" t="str">
        <f>IFERROR(INDEX('Raw Data'!AD:AD,MATCH($B111,'Raw Data'!$C:$C,0)),"-")</f>
        <v>Non-Operational</v>
      </c>
    </row>
    <row r="112" spans="1:9" ht="18" customHeight="1" x14ac:dyDescent="0.35">
      <c r="A112" s="72" t="s">
        <v>279</v>
      </c>
      <c r="B112" s="72"/>
      <c r="C112" s="72"/>
      <c r="D112" s="72"/>
      <c r="E112" s="72"/>
      <c r="F112" s="72"/>
      <c r="G112" s="72"/>
      <c r="H112" s="72"/>
      <c r="I112" s="72"/>
    </row>
    <row r="113" spans="1:9" ht="15" customHeight="1" x14ac:dyDescent="0.35">
      <c r="A113" s="15" t="str">
        <f>IFERROR(INDEX('Raw Data'!AC:AC,MATCH($B113,'Raw Data'!$C:$C,0)),"")</f>
        <v>Front End Loader</v>
      </c>
      <c r="B113" s="7" t="s">
        <v>185</v>
      </c>
      <c r="C113" s="10">
        <f>IFERROR(INDEX('Raw Data'!D:D,MATCH($B113,'Raw Data'!$C:$C,0)),"-")</f>
        <v>744</v>
      </c>
      <c r="D113" s="10">
        <f>IFERROR(INDEX('Raw Data'!E:E,MATCH($B113,'Raw Data'!$C:$C,0)),"-")</f>
        <v>744</v>
      </c>
      <c r="E113" s="10">
        <f>IFERROR(INDEX('Raw Data'!H:H,MATCH($B113,'Raw Data'!$C:$C,0)),"-")</f>
        <v>0</v>
      </c>
      <c r="F113" s="10">
        <f>IFERROR(INDEX('Raw Data'!J:J,MATCH($B113,'Raw Data'!$C:$C,0)),"-")</f>
        <v>744</v>
      </c>
      <c r="G113" s="9">
        <f>IFERROR(INDEX('Raw Data'!O:O,MATCH($B113,'Raw Data'!$C:$C,0)),"-")</f>
        <v>1</v>
      </c>
      <c r="H113" s="9">
        <f>IFERROR(INDEX('Raw Data'!P:P,MATCH($B113,'Raw Data'!$C:$C,0)),"-")</f>
        <v>0</v>
      </c>
      <c r="I113" s="15" t="str">
        <f>IFERROR(INDEX('Raw Data'!AD:AD,MATCH($B113,'Raw Data'!$C:$C,0)),"-")</f>
        <v>Operational</v>
      </c>
    </row>
    <row r="114" spans="1:9" ht="15" customHeight="1" x14ac:dyDescent="0.35">
      <c r="A114" s="16" t="str">
        <f>IFERROR(INDEX('Raw Data'!AC:AC,MATCH($B114,'Raw Data'!$C:$C,0)),"")</f>
        <v>Front End Loader</v>
      </c>
      <c r="B114" s="11" t="s">
        <v>190</v>
      </c>
      <c r="C114" s="14">
        <f>IFERROR(INDEX('Raw Data'!D:D,MATCH($B114,'Raw Data'!$C:$C,0)),"-")</f>
        <v>744</v>
      </c>
      <c r="D114" s="14">
        <f>IFERROR(INDEX('Raw Data'!E:E,MATCH($B114,'Raw Data'!$C:$C,0)),"-")</f>
        <v>744</v>
      </c>
      <c r="E114" s="14">
        <f>IFERROR(INDEX('Raw Data'!H:H,MATCH($B114,'Raw Data'!$C:$C,0)),"-")</f>
        <v>0</v>
      </c>
      <c r="F114" s="14">
        <f>IFERROR(INDEX('Raw Data'!J:J,MATCH($B114,'Raw Data'!$C:$C,0)),"-")</f>
        <v>744</v>
      </c>
      <c r="G114" s="13">
        <f>IFERROR(INDEX('Raw Data'!O:O,MATCH($B114,'Raw Data'!$C:$C,0)),"-")</f>
        <v>1</v>
      </c>
      <c r="H114" s="13">
        <f>IFERROR(INDEX('Raw Data'!P:P,MATCH($B114,'Raw Data'!$C:$C,0)),"-")</f>
        <v>0</v>
      </c>
      <c r="I114" s="16" t="str">
        <f>IFERROR(INDEX('Raw Data'!AD:AD,MATCH($B114,'Raw Data'!$C:$C,0)),"-")</f>
        <v>Operational</v>
      </c>
    </row>
    <row r="115" spans="1:9" ht="15" customHeight="1" x14ac:dyDescent="0.35">
      <c r="A115" s="15" t="str">
        <f>IFERROR(INDEX('Raw Data'!AC:AC,MATCH($B115,'Raw Data'!$C:$C,0)),"")</f>
        <v>Front End Loader</v>
      </c>
      <c r="B115" s="7" t="s">
        <v>189</v>
      </c>
      <c r="C115" s="10">
        <f>IFERROR(INDEX('Raw Data'!D:D,MATCH($B115,'Raw Data'!$C:$C,0)),"-")</f>
        <v>743.99969999999996</v>
      </c>
      <c r="D115" s="10">
        <f>IFERROR(INDEX('Raw Data'!E:E,MATCH($B115,'Raw Data'!$C:$C,0)),"-")</f>
        <v>715.34100000000001</v>
      </c>
      <c r="E115" s="10">
        <f>IFERROR(INDEX('Raw Data'!H:H,MATCH($B115,'Raw Data'!$C:$C,0)),"-")</f>
        <v>28.6587</v>
      </c>
      <c r="F115" s="10">
        <f>IFERROR(INDEX('Raw Data'!J:J,MATCH($B115,'Raw Data'!$C:$C,0)),"-")</f>
        <v>238.88449999999901</v>
      </c>
      <c r="G115" s="9">
        <f>IFERROR(INDEX('Raw Data'!O:O,MATCH($B115,'Raw Data'!$C:$C,0)),"-")</f>
        <v>0.96148022639999997</v>
      </c>
      <c r="H115" s="9">
        <f>IFERROR(INDEX('Raw Data'!P:P,MATCH($B115,'Raw Data'!$C:$C,0)),"-")</f>
        <v>0.66605507019999999</v>
      </c>
      <c r="I115" s="15" t="str">
        <f>IFERROR(INDEX('Raw Data'!AD:AD,MATCH($B115,'Raw Data'!$C:$C,0)),"-")</f>
        <v>Operational</v>
      </c>
    </row>
    <row r="116" spans="1:9" ht="15" customHeight="1" x14ac:dyDescent="0.35">
      <c r="A116" s="16" t="str">
        <f>IFERROR(INDEX('Raw Data'!AC:AC,MATCH($B116,'Raw Data'!$C:$C,0)),"")</f>
        <v>Front End Loader</v>
      </c>
      <c r="B116" s="11" t="s">
        <v>196</v>
      </c>
      <c r="C116" s="14">
        <f>IFERROR(INDEX('Raw Data'!D:D,MATCH($B116,'Raw Data'!$C:$C,0)),"-")</f>
        <v>744.000799999999</v>
      </c>
      <c r="D116" s="14">
        <f>IFERROR(INDEX('Raw Data'!E:E,MATCH($B116,'Raw Data'!$C:$C,0)),"-")</f>
        <v>705.59339999999895</v>
      </c>
      <c r="E116" s="14">
        <f>IFERROR(INDEX('Raw Data'!H:H,MATCH($B116,'Raw Data'!$C:$C,0)),"-")</f>
        <v>38.407400000000003</v>
      </c>
      <c r="F116" s="14">
        <f>IFERROR(INDEX('Raw Data'!J:J,MATCH($B116,'Raw Data'!$C:$C,0)),"-")</f>
        <v>217.51320000000001</v>
      </c>
      <c r="G116" s="13">
        <f>IFERROR(INDEX('Raw Data'!O:O,MATCH($B116,'Raw Data'!$C:$C,0)),"-")</f>
        <v>0.94837720599999997</v>
      </c>
      <c r="H116" s="13">
        <f>IFERROR(INDEX('Raw Data'!P:P,MATCH($B116,'Raw Data'!$C:$C,0)),"-")</f>
        <v>0.69064322310000004</v>
      </c>
      <c r="I116" s="16" t="str">
        <f>IFERROR(INDEX('Raw Data'!AD:AD,MATCH($B116,'Raw Data'!$C:$C,0)),"-")</f>
        <v>Operational</v>
      </c>
    </row>
    <row r="117" spans="1:9" ht="15" customHeight="1" x14ac:dyDescent="0.35">
      <c r="A117" s="15" t="str">
        <f>IFERROR(INDEX('Raw Data'!AC:AC,MATCH($B117,'Raw Data'!$C:$C,0)),"")</f>
        <v>Front End Loader</v>
      </c>
      <c r="B117" s="7" t="s">
        <v>194</v>
      </c>
      <c r="C117" s="10">
        <f>IFERROR(INDEX('Raw Data'!D:D,MATCH($B117,'Raw Data'!$C:$C,0)),"-")</f>
        <v>743.99939999999901</v>
      </c>
      <c r="D117" s="10">
        <f>IFERROR(INDEX('Raw Data'!E:E,MATCH($B117,'Raw Data'!$C:$C,0)),"-")</f>
        <v>703.03619999999898</v>
      </c>
      <c r="E117" s="10">
        <f>IFERROR(INDEX('Raw Data'!H:H,MATCH($B117,'Raw Data'!$C:$C,0)),"-")</f>
        <v>40.963200000000001</v>
      </c>
      <c r="F117" s="10">
        <f>IFERROR(INDEX('Raw Data'!J:J,MATCH($B117,'Raw Data'!$C:$C,0)),"-")</f>
        <v>224.76240000000001</v>
      </c>
      <c r="G117" s="9">
        <f>IFERROR(INDEX('Raw Data'!O:O,MATCH($B117,'Raw Data'!$C:$C,0)),"-")</f>
        <v>0.94494189110000004</v>
      </c>
      <c r="H117" s="9">
        <f>IFERROR(INDEX('Raw Data'!P:P,MATCH($B117,'Raw Data'!$C:$C,0)),"-")</f>
        <v>0.6718914332</v>
      </c>
      <c r="I117" s="15" t="str">
        <f>IFERROR(INDEX('Raw Data'!AD:AD,MATCH($B117,'Raw Data'!$C:$C,0)),"-")</f>
        <v>Operational</v>
      </c>
    </row>
    <row r="118" spans="1:9" ht="15" customHeight="1" x14ac:dyDescent="0.35">
      <c r="A118" s="16" t="str">
        <f>IFERROR(INDEX('Raw Data'!AC:AC,MATCH($B118,'Raw Data'!$C:$C,0)),"")</f>
        <v>Front End Loader</v>
      </c>
      <c r="B118" s="11" t="s">
        <v>186</v>
      </c>
      <c r="C118" s="14">
        <f>IFERROR(INDEX('Raw Data'!D:D,MATCH($B118,'Raw Data'!$C:$C,0)),"-")</f>
        <v>744.00030000000004</v>
      </c>
      <c r="D118" s="14">
        <f>IFERROR(INDEX('Raw Data'!E:E,MATCH($B118,'Raw Data'!$C:$C,0)),"-")</f>
        <v>700.61030000000005</v>
      </c>
      <c r="E118" s="14">
        <f>IFERROR(INDEX('Raw Data'!H:H,MATCH($B118,'Raw Data'!$C:$C,0)),"-")</f>
        <v>43.389999999999901</v>
      </c>
      <c r="F118" s="14">
        <f>IFERROR(INDEX('Raw Data'!J:J,MATCH($B118,'Raw Data'!$C:$C,0)),"-")</f>
        <v>265.21609999999998</v>
      </c>
      <c r="G118" s="13">
        <f>IFERROR(INDEX('Raw Data'!O:O,MATCH($B118,'Raw Data'!$C:$C,0)),"-")</f>
        <v>0.94168013100000003</v>
      </c>
      <c r="H118" s="13">
        <f>IFERROR(INDEX('Raw Data'!P:P,MATCH($B118,'Raw Data'!$C:$C,0)),"-")</f>
        <v>0.61352109720000003</v>
      </c>
      <c r="I118" s="16" t="str">
        <f>IFERROR(INDEX('Raw Data'!AD:AD,MATCH($B118,'Raw Data'!$C:$C,0)),"-")</f>
        <v>Operational</v>
      </c>
    </row>
    <row r="119" spans="1:9" ht="15" customHeight="1" x14ac:dyDescent="0.35">
      <c r="A119" s="15" t="str">
        <f>IFERROR(INDEX('Raw Data'!AC:AC,MATCH($B119,'Raw Data'!$C:$C,0)),"")</f>
        <v>Front End Loader</v>
      </c>
      <c r="B119" s="7" t="s">
        <v>195</v>
      </c>
      <c r="C119" s="10">
        <f>IFERROR(INDEX('Raw Data'!D:D,MATCH($B119,'Raw Data'!$C:$C,0)),"-")</f>
        <v>743.99939999999901</v>
      </c>
      <c r="D119" s="10">
        <f>IFERROR(INDEX('Raw Data'!E:E,MATCH($B119,'Raw Data'!$C:$C,0)),"-")</f>
        <v>686.33849999999904</v>
      </c>
      <c r="E119" s="10">
        <f>IFERROR(INDEX('Raw Data'!H:H,MATCH($B119,'Raw Data'!$C:$C,0)),"-")</f>
        <v>57.660899999999998</v>
      </c>
      <c r="F119" s="10">
        <f>IFERROR(INDEX('Raw Data'!J:J,MATCH($B119,'Raw Data'!$C:$C,0)),"-")</f>
        <v>228.36590000000001</v>
      </c>
      <c r="G119" s="9">
        <f>IFERROR(INDEX('Raw Data'!O:O,MATCH($B119,'Raw Data'!$C:$C,0)),"-")</f>
        <v>0.92249872779999997</v>
      </c>
      <c r="H119" s="9">
        <f>IFERROR(INDEX('Raw Data'!P:P,MATCH($B119,'Raw Data'!$C:$C,0)),"-")</f>
        <v>0.65945215079999997</v>
      </c>
      <c r="I119" s="15" t="str">
        <f>IFERROR(INDEX('Raw Data'!AD:AD,MATCH($B119,'Raw Data'!$C:$C,0)),"-")</f>
        <v>Operational</v>
      </c>
    </row>
    <row r="120" spans="1:9" ht="15" customHeight="1" x14ac:dyDescent="0.35">
      <c r="A120" s="16" t="str">
        <f>IFERROR(INDEX('Raw Data'!AC:AC,MATCH($B120,'Raw Data'!$C:$C,0)),"")</f>
        <v>Front End Loader</v>
      </c>
      <c r="B120" s="11" t="s">
        <v>183</v>
      </c>
      <c r="C120" s="14">
        <f>IFERROR(INDEX('Raw Data'!D:D,MATCH($B120,'Raw Data'!$C:$C,0)),"-")</f>
        <v>743.99890000000005</v>
      </c>
      <c r="D120" s="14">
        <f>IFERROR(INDEX('Raw Data'!E:E,MATCH($B120,'Raw Data'!$C:$C,0)),"-")</f>
        <v>649.08659999999998</v>
      </c>
      <c r="E120" s="14">
        <f>IFERROR(INDEX('Raw Data'!H:H,MATCH($B120,'Raw Data'!$C:$C,0)),"-")</f>
        <v>94.912300000000002</v>
      </c>
      <c r="F120" s="14">
        <f>IFERROR(INDEX('Raw Data'!J:J,MATCH($B120,'Raw Data'!$C:$C,0)),"-")</f>
        <v>212.94470000000001</v>
      </c>
      <c r="G120" s="13">
        <f>IFERROR(INDEX('Raw Data'!O:O,MATCH($B120,'Raw Data'!$C:$C,0)),"-")</f>
        <v>0.87242951570000005</v>
      </c>
      <c r="H120" s="13">
        <f>IFERROR(INDEX('Raw Data'!P:P,MATCH($B120,'Raw Data'!$C:$C,0)),"-")</f>
        <v>0.66508213230000002</v>
      </c>
      <c r="I120" s="16" t="str">
        <f>IFERROR(INDEX('Raw Data'!AD:AD,MATCH($B120,'Raw Data'!$C:$C,0)),"-")</f>
        <v>Operational</v>
      </c>
    </row>
    <row r="121" spans="1:9" ht="15" customHeight="1" x14ac:dyDescent="0.35">
      <c r="A121" s="15" t="str">
        <f>IFERROR(INDEX('Raw Data'!AC:AC,MATCH($B121,'Raw Data'!$C:$C,0)),"")</f>
        <v>Front End Loader</v>
      </c>
      <c r="B121" s="7" t="s">
        <v>192</v>
      </c>
      <c r="C121" s="10">
        <f>IFERROR(INDEX('Raw Data'!D:D,MATCH($B121,'Raw Data'!$C:$C,0)),"-")</f>
        <v>744.00109999999904</v>
      </c>
      <c r="D121" s="10">
        <f>IFERROR(INDEX('Raw Data'!E:E,MATCH($B121,'Raw Data'!$C:$C,0)),"-")</f>
        <v>632.91759999999897</v>
      </c>
      <c r="E121" s="10">
        <f>IFERROR(INDEX('Raw Data'!H:H,MATCH($B121,'Raw Data'!$C:$C,0)),"-")</f>
        <v>111.08349999999901</v>
      </c>
      <c r="F121" s="10">
        <f>IFERROR(INDEX('Raw Data'!J:J,MATCH($B121,'Raw Data'!$C:$C,0)),"-")</f>
        <v>151.59389999999999</v>
      </c>
      <c r="G121" s="9">
        <f>IFERROR(INDEX('Raw Data'!O:O,MATCH($B121,'Raw Data'!$C:$C,0)),"-")</f>
        <v>0.85069444120000004</v>
      </c>
      <c r="H121" s="9">
        <f>IFERROR(INDEX('Raw Data'!P:P,MATCH($B121,'Raw Data'!$C:$C,0)),"-")</f>
        <v>0.74986159340000003</v>
      </c>
      <c r="I121" s="15" t="str">
        <f>IFERROR(INDEX('Raw Data'!AD:AD,MATCH($B121,'Raw Data'!$C:$C,0)),"-")</f>
        <v>Operational</v>
      </c>
    </row>
    <row r="122" spans="1:9" ht="15" customHeight="1" x14ac:dyDescent="0.35">
      <c r="A122" s="16" t="str">
        <f>IFERROR(INDEX('Raw Data'!AC:AC,MATCH($B122,'Raw Data'!$C:$C,0)),"")</f>
        <v>Front End Loader</v>
      </c>
      <c r="B122" s="11" t="s">
        <v>191</v>
      </c>
      <c r="C122" s="14">
        <f>IFERROR(INDEX('Raw Data'!D:D,MATCH($B122,'Raw Data'!$C:$C,0)),"-")</f>
        <v>744.00099999999895</v>
      </c>
      <c r="D122" s="14">
        <f>IFERROR(INDEX('Raw Data'!E:E,MATCH($B122,'Raw Data'!$C:$C,0)),"-")</f>
        <v>632.50039999999899</v>
      </c>
      <c r="E122" s="14">
        <f>IFERROR(INDEX('Raw Data'!H:H,MATCH($B122,'Raw Data'!$C:$C,0)),"-")</f>
        <v>111.500599999999</v>
      </c>
      <c r="F122" s="14">
        <f>IFERROR(INDEX('Raw Data'!J:J,MATCH($B122,'Raw Data'!$C:$C,0)),"-")</f>
        <v>262.87729999999999</v>
      </c>
      <c r="G122" s="13">
        <f>IFERROR(INDEX('Raw Data'!O:O,MATCH($B122,'Raw Data'!$C:$C,0)),"-")</f>
        <v>0.85013380360000002</v>
      </c>
      <c r="H122" s="13">
        <f>IFERROR(INDEX('Raw Data'!P:P,MATCH($B122,'Raw Data'!$C:$C,0)),"-")</f>
        <v>0.57814935769999998</v>
      </c>
      <c r="I122" s="16" t="str">
        <f>IFERROR(INDEX('Raw Data'!AD:AD,MATCH($B122,'Raw Data'!$C:$C,0)),"-")</f>
        <v>Operational</v>
      </c>
    </row>
    <row r="123" spans="1:9" ht="15" customHeight="1" x14ac:dyDescent="0.35">
      <c r="A123" s="15" t="str">
        <f>IFERROR(INDEX('Raw Data'!AC:AC,MATCH($B123,'Raw Data'!$C:$C,0)),"")</f>
        <v>Front End Loader</v>
      </c>
      <c r="B123" s="7" t="s">
        <v>184</v>
      </c>
      <c r="C123" s="10">
        <f>IFERROR(INDEX('Raw Data'!D:D,MATCH($B123,'Raw Data'!$C:$C,0)),"-")</f>
        <v>744.00039999999899</v>
      </c>
      <c r="D123" s="10">
        <f>IFERROR(INDEX('Raw Data'!E:E,MATCH($B123,'Raw Data'!$C:$C,0)),"-")</f>
        <v>607.96489999999903</v>
      </c>
      <c r="E123" s="10">
        <f>IFERROR(INDEX('Raw Data'!H:H,MATCH($B123,'Raw Data'!$C:$C,0)),"-")</f>
        <v>136.03549999999899</v>
      </c>
      <c r="F123" s="10">
        <f>IFERROR(INDEX('Raw Data'!J:J,MATCH($B123,'Raw Data'!$C:$C,0)),"-")</f>
        <v>182.09190000000001</v>
      </c>
      <c r="G123" s="9">
        <f>IFERROR(INDEX('Raw Data'!O:O,MATCH($B123,'Raw Data'!$C:$C,0)),"-")</f>
        <v>0.81715668429999999</v>
      </c>
      <c r="H123" s="9">
        <f>IFERROR(INDEX('Raw Data'!P:P,MATCH($B123,'Raw Data'!$C:$C,0)),"-")</f>
        <v>0.69132889090000005</v>
      </c>
      <c r="I123" s="15" t="str">
        <f>IFERROR(INDEX('Raw Data'!AD:AD,MATCH($B123,'Raw Data'!$C:$C,0)),"-")</f>
        <v>Operational</v>
      </c>
    </row>
    <row r="124" spans="1:9" ht="15" customHeight="1" x14ac:dyDescent="0.35">
      <c r="A124" s="16" t="str">
        <f>IFERROR(INDEX('Raw Data'!AC:AC,MATCH($B124,'Raw Data'!$C:$C,0)),"")</f>
        <v>Front End Loader</v>
      </c>
      <c r="B124" s="11" t="s">
        <v>193</v>
      </c>
      <c r="C124" s="14">
        <f>IFERROR(INDEX('Raw Data'!D:D,MATCH($B124,'Raw Data'!$C:$C,0)),"-")</f>
        <v>744.00009999999895</v>
      </c>
      <c r="D124" s="14">
        <f>IFERROR(INDEX('Raw Data'!E:E,MATCH($B124,'Raw Data'!$C:$C,0)),"-")</f>
        <v>596.12159999999994</v>
      </c>
      <c r="E124" s="14">
        <f>IFERROR(INDEX('Raw Data'!H:H,MATCH($B124,'Raw Data'!$C:$C,0)),"-")</f>
        <v>147.87849999999901</v>
      </c>
      <c r="F124" s="14">
        <f>IFERROR(INDEX('Raw Data'!J:J,MATCH($B124,'Raw Data'!$C:$C,0)),"-")</f>
        <v>192.98330000000001</v>
      </c>
      <c r="G124" s="13">
        <f>IFERROR(INDEX('Raw Data'!O:O,MATCH($B124,'Raw Data'!$C:$C,0)),"-")</f>
        <v>0.80123860199999997</v>
      </c>
      <c r="H124" s="13">
        <f>IFERROR(INDEX('Raw Data'!P:P,MATCH($B124,'Raw Data'!$C:$C,0)),"-")</f>
        <v>0.67604025759999997</v>
      </c>
      <c r="I124" s="16" t="str">
        <f>IFERROR(INDEX('Raw Data'!AD:AD,MATCH($B124,'Raw Data'!$C:$C,0)),"-")</f>
        <v>Operational</v>
      </c>
    </row>
    <row r="125" spans="1:9" ht="15" customHeight="1" x14ac:dyDescent="0.35">
      <c r="A125" s="15" t="str">
        <f>IFERROR(INDEX('Raw Data'!AC:AC,MATCH($B125,'Raw Data'!$C:$C,0)),"")</f>
        <v>Front End Loader</v>
      </c>
      <c r="B125" s="7" t="s">
        <v>188</v>
      </c>
      <c r="C125" s="10">
        <f>IFERROR(INDEX('Raw Data'!D:D,MATCH($B125,'Raw Data'!$C:$C,0)),"-")</f>
        <v>743.99919999999895</v>
      </c>
      <c r="D125" s="10">
        <f>IFERROR(INDEX('Raw Data'!E:E,MATCH($B125,'Raw Data'!$C:$C,0)),"-")</f>
        <v>577.59949999999901</v>
      </c>
      <c r="E125" s="10">
        <f>IFERROR(INDEX('Raw Data'!H:H,MATCH($B125,'Raw Data'!$C:$C,0)),"-")</f>
        <v>166.3997</v>
      </c>
      <c r="F125" s="10">
        <f>IFERROR(INDEX('Raw Data'!J:J,MATCH($B125,'Raw Data'!$C:$C,0)),"-")</f>
        <v>190.08369999999999</v>
      </c>
      <c r="G125" s="9">
        <f>IFERROR(INDEX('Raw Data'!O:O,MATCH($B125,'Raw Data'!$C:$C,0)),"-")</f>
        <v>0.77634424879999997</v>
      </c>
      <c r="H125" s="9">
        <f>IFERROR(INDEX('Raw Data'!P:P,MATCH($B125,'Raw Data'!$C:$C,0)),"-")</f>
        <v>0.66788527340000003</v>
      </c>
      <c r="I125" s="15" t="str">
        <f>IFERROR(INDEX('Raw Data'!AD:AD,MATCH($B125,'Raw Data'!$C:$C,0)),"-")</f>
        <v>Operational</v>
      </c>
    </row>
    <row r="126" spans="1:9" ht="15" customHeight="1" x14ac:dyDescent="0.35">
      <c r="A126" s="16" t="str">
        <f>IFERROR(INDEX('Raw Data'!AC:AC,MATCH($B126,'Raw Data'!$C:$C,0)),"")</f>
        <v>Front End Loader</v>
      </c>
      <c r="B126" s="11" t="s">
        <v>187</v>
      </c>
      <c r="C126" s="14">
        <f>IFERROR(INDEX('Raw Data'!D:D,MATCH($B126,'Raw Data'!$C:$C,0)),"-")</f>
        <v>740.58040000000005</v>
      </c>
      <c r="D126" s="14">
        <f>IFERROR(INDEX('Raw Data'!E:E,MATCH($B126,'Raw Data'!$C:$C,0)),"-")</f>
        <v>271.26339999999999</v>
      </c>
      <c r="E126" s="14">
        <f>IFERROR(INDEX('Raw Data'!H:H,MATCH($B126,'Raw Data'!$C:$C,0)),"-")</f>
        <v>469.31700000000001</v>
      </c>
      <c r="F126" s="14">
        <f>IFERROR(INDEX('Raw Data'!J:J,MATCH($B126,'Raw Data'!$C:$C,0)),"-")</f>
        <v>73.543000000000006</v>
      </c>
      <c r="G126" s="13">
        <f>IFERROR(INDEX('Raw Data'!O:O,MATCH($B126,'Raw Data'!$C:$C,0)),"-")</f>
        <v>0.36628487599999998</v>
      </c>
      <c r="H126" s="13">
        <f>IFERROR(INDEX('Raw Data'!P:P,MATCH($B126,'Raw Data'!$C:$C,0)),"-")</f>
        <v>0.72228874219999994</v>
      </c>
      <c r="I126" s="16" t="str">
        <f>IFERROR(INDEX('Raw Data'!AD:AD,MATCH($B126,'Raw Data'!$C:$C,0)),"-")</f>
        <v>Operational</v>
      </c>
    </row>
    <row r="127" spans="1:9" ht="15" customHeight="1" x14ac:dyDescent="0.35">
      <c r="A127" s="15" t="str">
        <f>IFERROR(INDEX('Raw Data'!AC:AC,MATCH($B127,'Raw Data'!$C:$C,0)),"")</f>
        <v>Front End Loader</v>
      </c>
      <c r="B127" s="7" t="s">
        <v>182</v>
      </c>
      <c r="C127" s="10">
        <f>IFERROR(INDEX('Raw Data'!D:D,MATCH($B127,'Raw Data'!$C:$C,0)),"-")</f>
        <v>741.13750000000005</v>
      </c>
      <c r="D127" s="10">
        <f>IFERROR(INDEX('Raw Data'!E:E,MATCH($B127,'Raw Data'!$C:$C,0)),"-")</f>
        <v>182.8587</v>
      </c>
      <c r="E127" s="10">
        <f>IFERROR(INDEX('Raw Data'!H:H,MATCH($B127,'Raw Data'!$C:$C,0)),"-")</f>
        <v>558.27880000000005</v>
      </c>
      <c r="F127" s="10">
        <f>IFERROR(INDEX('Raw Data'!J:J,MATCH($B127,'Raw Data'!$C:$C,0)),"-")</f>
        <v>80.073700000000002</v>
      </c>
      <c r="G127" s="9">
        <f>IFERROR(INDEX('Raw Data'!O:O,MATCH($B127,'Raw Data'!$C:$C,0)),"-")</f>
        <v>0.24672709179999999</v>
      </c>
      <c r="H127" s="9">
        <f>IFERROR(INDEX('Raw Data'!P:P,MATCH($B127,'Raw Data'!$C:$C,0)),"-")</f>
        <v>0.46545228640000003</v>
      </c>
      <c r="I127" s="15" t="str">
        <f>IFERROR(INDEX('Raw Data'!AD:AD,MATCH($B127,'Raw Data'!$C:$C,0)),"-")</f>
        <v>Operational</v>
      </c>
    </row>
    <row r="128" spans="1:9" ht="15" customHeight="1" x14ac:dyDescent="0.35">
      <c r="A128" s="16" t="str">
        <f>IFERROR(INDEX('Raw Data'!AC:AC,MATCH($B128,'Raw Data'!$C:$C,0)),"")</f>
        <v>Front End Loader</v>
      </c>
      <c r="B128" s="11" t="s">
        <v>197</v>
      </c>
      <c r="C128" s="14">
        <f>IFERROR(INDEX('Raw Data'!D:D,MATCH($B128,'Raw Data'!$C:$C,0)),"-")</f>
        <v>744</v>
      </c>
      <c r="D128" s="14">
        <f>IFERROR(INDEX('Raw Data'!E:E,MATCH($B128,'Raw Data'!$C:$C,0)),"-")</f>
        <v>0</v>
      </c>
      <c r="E128" s="14">
        <f>IFERROR(INDEX('Raw Data'!H:H,MATCH($B128,'Raw Data'!$C:$C,0)),"-")</f>
        <v>744</v>
      </c>
      <c r="F128" s="14">
        <f>IFERROR(INDEX('Raw Data'!J:J,MATCH($B128,'Raw Data'!$C:$C,0)),"-")</f>
        <v>0</v>
      </c>
      <c r="G128" s="13">
        <f>IFERROR(INDEX('Raw Data'!O:O,MATCH($B128,'Raw Data'!$C:$C,0)),"-")</f>
        <v>0</v>
      </c>
      <c r="H128" s="13">
        <f>IFERROR(INDEX('Raw Data'!P:P,MATCH($B128,'Raw Data'!$C:$C,0)),"-")</f>
        <v>0</v>
      </c>
      <c r="I128" s="16" t="str">
        <f>IFERROR(INDEX('Raw Data'!AD:AD,MATCH($B128,'Raw Data'!$C:$C,0)),"-")</f>
        <v>Non-Operational</v>
      </c>
    </row>
    <row r="129" spans="1:9" ht="18" customHeight="1" x14ac:dyDescent="0.35">
      <c r="A129" s="72" t="s">
        <v>280</v>
      </c>
      <c r="B129" s="72"/>
      <c r="C129" s="72"/>
      <c r="D129" s="72"/>
      <c r="E129" s="72"/>
      <c r="F129" s="72"/>
      <c r="G129" s="72"/>
      <c r="H129" s="72"/>
      <c r="I129" s="72"/>
    </row>
    <row r="130" spans="1:9" ht="15" customHeight="1" x14ac:dyDescent="0.35">
      <c r="A130" s="16" t="str">
        <f>IFERROR(INDEX('Raw Data'!AC:AC,MATCH($B130,'Raw Data'!$C:$C,0)),"")</f>
        <v>Surface Miner</v>
      </c>
      <c r="B130" s="11" t="s">
        <v>231</v>
      </c>
      <c r="C130" s="14">
        <f>IFERROR(INDEX('Raw Data'!D:D,MATCH($B130,'Raw Data'!$C:$C,0)),"-")</f>
        <v>742.329599999999</v>
      </c>
      <c r="D130" s="14">
        <f>IFERROR(INDEX('Raw Data'!E:E,MATCH($B130,'Raw Data'!$C:$C,0)),"-")</f>
        <v>608.26419999999905</v>
      </c>
      <c r="E130" s="14">
        <f>IFERROR(INDEX('Raw Data'!H:H,MATCH($B130,'Raw Data'!$C:$C,0)),"-")</f>
        <v>134.06540000000001</v>
      </c>
      <c r="F130" s="14">
        <f>IFERROR(INDEX('Raw Data'!J:J,MATCH($B130,'Raw Data'!$C:$C,0)),"-")</f>
        <v>30.228400000000001</v>
      </c>
      <c r="G130" s="13">
        <f>IFERROR(INDEX('Raw Data'!O:O,MATCH($B130,'Raw Data'!$C:$C,0)),"-")</f>
        <v>0.81939909170000003</v>
      </c>
      <c r="H130" s="13">
        <f>IFERROR(INDEX('Raw Data'!P:P,MATCH($B130,'Raw Data'!$C:$C,0)),"-")</f>
        <v>0.77364704350000002</v>
      </c>
      <c r="I130" s="16" t="str">
        <f>IFERROR(INDEX('Raw Data'!AD:AD,MATCH($B130,'Raw Data'!$C:$C,0)),"-")</f>
        <v>Operational</v>
      </c>
    </row>
    <row r="131" spans="1:9" ht="15" customHeight="1" x14ac:dyDescent="0.35">
      <c r="A131" s="15" t="str">
        <f>IFERROR(INDEX('Raw Data'!AC:AC,MATCH($B131,'Raw Data'!$C:$C,0)),"")</f>
        <v>Surface Miner</v>
      </c>
      <c r="B131" s="7" t="s">
        <v>232</v>
      </c>
      <c r="C131" s="10">
        <f>IFERROR(INDEX('Raw Data'!D:D,MATCH($B131,'Raw Data'!$C:$C,0)),"-")</f>
        <v>743.99979999999903</v>
      </c>
      <c r="D131" s="10">
        <f>IFERROR(INDEX('Raw Data'!E:E,MATCH($B131,'Raw Data'!$C:$C,0)),"-")</f>
        <v>598.86779999999999</v>
      </c>
      <c r="E131" s="10">
        <f>IFERROR(INDEX('Raw Data'!H:H,MATCH($B131,'Raw Data'!$C:$C,0)),"-")</f>
        <v>145.13199999999901</v>
      </c>
      <c r="F131" s="10">
        <f>IFERROR(INDEX('Raw Data'!J:J,MATCH($B131,'Raw Data'!$C:$C,0)),"-")</f>
        <v>96.367399999999904</v>
      </c>
      <c r="G131" s="9">
        <f>IFERROR(INDEX('Raw Data'!O:O,MATCH($B131,'Raw Data'!$C:$C,0)),"-")</f>
        <v>0.80493005510000004</v>
      </c>
      <c r="H131" s="9">
        <f>IFERROR(INDEX('Raw Data'!P:P,MATCH($B131,'Raw Data'!$C:$C,0)),"-")</f>
        <v>0.8246409308</v>
      </c>
      <c r="I131" s="15" t="str">
        <f>IFERROR(INDEX('Raw Data'!AD:AD,MATCH($B131,'Raw Data'!$C:$C,0)),"-")</f>
        <v>Operational</v>
      </c>
    </row>
    <row r="132" spans="1:9" ht="15" customHeight="1" x14ac:dyDescent="0.35">
      <c r="A132" s="16" t="str">
        <f>IFERROR(INDEX('Raw Data'!AC:AC,MATCH($B132,'Raw Data'!$C:$C,0)),"")</f>
        <v>Surface Miner</v>
      </c>
      <c r="B132" s="11" t="s">
        <v>234</v>
      </c>
      <c r="C132" s="14">
        <f>IFERROR(INDEX('Raw Data'!D:D,MATCH($B132,'Raw Data'!$C:$C,0)),"-")</f>
        <v>743.99959999999999</v>
      </c>
      <c r="D132" s="14">
        <f>IFERROR(INDEX('Raw Data'!E:E,MATCH($B132,'Raw Data'!$C:$C,0)),"-")</f>
        <v>570.38210000000004</v>
      </c>
      <c r="E132" s="14">
        <f>IFERROR(INDEX('Raw Data'!H:H,MATCH($B132,'Raw Data'!$C:$C,0)),"-")</f>
        <v>173.61750000000001</v>
      </c>
      <c r="F132" s="14">
        <f>IFERROR(INDEX('Raw Data'!J:J,MATCH($B132,'Raw Data'!$C:$C,0)),"-")</f>
        <v>51.428199999999997</v>
      </c>
      <c r="G132" s="13">
        <f>IFERROR(INDEX('Raw Data'!O:O,MATCH($B132,'Raw Data'!$C:$C,0)),"-")</f>
        <v>0.76664301970000004</v>
      </c>
      <c r="H132" s="13">
        <f>IFERROR(INDEX('Raw Data'!P:P,MATCH($B132,'Raw Data'!$C:$C,0)),"-")</f>
        <v>0.89579143530000005</v>
      </c>
      <c r="I132" s="16" t="str">
        <f>IFERROR(INDEX('Raw Data'!AD:AD,MATCH($B132,'Raw Data'!$C:$C,0)),"-")</f>
        <v>Operational</v>
      </c>
    </row>
    <row r="133" spans="1:9" ht="15" customHeight="1" x14ac:dyDescent="0.35">
      <c r="A133" s="15" t="str">
        <f>IFERROR(INDEX('Raw Data'!AC:AC,MATCH($B133,'Raw Data'!$C:$C,0)),"")</f>
        <v>Surface Miner</v>
      </c>
      <c r="B133" s="7" t="s">
        <v>229</v>
      </c>
      <c r="C133" s="10">
        <f>IFERROR(INDEX('Raw Data'!D:D,MATCH($B133,'Raw Data'!$C:$C,0)),"-")</f>
        <v>743.99990000000003</v>
      </c>
      <c r="D133" s="10">
        <f>IFERROR(INDEX('Raw Data'!E:E,MATCH($B133,'Raw Data'!$C:$C,0)),"-")</f>
        <v>384.73169999999999</v>
      </c>
      <c r="E133" s="10">
        <f>IFERROR(INDEX('Raw Data'!H:H,MATCH($B133,'Raw Data'!$C:$C,0)),"-")</f>
        <v>359.26819999999998</v>
      </c>
      <c r="F133" s="10">
        <f>IFERROR(INDEX('Raw Data'!J:J,MATCH($B133,'Raw Data'!$C:$C,0)),"-")</f>
        <v>72.8292</v>
      </c>
      <c r="G133" s="9">
        <f>IFERROR(INDEX('Raw Data'!O:O,MATCH($B133,'Raw Data'!$C:$C,0)),"-")</f>
        <v>0.51711256949999995</v>
      </c>
      <c r="H133" s="9">
        <f>IFERROR(INDEX('Raw Data'!P:P,MATCH($B133,'Raw Data'!$C:$C,0)),"-")</f>
        <v>0.78658608060000001</v>
      </c>
      <c r="I133" s="15" t="str">
        <f>IFERROR(INDEX('Raw Data'!AD:AD,MATCH($B133,'Raw Data'!$C:$C,0)),"-")</f>
        <v>Operational</v>
      </c>
    </row>
    <row r="134" spans="1:9" ht="15" customHeight="1" x14ac:dyDescent="0.35">
      <c r="A134" s="16" t="str">
        <f>IFERROR(INDEX('Raw Data'!AC:AC,MATCH($B134,'Raw Data'!$C:$C,0)),"")</f>
        <v>Surface Miner</v>
      </c>
      <c r="B134" s="11" t="s">
        <v>233</v>
      </c>
      <c r="C134" s="14">
        <f>IFERROR(INDEX('Raw Data'!D:D,MATCH($B134,'Raw Data'!$C:$C,0)),"-")</f>
        <v>738.69029999999998</v>
      </c>
      <c r="D134" s="14">
        <f>IFERROR(INDEX('Raw Data'!E:E,MATCH($B134,'Raw Data'!$C:$C,0)),"-")</f>
        <v>369.18229999999897</v>
      </c>
      <c r="E134" s="14">
        <f>IFERROR(INDEX('Raw Data'!H:H,MATCH($B134,'Raw Data'!$C:$C,0)),"-")</f>
        <v>369.50799999999998</v>
      </c>
      <c r="F134" s="14">
        <f>IFERROR(INDEX('Raw Data'!J:J,MATCH($B134,'Raw Data'!$C:$C,0)),"-")</f>
        <v>37.586199999999998</v>
      </c>
      <c r="G134" s="13">
        <f>IFERROR(INDEX('Raw Data'!O:O,MATCH($B134,'Raw Data'!$C:$C,0)),"-")</f>
        <v>0.49977954229999999</v>
      </c>
      <c r="H134" s="13">
        <f>IFERROR(INDEX('Raw Data'!P:P,MATCH($B134,'Raw Data'!$C:$C,0)),"-")</f>
        <v>0.82076442989999998</v>
      </c>
      <c r="I134" s="16" t="str">
        <f>IFERROR(INDEX('Raw Data'!AD:AD,MATCH($B134,'Raw Data'!$C:$C,0)),"-")</f>
        <v>Operational</v>
      </c>
    </row>
    <row r="135" spans="1:9" ht="15" customHeight="1" x14ac:dyDescent="0.35">
      <c r="A135" s="15" t="str">
        <f>IFERROR(INDEX('Raw Data'!AC:AC,MATCH($B135,'Raw Data'!$C:$C,0)),"")</f>
        <v>Surface Miner</v>
      </c>
      <c r="B135" s="7" t="s">
        <v>230</v>
      </c>
      <c r="C135" s="10">
        <f>IFERROR(INDEX('Raw Data'!D:D,MATCH($B135,'Raw Data'!$C:$C,0)),"-")</f>
        <v>739.80119999999897</v>
      </c>
      <c r="D135" s="10">
        <f>IFERROR(INDEX('Raw Data'!E:E,MATCH($B135,'Raw Data'!$C:$C,0)),"-")</f>
        <v>8.6493000000000002</v>
      </c>
      <c r="E135" s="10">
        <f>IFERROR(INDEX('Raw Data'!H:H,MATCH($B135,'Raw Data'!$C:$C,0)),"-")</f>
        <v>731.15189999999905</v>
      </c>
      <c r="F135" s="10">
        <f>IFERROR(INDEX('Raw Data'!J:J,MATCH($B135,'Raw Data'!$C:$C,0)),"-")</f>
        <v>0.78139999999999998</v>
      </c>
      <c r="G135" s="9">
        <f>IFERROR(INDEX('Raw Data'!O:O,MATCH($B135,'Raw Data'!$C:$C,0)),"-")</f>
        <v>1.16913841E-2</v>
      </c>
      <c r="H135" s="9">
        <f>IFERROR(INDEX('Raw Data'!P:P,MATCH($B135,'Raw Data'!$C:$C,0)),"-")</f>
        <v>0.81614697140000003</v>
      </c>
      <c r="I135" s="15" t="str">
        <f>IFERROR(INDEX('Raw Data'!AD:AD,MATCH($B135,'Raw Data'!$C:$C,0)),"-")</f>
        <v>Operational</v>
      </c>
    </row>
    <row r="136" spans="1:9" ht="18" customHeight="1" x14ac:dyDescent="0.35">
      <c r="A136" s="72" t="s">
        <v>281</v>
      </c>
      <c r="B136" s="72"/>
      <c r="C136" s="72"/>
      <c r="D136" s="72"/>
      <c r="E136" s="72"/>
      <c r="F136" s="72"/>
      <c r="G136" s="72"/>
      <c r="H136" s="72"/>
      <c r="I136" s="72"/>
    </row>
    <row r="137" spans="1:9" ht="15" customHeight="1" x14ac:dyDescent="0.35">
      <c r="A137" s="15" t="str">
        <f>IFERROR(INDEX('Raw Data'!AC:AC,MATCH($B137,'Raw Data'!$C:$C,0)),"")</f>
        <v>Tipper</v>
      </c>
      <c r="B137" s="7" t="s">
        <v>68</v>
      </c>
      <c r="C137" s="10">
        <f>IFERROR(INDEX('Raw Data'!D:D,MATCH($B137,'Raw Data'!$C:$C,0)),"-")</f>
        <v>744</v>
      </c>
      <c r="D137" s="10">
        <f>IFERROR(INDEX('Raw Data'!E:E,MATCH($B137,'Raw Data'!$C:$C,0)),"-")</f>
        <v>744</v>
      </c>
      <c r="E137" s="10">
        <f>IFERROR(INDEX('Raw Data'!H:H,MATCH($B137,'Raw Data'!$C:$C,0)),"-")</f>
        <v>0</v>
      </c>
      <c r="F137" s="10">
        <f>IFERROR(INDEX('Raw Data'!J:J,MATCH($B137,'Raw Data'!$C:$C,0)),"-")</f>
        <v>0</v>
      </c>
      <c r="G137" s="9">
        <f>IFERROR(INDEX('Raw Data'!O:O,MATCH($B137,'Raw Data'!$C:$C,0)),"-")</f>
        <v>1</v>
      </c>
      <c r="H137" s="9">
        <f>IFERROR(INDEX('Raw Data'!P:P,MATCH($B137,'Raw Data'!$C:$C,0)),"-")</f>
        <v>0</v>
      </c>
      <c r="I137" s="15" t="str">
        <f>IFERROR(INDEX('Raw Data'!AD:AD,MATCH($B137,'Raw Data'!$C:$C,0)),"-")</f>
        <v>Operational</v>
      </c>
    </row>
    <row r="138" spans="1:9" ht="15" customHeight="1" x14ac:dyDescent="0.35">
      <c r="A138" s="16" t="str">
        <f>IFERROR(INDEX('Raw Data'!AC:AC,MATCH($B138,'Raw Data'!$C:$C,0)),"")</f>
        <v>Tipper</v>
      </c>
      <c r="B138" s="11" t="s">
        <v>95</v>
      </c>
      <c r="C138" s="14">
        <f>IFERROR(INDEX('Raw Data'!D:D,MATCH($B138,'Raw Data'!$C:$C,0)),"-")</f>
        <v>744.00119999999902</v>
      </c>
      <c r="D138" s="14">
        <f>IFERROR(INDEX('Raw Data'!E:E,MATCH($B138,'Raw Data'!$C:$C,0)),"-")</f>
        <v>706.460499999999</v>
      </c>
      <c r="E138" s="14">
        <f>IFERROR(INDEX('Raw Data'!H:H,MATCH($B138,'Raw Data'!$C:$C,0)),"-")</f>
        <v>37.540700000000001</v>
      </c>
      <c r="F138" s="14">
        <f>IFERROR(INDEX('Raw Data'!J:J,MATCH($B138,'Raw Data'!$C:$C,0)),"-")</f>
        <v>224.15329999999901</v>
      </c>
      <c r="G138" s="13">
        <f>IFERROR(INDEX('Raw Data'!O:O,MATCH($B138,'Raw Data'!$C:$C,0)),"-")</f>
        <v>0.94954215129999997</v>
      </c>
      <c r="H138" s="13">
        <f>IFERROR(INDEX('Raw Data'!P:P,MATCH($B138,'Raw Data'!$C:$C,0)),"-")</f>
        <v>0.6554625489</v>
      </c>
      <c r="I138" s="16" t="str">
        <f>IFERROR(INDEX('Raw Data'!AD:AD,MATCH($B138,'Raw Data'!$C:$C,0)),"-")</f>
        <v>Operational</v>
      </c>
    </row>
    <row r="139" spans="1:9" ht="15" customHeight="1" x14ac:dyDescent="0.35">
      <c r="A139" s="15" t="str">
        <f>IFERROR(INDEX('Raw Data'!AC:AC,MATCH($B139,'Raw Data'!$C:$C,0)),"")</f>
        <v>Tipper</v>
      </c>
      <c r="B139" s="7" t="s">
        <v>94</v>
      </c>
      <c r="C139" s="10">
        <f>IFERROR(INDEX('Raw Data'!D:D,MATCH($B139,'Raw Data'!$C:$C,0)),"-")</f>
        <v>744.00369999999998</v>
      </c>
      <c r="D139" s="10">
        <f>IFERROR(INDEX('Raw Data'!E:E,MATCH($B139,'Raw Data'!$C:$C,0)),"-")</f>
        <v>702.57860000000005</v>
      </c>
      <c r="E139" s="10">
        <f>IFERROR(INDEX('Raw Data'!H:H,MATCH($B139,'Raw Data'!$C:$C,0)),"-")</f>
        <v>41.4251</v>
      </c>
      <c r="F139" s="10">
        <f>IFERROR(INDEX('Raw Data'!J:J,MATCH($B139,'Raw Data'!$C:$C,0)),"-")</f>
        <v>226.652999999999</v>
      </c>
      <c r="G139" s="9">
        <f>IFERROR(INDEX('Raw Data'!O:O,MATCH($B139,'Raw Data'!$C:$C,0)),"-")</f>
        <v>0.94432137900000002</v>
      </c>
      <c r="H139" s="9">
        <f>IFERROR(INDEX('Raw Data'!P:P,MATCH($B139,'Raw Data'!$C:$C,0)),"-")</f>
        <v>0.67115665069999997</v>
      </c>
      <c r="I139" s="15" t="str">
        <f>IFERROR(INDEX('Raw Data'!AD:AD,MATCH($B139,'Raw Data'!$C:$C,0)),"-")</f>
        <v>Operational</v>
      </c>
    </row>
    <row r="140" spans="1:9" ht="15" customHeight="1" x14ac:dyDescent="0.35">
      <c r="A140" s="16" t="str">
        <f>IFERROR(INDEX('Raw Data'!AC:AC,MATCH($B140,'Raw Data'!$C:$C,0)),"")</f>
        <v>Tipper</v>
      </c>
      <c r="B140" s="11" t="s">
        <v>99</v>
      </c>
      <c r="C140" s="14">
        <f>IFERROR(INDEX('Raw Data'!D:D,MATCH($B140,'Raw Data'!$C:$C,0)),"-")</f>
        <v>744.00289999999995</v>
      </c>
      <c r="D140" s="14">
        <f>IFERROR(INDEX('Raw Data'!E:E,MATCH($B140,'Raw Data'!$C:$C,0)),"-")</f>
        <v>699.02970000000005</v>
      </c>
      <c r="E140" s="14">
        <f>IFERROR(INDEX('Raw Data'!H:H,MATCH($B140,'Raw Data'!$C:$C,0)),"-")</f>
        <v>44.973199999999999</v>
      </c>
      <c r="F140" s="14">
        <f>IFERROR(INDEX('Raw Data'!J:J,MATCH($B140,'Raw Data'!$C:$C,0)),"-")</f>
        <v>217.21029999999899</v>
      </c>
      <c r="G140" s="13">
        <f>IFERROR(INDEX('Raw Data'!O:O,MATCH($B140,'Raw Data'!$C:$C,0)),"-")</f>
        <v>0.93955238620000003</v>
      </c>
      <c r="H140" s="13">
        <f>IFERROR(INDEX('Raw Data'!P:P,MATCH($B140,'Raw Data'!$C:$C,0)),"-")</f>
        <v>0.68018426109999996</v>
      </c>
      <c r="I140" s="16" t="str">
        <f>IFERROR(INDEX('Raw Data'!AD:AD,MATCH($B140,'Raw Data'!$C:$C,0)),"-")</f>
        <v>Operational</v>
      </c>
    </row>
    <row r="141" spans="1:9" ht="15" customHeight="1" x14ac:dyDescent="0.35">
      <c r="A141" s="15" t="str">
        <f>IFERROR(INDEX('Raw Data'!AC:AC,MATCH($B141,'Raw Data'!$C:$C,0)),"")</f>
        <v>Tipper</v>
      </c>
      <c r="B141" s="7" t="s">
        <v>75</v>
      </c>
      <c r="C141" s="10">
        <f>IFERROR(INDEX('Raw Data'!D:D,MATCH($B141,'Raw Data'!$C:$C,0)),"-")</f>
        <v>744.00419999999895</v>
      </c>
      <c r="D141" s="10">
        <f>IFERROR(INDEX('Raw Data'!E:E,MATCH($B141,'Raw Data'!$C:$C,0)),"-")</f>
        <v>693.97709999999904</v>
      </c>
      <c r="E141" s="10">
        <f>IFERROR(INDEX('Raw Data'!H:H,MATCH($B141,'Raw Data'!$C:$C,0)),"-")</f>
        <v>50.027099999999997</v>
      </c>
      <c r="F141" s="10">
        <f>IFERROR(INDEX('Raw Data'!J:J,MATCH($B141,'Raw Data'!$C:$C,0)),"-")</f>
        <v>212.84599999999901</v>
      </c>
      <c r="G141" s="9">
        <f>IFERROR(INDEX('Raw Data'!O:O,MATCH($B141,'Raw Data'!$C:$C,0)),"-")</f>
        <v>0.93275965380000003</v>
      </c>
      <c r="H141" s="9">
        <f>IFERROR(INDEX('Raw Data'!P:P,MATCH($B141,'Raw Data'!$C:$C,0)),"-")</f>
        <v>0.68530416930000004</v>
      </c>
      <c r="I141" s="15" t="str">
        <f>IFERROR(INDEX('Raw Data'!AD:AD,MATCH($B141,'Raw Data'!$C:$C,0)),"-")</f>
        <v>Operational</v>
      </c>
    </row>
    <row r="142" spans="1:9" ht="15" customHeight="1" x14ac:dyDescent="0.35">
      <c r="A142" s="16" t="str">
        <f>IFERROR(INDEX('Raw Data'!AC:AC,MATCH($B142,'Raw Data'!$C:$C,0)),"")</f>
        <v>Tipper</v>
      </c>
      <c r="B142" s="11" t="s">
        <v>91</v>
      </c>
      <c r="C142" s="14">
        <f>IFERROR(INDEX('Raw Data'!D:D,MATCH($B142,'Raw Data'!$C:$C,0)),"-")</f>
        <v>744.001699999999</v>
      </c>
      <c r="D142" s="14">
        <f>IFERROR(INDEX('Raw Data'!E:E,MATCH($B142,'Raw Data'!$C:$C,0)),"-")</f>
        <v>688.26049999999896</v>
      </c>
      <c r="E142" s="14">
        <f>IFERROR(INDEX('Raw Data'!H:H,MATCH($B142,'Raw Data'!$C:$C,0)),"-")</f>
        <v>55.7411999999999</v>
      </c>
      <c r="F142" s="14">
        <f>IFERROR(INDEX('Raw Data'!J:J,MATCH($B142,'Raw Data'!$C:$C,0)),"-")</f>
        <v>236.96839999999901</v>
      </c>
      <c r="G142" s="13">
        <f>IFERROR(INDEX('Raw Data'!O:O,MATCH($B142,'Raw Data'!$C:$C,0)),"-")</f>
        <v>0.92507920340000005</v>
      </c>
      <c r="H142" s="13">
        <f>IFERROR(INDEX('Raw Data'!P:P,MATCH($B142,'Raw Data'!$C:$C,0)),"-")</f>
        <v>0.65016385509999997</v>
      </c>
      <c r="I142" s="16" t="str">
        <f>IFERROR(INDEX('Raw Data'!AD:AD,MATCH($B142,'Raw Data'!$C:$C,0)),"-")</f>
        <v>Operational</v>
      </c>
    </row>
    <row r="143" spans="1:9" ht="15" customHeight="1" x14ac:dyDescent="0.35">
      <c r="A143" s="15" t="str">
        <f>IFERROR(INDEX('Raw Data'!AC:AC,MATCH($B143,'Raw Data'!$C:$C,0)),"")</f>
        <v>Tipper</v>
      </c>
      <c r="B143" s="7" t="s">
        <v>85</v>
      </c>
      <c r="C143" s="10">
        <f>IFERROR(INDEX('Raw Data'!D:D,MATCH($B143,'Raw Data'!$C:$C,0)),"-")</f>
        <v>744.00229999999897</v>
      </c>
      <c r="D143" s="10">
        <f>IFERROR(INDEX('Raw Data'!E:E,MATCH($B143,'Raw Data'!$C:$C,0)),"-")</f>
        <v>683.01499999999896</v>
      </c>
      <c r="E143" s="10">
        <f>IFERROR(INDEX('Raw Data'!H:H,MATCH($B143,'Raw Data'!$C:$C,0)),"-")</f>
        <v>60.987299999999998</v>
      </c>
      <c r="F143" s="10">
        <f>IFERROR(INDEX('Raw Data'!J:J,MATCH($B143,'Raw Data'!$C:$C,0)),"-")</f>
        <v>226.283299999999</v>
      </c>
      <c r="G143" s="9">
        <f>IFERROR(INDEX('Raw Data'!O:O,MATCH($B143,'Raw Data'!$C:$C,0)),"-")</f>
        <v>0.91802807600000003</v>
      </c>
      <c r="H143" s="9">
        <f>IFERROR(INDEX('Raw Data'!P:P,MATCH($B143,'Raw Data'!$C:$C,0)),"-")</f>
        <v>0.66314180509999998</v>
      </c>
      <c r="I143" s="15" t="str">
        <f>IFERROR(INDEX('Raw Data'!AD:AD,MATCH($B143,'Raw Data'!$C:$C,0)),"-")</f>
        <v>Operational</v>
      </c>
    </row>
    <row r="144" spans="1:9" ht="15" customHeight="1" x14ac:dyDescent="0.35">
      <c r="A144" s="16" t="str">
        <f>IFERROR(INDEX('Raw Data'!AC:AC,MATCH($B144,'Raw Data'!$C:$C,0)),"")</f>
        <v>Tipper</v>
      </c>
      <c r="B144" s="11" t="s">
        <v>92</v>
      </c>
      <c r="C144" s="14">
        <f>IFERROR(INDEX('Raw Data'!D:D,MATCH($B144,'Raw Data'!$C:$C,0)),"-")</f>
        <v>744.00289999999904</v>
      </c>
      <c r="D144" s="14">
        <f>IFERROR(INDEX('Raw Data'!E:E,MATCH($B144,'Raw Data'!$C:$C,0)),"-")</f>
        <v>682.58339999999896</v>
      </c>
      <c r="E144" s="14">
        <f>IFERROR(INDEX('Raw Data'!H:H,MATCH($B144,'Raw Data'!$C:$C,0)),"-")</f>
        <v>61.419499999999999</v>
      </c>
      <c r="F144" s="14">
        <f>IFERROR(INDEX('Raw Data'!J:J,MATCH($B144,'Raw Data'!$C:$C,0)),"-")</f>
        <v>236.63619999999901</v>
      </c>
      <c r="G144" s="13">
        <f>IFERROR(INDEX('Raw Data'!O:O,MATCH($B144,'Raw Data'!$C:$C,0)),"-")</f>
        <v>0.91744723039999998</v>
      </c>
      <c r="H144" s="13">
        <f>IFERROR(INDEX('Raw Data'!P:P,MATCH($B144,'Raw Data'!$C:$C,0)),"-")</f>
        <v>0.64631970250000004</v>
      </c>
      <c r="I144" s="16" t="str">
        <f>IFERROR(INDEX('Raw Data'!AD:AD,MATCH($B144,'Raw Data'!$C:$C,0)),"-")</f>
        <v>Operational</v>
      </c>
    </row>
    <row r="145" spans="1:9" ht="15" customHeight="1" x14ac:dyDescent="0.35">
      <c r="A145" s="15" t="str">
        <f>IFERROR(INDEX('Raw Data'!AC:AC,MATCH($B145,'Raw Data'!$C:$C,0)),"")</f>
        <v>Tipper</v>
      </c>
      <c r="B145" s="7" t="s">
        <v>73</v>
      </c>
      <c r="C145" s="10">
        <f>IFERROR(INDEX('Raw Data'!D:D,MATCH($B145,'Raw Data'!$C:$C,0)),"-")</f>
        <v>744.004899999999</v>
      </c>
      <c r="D145" s="10">
        <f>IFERROR(INDEX('Raw Data'!E:E,MATCH($B145,'Raw Data'!$C:$C,0)),"-")</f>
        <v>676.49589999999898</v>
      </c>
      <c r="E145" s="10">
        <f>IFERROR(INDEX('Raw Data'!H:H,MATCH($B145,'Raw Data'!$C:$C,0)),"-")</f>
        <v>67.509</v>
      </c>
      <c r="F145" s="10">
        <f>IFERROR(INDEX('Raw Data'!J:J,MATCH($B145,'Raw Data'!$C:$C,0)),"-")</f>
        <v>192.63969999999901</v>
      </c>
      <c r="G145" s="9">
        <f>IFERROR(INDEX('Raw Data'!O:O,MATCH($B145,'Raw Data'!$C:$C,0)),"-")</f>
        <v>0.90926269439999996</v>
      </c>
      <c r="H145" s="9">
        <f>IFERROR(INDEX('Raw Data'!P:P,MATCH($B145,'Raw Data'!$C:$C,0)),"-")</f>
        <v>0.70729652610000004</v>
      </c>
      <c r="I145" s="15" t="str">
        <f>IFERROR(INDEX('Raw Data'!AD:AD,MATCH($B145,'Raw Data'!$C:$C,0)),"-")</f>
        <v>Operational</v>
      </c>
    </row>
    <row r="146" spans="1:9" ht="15" customHeight="1" x14ac:dyDescent="0.35">
      <c r="A146" s="16" t="str">
        <f>IFERROR(INDEX('Raw Data'!AC:AC,MATCH($B146,'Raw Data'!$C:$C,0)),"")</f>
        <v>Tipper</v>
      </c>
      <c r="B146" s="11" t="s">
        <v>97</v>
      </c>
      <c r="C146" s="14">
        <f>IFERROR(INDEX('Raw Data'!D:D,MATCH($B146,'Raw Data'!$C:$C,0)),"-")</f>
        <v>744.00269999999898</v>
      </c>
      <c r="D146" s="14">
        <f>IFERROR(INDEX('Raw Data'!E:E,MATCH($B146,'Raw Data'!$C:$C,0)),"-")</f>
        <v>675.97329999999897</v>
      </c>
      <c r="E146" s="14">
        <f>IFERROR(INDEX('Raw Data'!H:H,MATCH($B146,'Raw Data'!$C:$C,0)),"-")</f>
        <v>68.029399999999896</v>
      </c>
      <c r="F146" s="14">
        <f>IFERROR(INDEX('Raw Data'!J:J,MATCH($B146,'Raw Data'!$C:$C,0)),"-")</f>
        <v>258.99459999999902</v>
      </c>
      <c r="G146" s="13">
        <f>IFERROR(INDEX('Raw Data'!O:O,MATCH($B146,'Raw Data'!$C:$C,0)),"-")</f>
        <v>0.90856296619999999</v>
      </c>
      <c r="H146" s="13">
        <f>IFERROR(INDEX('Raw Data'!P:P,MATCH($B146,'Raw Data'!$C:$C,0)),"-")</f>
        <v>0.61233187759999996</v>
      </c>
      <c r="I146" s="16" t="str">
        <f>IFERROR(INDEX('Raw Data'!AD:AD,MATCH($B146,'Raw Data'!$C:$C,0)),"-")</f>
        <v>Operational</v>
      </c>
    </row>
    <row r="147" spans="1:9" ht="15" customHeight="1" x14ac:dyDescent="0.35">
      <c r="A147" s="15" t="str">
        <f>IFERROR(INDEX('Raw Data'!AC:AC,MATCH($B147,'Raw Data'!$C:$C,0)),"")</f>
        <v>Tipper</v>
      </c>
      <c r="B147" s="7" t="s">
        <v>82</v>
      </c>
      <c r="C147" s="10">
        <f>IFERROR(INDEX('Raw Data'!D:D,MATCH($B147,'Raw Data'!$C:$C,0)),"-")</f>
        <v>744.00329999999894</v>
      </c>
      <c r="D147" s="10">
        <f>IFERROR(INDEX('Raw Data'!E:E,MATCH($B147,'Raw Data'!$C:$C,0)),"-")</f>
        <v>669.34419999999898</v>
      </c>
      <c r="E147" s="10">
        <f>IFERROR(INDEX('Raw Data'!H:H,MATCH($B147,'Raw Data'!$C:$C,0)),"-")</f>
        <v>74.659099999999995</v>
      </c>
      <c r="F147" s="10">
        <f>IFERROR(INDEX('Raw Data'!J:J,MATCH($B147,'Raw Data'!$C:$C,0)),"-")</f>
        <v>227.515299999999</v>
      </c>
      <c r="G147" s="9">
        <f>IFERROR(INDEX('Raw Data'!O:O,MATCH($B147,'Raw Data'!$C:$C,0)),"-")</f>
        <v>0.89965219240000005</v>
      </c>
      <c r="H147" s="9">
        <f>IFERROR(INDEX('Raw Data'!P:P,MATCH($B147,'Raw Data'!$C:$C,0)),"-")</f>
        <v>0.65578696280000004</v>
      </c>
      <c r="I147" s="15" t="str">
        <f>IFERROR(INDEX('Raw Data'!AD:AD,MATCH($B147,'Raw Data'!$C:$C,0)),"-")</f>
        <v>Operational</v>
      </c>
    </row>
    <row r="148" spans="1:9" ht="15" customHeight="1" x14ac:dyDescent="0.35">
      <c r="A148" s="16" t="str">
        <f>IFERROR(INDEX('Raw Data'!AC:AC,MATCH($B148,'Raw Data'!$C:$C,0)),"")</f>
        <v>Tipper</v>
      </c>
      <c r="B148" s="11" t="s">
        <v>72</v>
      </c>
      <c r="C148" s="14">
        <f>IFERROR(INDEX('Raw Data'!D:D,MATCH($B148,'Raw Data'!$C:$C,0)),"-")</f>
        <v>744.004899999999</v>
      </c>
      <c r="D148" s="14">
        <f>IFERROR(INDEX('Raw Data'!E:E,MATCH($B148,'Raw Data'!$C:$C,0)),"-")</f>
        <v>664.28499999999894</v>
      </c>
      <c r="E148" s="14">
        <f>IFERROR(INDEX('Raw Data'!H:H,MATCH($B148,'Raw Data'!$C:$C,0)),"-")</f>
        <v>79.719899999999996</v>
      </c>
      <c r="F148" s="14">
        <f>IFERROR(INDEX('Raw Data'!J:J,MATCH($B148,'Raw Data'!$C:$C,0)),"-")</f>
        <v>236.303799999999</v>
      </c>
      <c r="G148" s="13">
        <f>IFERROR(INDEX('Raw Data'!O:O,MATCH($B148,'Raw Data'!$C:$C,0)),"-")</f>
        <v>0.89285030249999997</v>
      </c>
      <c r="H148" s="13">
        <f>IFERROR(INDEX('Raw Data'!P:P,MATCH($B148,'Raw Data'!$C:$C,0)),"-")</f>
        <v>0.63847053600000003</v>
      </c>
      <c r="I148" s="16" t="str">
        <f>IFERROR(INDEX('Raw Data'!AD:AD,MATCH($B148,'Raw Data'!$C:$C,0)),"-")</f>
        <v>Operational</v>
      </c>
    </row>
    <row r="149" spans="1:9" ht="15" customHeight="1" x14ac:dyDescent="0.35">
      <c r="A149" s="15" t="str">
        <f>IFERROR(INDEX('Raw Data'!AC:AC,MATCH($B149,'Raw Data'!$C:$C,0)),"")</f>
        <v>Tipper</v>
      </c>
      <c r="B149" s="7" t="s">
        <v>90</v>
      </c>
      <c r="C149" s="10">
        <f>IFERROR(INDEX('Raw Data'!D:D,MATCH($B149,'Raw Data'!$C:$C,0)),"-")</f>
        <v>744.00299999999902</v>
      </c>
      <c r="D149" s="10">
        <f>IFERROR(INDEX('Raw Data'!E:E,MATCH($B149,'Raw Data'!$C:$C,0)),"-")</f>
        <v>663.74959999999896</v>
      </c>
      <c r="E149" s="10">
        <f>IFERROR(INDEX('Raw Data'!H:H,MATCH($B149,'Raw Data'!$C:$C,0)),"-")</f>
        <v>80.253399999999999</v>
      </c>
      <c r="F149" s="10">
        <f>IFERROR(INDEX('Raw Data'!J:J,MATCH($B149,'Raw Data'!$C:$C,0)),"-")</f>
        <v>255.74059999999901</v>
      </c>
      <c r="G149" s="9">
        <f>IFERROR(INDEX('Raw Data'!O:O,MATCH($B149,'Raw Data'!$C:$C,0)),"-")</f>
        <v>0.89213296180000001</v>
      </c>
      <c r="H149" s="9">
        <f>IFERROR(INDEX('Raw Data'!P:P,MATCH($B149,'Raw Data'!$C:$C,0)),"-")</f>
        <v>0.60268706750000001</v>
      </c>
      <c r="I149" s="15" t="str">
        <f>IFERROR(INDEX('Raw Data'!AD:AD,MATCH($B149,'Raw Data'!$C:$C,0)),"-")</f>
        <v>Operational</v>
      </c>
    </row>
    <row r="150" spans="1:9" ht="15" customHeight="1" x14ac:dyDescent="0.35">
      <c r="A150" s="16" t="str">
        <f>IFERROR(INDEX('Raw Data'!AC:AC,MATCH($B150,'Raw Data'!$C:$C,0)),"")</f>
        <v>Tipper</v>
      </c>
      <c r="B150" s="11" t="s">
        <v>62</v>
      </c>
      <c r="C150" s="14">
        <f>IFERROR(INDEX('Raw Data'!D:D,MATCH($B150,'Raw Data'!$C:$C,0)),"-")</f>
        <v>744.00259999999901</v>
      </c>
      <c r="D150" s="14">
        <f>IFERROR(INDEX('Raw Data'!E:E,MATCH($B150,'Raw Data'!$C:$C,0)),"-")</f>
        <v>659.22249999999894</v>
      </c>
      <c r="E150" s="14">
        <f>IFERROR(INDEX('Raw Data'!H:H,MATCH($B150,'Raw Data'!$C:$C,0)),"-")</f>
        <v>84.780100000000004</v>
      </c>
      <c r="F150" s="14">
        <f>IFERROR(INDEX('Raw Data'!J:J,MATCH($B150,'Raw Data'!$C:$C,0)),"-")</f>
        <v>243.871499999999</v>
      </c>
      <c r="G150" s="13">
        <f>IFERROR(INDEX('Raw Data'!O:O,MATCH($B150,'Raw Data'!$C:$C,0)),"-")</f>
        <v>0.88604865089999996</v>
      </c>
      <c r="H150" s="13">
        <f>IFERROR(INDEX('Raw Data'!P:P,MATCH($B150,'Raw Data'!$C:$C,0)),"-")</f>
        <v>0.62612031599999995</v>
      </c>
      <c r="I150" s="16" t="str">
        <f>IFERROR(INDEX('Raw Data'!AD:AD,MATCH($B150,'Raw Data'!$C:$C,0)),"-")</f>
        <v>Operational</v>
      </c>
    </row>
    <row r="151" spans="1:9" ht="15" customHeight="1" x14ac:dyDescent="0.35">
      <c r="A151" s="15" t="str">
        <f>IFERROR(INDEX('Raw Data'!AC:AC,MATCH($B151,'Raw Data'!$C:$C,0)),"")</f>
        <v>Tipper</v>
      </c>
      <c r="B151" s="7" t="s">
        <v>93</v>
      </c>
      <c r="C151" s="10">
        <f>IFERROR(INDEX('Raw Data'!D:D,MATCH($B151,'Raw Data'!$C:$C,0)),"-")</f>
        <v>744.00199999999904</v>
      </c>
      <c r="D151" s="10">
        <f>IFERROR(INDEX('Raw Data'!E:E,MATCH($B151,'Raw Data'!$C:$C,0)),"-")</f>
        <v>656.57939999999905</v>
      </c>
      <c r="E151" s="10">
        <f>IFERROR(INDEX('Raw Data'!H:H,MATCH($B151,'Raw Data'!$C:$C,0)),"-")</f>
        <v>87.422599999999903</v>
      </c>
      <c r="F151" s="10">
        <f>IFERROR(INDEX('Raw Data'!J:J,MATCH($B151,'Raw Data'!$C:$C,0)),"-")</f>
        <v>228.03729999999899</v>
      </c>
      <c r="G151" s="9">
        <f>IFERROR(INDEX('Raw Data'!O:O,MATCH($B151,'Raw Data'!$C:$C,0)),"-")</f>
        <v>0.88249682119999995</v>
      </c>
      <c r="H151" s="9">
        <f>IFERROR(INDEX('Raw Data'!P:P,MATCH($B151,'Raw Data'!$C:$C,0)),"-")</f>
        <v>0.64630705749999995</v>
      </c>
      <c r="I151" s="15" t="str">
        <f>IFERROR(INDEX('Raw Data'!AD:AD,MATCH($B151,'Raw Data'!$C:$C,0)),"-")</f>
        <v>Operational</v>
      </c>
    </row>
    <row r="152" spans="1:9" ht="15" customHeight="1" x14ac:dyDescent="0.35">
      <c r="A152" s="16" t="str">
        <f>IFERROR(INDEX('Raw Data'!AC:AC,MATCH($B152,'Raw Data'!$C:$C,0)),"")</f>
        <v>Tipper</v>
      </c>
      <c r="B152" s="11" t="s">
        <v>76</v>
      </c>
      <c r="C152" s="14">
        <f>IFERROR(INDEX('Raw Data'!D:D,MATCH($B152,'Raw Data'!$C:$C,0)),"-")</f>
        <v>743.99979999999903</v>
      </c>
      <c r="D152" s="14">
        <f>IFERROR(INDEX('Raw Data'!E:E,MATCH($B152,'Raw Data'!$C:$C,0)),"-")</f>
        <v>656.48549999999898</v>
      </c>
      <c r="E152" s="14">
        <f>IFERROR(INDEX('Raw Data'!H:H,MATCH($B152,'Raw Data'!$C:$C,0)),"-")</f>
        <v>87.514300000000006</v>
      </c>
      <c r="F152" s="14">
        <f>IFERROR(INDEX('Raw Data'!J:J,MATCH($B152,'Raw Data'!$C:$C,0)),"-")</f>
        <v>190.61919999999901</v>
      </c>
      <c r="G152" s="13">
        <f>IFERROR(INDEX('Raw Data'!O:O,MATCH($B152,'Raw Data'!$C:$C,0)),"-")</f>
        <v>0.88237322110000005</v>
      </c>
      <c r="H152" s="13">
        <f>IFERROR(INDEX('Raw Data'!P:P,MATCH($B152,'Raw Data'!$C:$C,0)),"-")</f>
        <v>0.70187231859999999</v>
      </c>
      <c r="I152" s="16" t="str">
        <f>IFERROR(INDEX('Raw Data'!AD:AD,MATCH($B152,'Raw Data'!$C:$C,0)),"-")</f>
        <v>Operational</v>
      </c>
    </row>
    <row r="153" spans="1:9" ht="15" customHeight="1" x14ac:dyDescent="0.35">
      <c r="A153" s="15" t="str">
        <f>IFERROR(INDEX('Raw Data'!AC:AC,MATCH($B153,'Raw Data'!$C:$C,0)),"")</f>
        <v>Tipper</v>
      </c>
      <c r="B153" s="7" t="s">
        <v>79</v>
      </c>
      <c r="C153" s="10">
        <f>IFERROR(INDEX('Raw Data'!D:D,MATCH($B153,'Raw Data'!$C:$C,0)),"-")</f>
        <v>744.00359999999898</v>
      </c>
      <c r="D153" s="10">
        <f>IFERROR(INDEX('Raw Data'!E:E,MATCH($B153,'Raw Data'!$C:$C,0)),"-")</f>
        <v>644.67729999999904</v>
      </c>
      <c r="E153" s="10">
        <f>IFERROR(INDEX('Raw Data'!H:H,MATCH($B153,'Raw Data'!$C:$C,0)),"-")</f>
        <v>99.326299999999904</v>
      </c>
      <c r="F153" s="10">
        <f>IFERROR(INDEX('Raw Data'!J:J,MATCH($B153,'Raw Data'!$C:$C,0)),"-")</f>
        <v>223.77519999999899</v>
      </c>
      <c r="G153" s="9">
        <f>IFERROR(INDEX('Raw Data'!O:O,MATCH($B153,'Raw Data'!$C:$C,0)),"-")</f>
        <v>0.8664975546</v>
      </c>
      <c r="H153" s="9">
        <f>IFERROR(INDEX('Raw Data'!P:P,MATCH($B153,'Raw Data'!$C:$C,0)),"-")</f>
        <v>0.64549705719999995</v>
      </c>
      <c r="I153" s="15" t="str">
        <f>IFERROR(INDEX('Raw Data'!AD:AD,MATCH($B153,'Raw Data'!$C:$C,0)),"-")</f>
        <v>Operational</v>
      </c>
    </row>
    <row r="154" spans="1:9" ht="15" customHeight="1" x14ac:dyDescent="0.35">
      <c r="A154" s="16" t="str">
        <f>IFERROR(INDEX('Raw Data'!AC:AC,MATCH($B154,'Raw Data'!$C:$C,0)),"")</f>
        <v>Tipper</v>
      </c>
      <c r="B154" s="11" t="s">
        <v>48</v>
      </c>
      <c r="C154" s="14">
        <f>IFERROR(INDEX('Raw Data'!D:D,MATCH($B154,'Raw Data'!$C:$C,0)),"-")</f>
        <v>744.00339999999903</v>
      </c>
      <c r="D154" s="14">
        <f>IFERROR(INDEX('Raw Data'!E:E,MATCH($B154,'Raw Data'!$C:$C,0)),"-")</f>
        <v>644.17959999999903</v>
      </c>
      <c r="E154" s="14">
        <f>IFERROR(INDEX('Raw Data'!H:H,MATCH($B154,'Raw Data'!$C:$C,0)),"-")</f>
        <v>99.823800000000006</v>
      </c>
      <c r="F154" s="14">
        <f>IFERROR(INDEX('Raw Data'!J:J,MATCH($B154,'Raw Data'!$C:$C,0)),"-")</f>
        <v>265.82089999999903</v>
      </c>
      <c r="G154" s="13">
        <f>IFERROR(INDEX('Raw Data'!O:O,MATCH($B154,'Raw Data'!$C:$C,0)),"-")</f>
        <v>0.86582883899999996</v>
      </c>
      <c r="H154" s="13">
        <f>IFERROR(INDEX('Raw Data'!P:P,MATCH($B154,'Raw Data'!$C:$C,0)),"-")</f>
        <v>0.58338497519999999</v>
      </c>
      <c r="I154" s="16" t="str">
        <f>IFERROR(INDEX('Raw Data'!AD:AD,MATCH($B154,'Raw Data'!$C:$C,0)),"-")</f>
        <v>Operational</v>
      </c>
    </row>
    <row r="155" spans="1:9" ht="15" customHeight="1" x14ac:dyDescent="0.35">
      <c r="A155" s="15" t="str">
        <f>IFERROR(INDEX('Raw Data'!AC:AC,MATCH($B155,'Raw Data'!$C:$C,0)),"")</f>
        <v>Tipper</v>
      </c>
      <c r="B155" s="7" t="s">
        <v>65</v>
      </c>
      <c r="C155" s="10">
        <f>IFERROR(INDEX('Raw Data'!D:D,MATCH($B155,'Raw Data'!$C:$C,0)),"-")</f>
        <v>744.00119999999902</v>
      </c>
      <c r="D155" s="10">
        <f>IFERROR(INDEX('Raw Data'!E:E,MATCH($B155,'Raw Data'!$C:$C,0)),"-")</f>
        <v>610.86819999999898</v>
      </c>
      <c r="E155" s="10">
        <f>IFERROR(INDEX('Raw Data'!H:H,MATCH($B155,'Raw Data'!$C:$C,0)),"-")</f>
        <v>133.13300000000001</v>
      </c>
      <c r="F155" s="10">
        <f>IFERROR(INDEX('Raw Data'!J:J,MATCH($B155,'Raw Data'!$C:$C,0)),"-")</f>
        <v>193.130099999999</v>
      </c>
      <c r="G155" s="9">
        <f>IFERROR(INDEX('Raw Data'!O:O,MATCH($B155,'Raw Data'!$C:$C,0)),"-")</f>
        <v>0.82105808430000005</v>
      </c>
      <c r="H155" s="9">
        <f>IFERROR(INDEX('Raw Data'!P:P,MATCH($B155,'Raw Data'!$C:$C,0)),"-")</f>
        <v>0.67756759970000002</v>
      </c>
      <c r="I155" s="15" t="str">
        <f>IFERROR(INDEX('Raw Data'!AD:AD,MATCH($B155,'Raw Data'!$C:$C,0)),"-")</f>
        <v>Operational</v>
      </c>
    </row>
    <row r="156" spans="1:9" ht="15" customHeight="1" x14ac:dyDescent="0.35">
      <c r="A156" s="16" t="str">
        <f>IFERROR(INDEX('Raw Data'!AC:AC,MATCH($B156,'Raw Data'!$C:$C,0)),"")</f>
        <v>Tipper</v>
      </c>
      <c r="B156" s="11" t="s">
        <v>57</v>
      </c>
      <c r="C156" s="14">
        <f>IFERROR(INDEX('Raw Data'!D:D,MATCH($B156,'Raw Data'!$C:$C,0)),"-")</f>
        <v>744.00389999999902</v>
      </c>
      <c r="D156" s="14">
        <f>IFERROR(INDEX('Raw Data'!E:E,MATCH($B156,'Raw Data'!$C:$C,0)),"-")</f>
        <v>588.18209999999897</v>
      </c>
      <c r="E156" s="14">
        <f>IFERROR(INDEX('Raw Data'!H:H,MATCH($B156,'Raw Data'!$C:$C,0)),"-")</f>
        <v>155.8218</v>
      </c>
      <c r="F156" s="14">
        <f>IFERROR(INDEX('Raw Data'!J:J,MATCH($B156,'Raw Data'!$C:$C,0)),"-")</f>
        <v>181.15509999999901</v>
      </c>
      <c r="G156" s="13">
        <f>IFERROR(INDEX('Raw Data'!O:O,MATCH($B156,'Raw Data'!$C:$C,0)),"-")</f>
        <v>0.79056319460000002</v>
      </c>
      <c r="H156" s="13">
        <f>IFERROR(INDEX('Raw Data'!P:P,MATCH($B156,'Raw Data'!$C:$C,0)),"-")</f>
        <v>0.68761630110000005</v>
      </c>
      <c r="I156" s="16" t="str">
        <f>IFERROR(INDEX('Raw Data'!AD:AD,MATCH($B156,'Raw Data'!$C:$C,0)),"-")</f>
        <v>Operational</v>
      </c>
    </row>
    <row r="157" spans="1:9" ht="15" customHeight="1" x14ac:dyDescent="0.35">
      <c r="A157" s="15" t="str">
        <f>IFERROR(INDEX('Raw Data'!AC:AC,MATCH($B157,'Raw Data'!$C:$C,0)),"")</f>
        <v>Tipper</v>
      </c>
      <c r="B157" s="7" t="s">
        <v>46</v>
      </c>
      <c r="C157" s="10">
        <f>IFERROR(INDEX('Raw Data'!D:D,MATCH($B157,'Raw Data'!$C:$C,0)),"-")</f>
        <v>744.00589999999897</v>
      </c>
      <c r="D157" s="10">
        <f>IFERROR(INDEX('Raw Data'!E:E,MATCH($B157,'Raw Data'!$C:$C,0)),"-")</f>
        <v>574.74349999999902</v>
      </c>
      <c r="E157" s="10">
        <f>IFERROR(INDEX('Raw Data'!H:H,MATCH($B157,'Raw Data'!$C:$C,0)),"-")</f>
        <v>169.26239999999899</v>
      </c>
      <c r="F157" s="10">
        <f>IFERROR(INDEX('Raw Data'!J:J,MATCH($B157,'Raw Data'!$C:$C,0)),"-")</f>
        <v>225.05399999999901</v>
      </c>
      <c r="G157" s="9">
        <f>IFERROR(INDEX('Raw Data'!O:O,MATCH($B157,'Raw Data'!$C:$C,0)),"-")</f>
        <v>0.77249857830000002</v>
      </c>
      <c r="H157" s="9">
        <f>IFERROR(INDEX('Raw Data'!P:P,MATCH($B157,'Raw Data'!$C:$C,0)),"-")</f>
        <v>0.5994185232</v>
      </c>
      <c r="I157" s="15" t="str">
        <f>IFERROR(INDEX('Raw Data'!AD:AD,MATCH($B157,'Raw Data'!$C:$C,0)),"-")</f>
        <v>Operational</v>
      </c>
    </row>
    <row r="158" spans="1:9" ht="15" customHeight="1" x14ac:dyDescent="0.35">
      <c r="A158" s="16" t="str">
        <f>IFERROR(INDEX('Raw Data'!AC:AC,MATCH($B158,'Raw Data'!$C:$C,0)),"")</f>
        <v>Tipper</v>
      </c>
      <c r="B158" s="11" t="s">
        <v>84</v>
      </c>
      <c r="C158" s="14">
        <f>IFERROR(INDEX('Raw Data'!D:D,MATCH($B158,'Raw Data'!$C:$C,0)),"-")</f>
        <v>744.00039999999899</v>
      </c>
      <c r="D158" s="14">
        <f>IFERROR(INDEX('Raw Data'!E:E,MATCH($B158,'Raw Data'!$C:$C,0)),"-")</f>
        <v>572.21379999999999</v>
      </c>
      <c r="E158" s="14">
        <f>IFERROR(INDEX('Raw Data'!H:H,MATCH($B158,'Raw Data'!$C:$C,0)),"-")</f>
        <v>171.786599999999</v>
      </c>
      <c r="F158" s="14">
        <f>IFERROR(INDEX('Raw Data'!J:J,MATCH($B158,'Raw Data'!$C:$C,0)),"-")</f>
        <v>189.066499999999</v>
      </c>
      <c r="G158" s="13">
        <f>IFERROR(INDEX('Raw Data'!O:O,MATCH($B158,'Raw Data'!$C:$C,0)),"-")</f>
        <v>0.76910415639999996</v>
      </c>
      <c r="H158" s="13">
        <f>IFERROR(INDEX('Raw Data'!P:P,MATCH($B158,'Raw Data'!$C:$C,0)),"-")</f>
        <v>0.66470312320000002</v>
      </c>
      <c r="I158" s="16" t="str">
        <f>IFERROR(INDEX('Raw Data'!AD:AD,MATCH($B158,'Raw Data'!$C:$C,0)),"-")</f>
        <v>Operational</v>
      </c>
    </row>
    <row r="159" spans="1:9" ht="15" customHeight="1" x14ac:dyDescent="0.35">
      <c r="A159" s="15" t="str">
        <f>IFERROR(INDEX('Raw Data'!AC:AC,MATCH($B159,'Raw Data'!$C:$C,0)),"")</f>
        <v>Tipper</v>
      </c>
      <c r="B159" s="7" t="s">
        <v>59</v>
      </c>
      <c r="C159" s="10">
        <f>IFERROR(INDEX('Raw Data'!D:D,MATCH($B159,'Raw Data'!$C:$C,0)),"-")</f>
        <v>743.99959999999896</v>
      </c>
      <c r="D159" s="10">
        <f>IFERROR(INDEX('Raw Data'!E:E,MATCH($B159,'Raw Data'!$C:$C,0)),"-")</f>
        <v>565.52359999999896</v>
      </c>
      <c r="E159" s="10">
        <f>IFERROR(INDEX('Raw Data'!H:H,MATCH($B159,'Raw Data'!$C:$C,0)),"-")</f>
        <v>178.476</v>
      </c>
      <c r="F159" s="10">
        <f>IFERROR(INDEX('Raw Data'!J:J,MATCH($B159,'Raw Data'!$C:$C,0)),"-")</f>
        <v>158.74759999999901</v>
      </c>
      <c r="G159" s="9">
        <f>IFERROR(INDEX('Raw Data'!O:O,MATCH($B159,'Raw Data'!$C:$C,0)),"-")</f>
        <v>0.76011277430000002</v>
      </c>
      <c r="H159" s="9">
        <f>IFERROR(INDEX('Raw Data'!P:P,MATCH($B159,'Raw Data'!$C:$C,0)),"-")</f>
        <v>0.71248892180000001</v>
      </c>
      <c r="I159" s="15" t="str">
        <f>IFERROR(INDEX('Raw Data'!AD:AD,MATCH($B159,'Raw Data'!$C:$C,0)),"-")</f>
        <v>Operational</v>
      </c>
    </row>
    <row r="160" spans="1:9" ht="15" customHeight="1" x14ac:dyDescent="0.35">
      <c r="A160" s="16" t="str">
        <f>IFERROR(INDEX('Raw Data'!AC:AC,MATCH($B160,'Raw Data'!$C:$C,0)),"")</f>
        <v>Tipper</v>
      </c>
      <c r="B160" s="11" t="s">
        <v>55</v>
      </c>
      <c r="C160" s="14">
        <f>IFERROR(INDEX('Raw Data'!D:D,MATCH($B160,'Raw Data'!$C:$C,0)),"-")</f>
        <v>744.00409999999999</v>
      </c>
      <c r="D160" s="14">
        <f>IFERROR(INDEX('Raw Data'!E:E,MATCH($B160,'Raw Data'!$C:$C,0)),"-")</f>
        <v>565.07479999999998</v>
      </c>
      <c r="E160" s="14">
        <f>IFERROR(INDEX('Raw Data'!H:H,MATCH($B160,'Raw Data'!$C:$C,0)),"-")</f>
        <v>178.92929999999899</v>
      </c>
      <c r="F160" s="14">
        <f>IFERROR(INDEX('Raw Data'!J:J,MATCH($B160,'Raw Data'!$C:$C,0)),"-")</f>
        <v>178.144399999999</v>
      </c>
      <c r="G160" s="13">
        <f>IFERROR(INDEX('Raw Data'!O:O,MATCH($B160,'Raw Data'!$C:$C,0)),"-")</f>
        <v>0.75950495429999998</v>
      </c>
      <c r="H160" s="13">
        <f>IFERROR(INDEX('Raw Data'!P:P,MATCH($B160,'Raw Data'!$C:$C,0)),"-")</f>
        <v>0.67866147990000003</v>
      </c>
      <c r="I160" s="16" t="str">
        <f>IFERROR(INDEX('Raw Data'!AD:AD,MATCH($B160,'Raw Data'!$C:$C,0)),"-")</f>
        <v>Operational</v>
      </c>
    </row>
    <row r="161" spans="1:9" ht="15" customHeight="1" x14ac:dyDescent="0.35">
      <c r="A161" s="15" t="str">
        <f>IFERROR(INDEX('Raw Data'!AC:AC,MATCH($B161,'Raw Data'!$C:$C,0)),"")</f>
        <v>Tipper</v>
      </c>
      <c r="B161" s="7" t="s">
        <v>66</v>
      </c>
      <c r="C161" s="10">
        <f>IFERROR(INDEX('Raw Data'!D:D,MATCH($B161,'Raw Data'!$C:$C,0)),"-")</f>
        <v>744.00229999999999</v>
      </c>
      <c r="D161" s="10">
        <f>IFERROR(INDEX('Raw Data'!E:E,MATCH($B161,'Raw Data'!$C:$C,0)),"-")</f>
        <v>559.08569999999997</v>
      </c>
      <c r="E161" s="10">
        <f>IFERROR(INDEX('Raw Data'!H:H,MATCH($B161,'Raw Data'!$C:$C,0)),"-")</f>
        <v>184.91659999999999</v>
      </c>
      <c r="F161" s="10">
        <f>IFERROR(INDEX('Raw Data'!J:J,MATCH($B161,'Raw Data'!$C:$C,0)),"-")</f>
        <v>138.910899999999</v>
      </c>
      <c r="G161" s="9">
        <f>IFERROR(INDEX('Raw Data'!O:O,MATCH($B161,'Raw Data'!$C:$C,0)),"-")</f>
        <v>0.75145695109999999</v>
      </c>
      <c r="H161" s="9">
        <f>IFERROR(INDEX('Raw Data'!P:P,MATCH($B161,'Raw Data'!$C:$C,0)),"-")</f>
        <v>0.74600763349999999</v>
      </c>
      <c r="I161" s="15" t="str">
        <f>IFERROR(INDEX('Raw Data'!AD:AD,MATCH($B161,'Raw Data'!$C:$C,0)),"-")</f>
        <v>Operational</v>
      </c>
    </row>
    <row r="162" spans="1:9" ht="15" customHeight="1" x14ac:dyDescent="0.35">
      <c r="A162" s="16" t="str">
        <f>IFERROR(INDEX('Raw Data'!AC:AC,MATCH($B162,'Raw Data'!$C:$C,0)),"")</f>
        <v>Tipper</v>
      </c>
      <c r="B162" s="11" t="s">
        <v>98</v>
      </c>
      <c r="C162" s="14">
        <f>IFERROR(INDEX('Raw Data'!D:D,MATCH($B162,'Raw Data'!$C:$C,0)),"-")</f>
        <v>744.00469999999905</v>
      </c>
      <c r="D162" s="14">
        <f>IFERROR(INDEX('Raw Data'!E:E,MATCH($B162,'Raw Data'!$C:$C,0)),"-")</f>
        <v>557.69049999999902</v>
      </c>
      <c r="E162" s="14">
        <f>IFERROR(INDEX('Raw Data'!H:H,MATCH($B162,'Raw Data'!$C:$C,0)),"-")</f>
        <v>186.3142</v>
      </c>
      <c r="F162" s="14">
        <f>IFERROR(INDEX('Raw Data'!J:J,MATCH($B162,'Raw Data'!$C:$C,0)),"-")</f>
        <v>227.878299999999</v>
      </c>
      <c r="G162" s="13">
        <f>IFERROR(INDEX('Raw Data'!O:O,MATCH($B162,'Raw Data'!$C:$C,0)),"-")</f>
        <v>0.74957927010000003</v>
      </c>
      <c r="H162" s="13">
        <f>IFERROR(INDEX('Raw Data'!P:P,MATCH($B162,'Raw Data'!$C:$C,0)),"-")</f>
        <v>0.57519143679999996</v>
      </c>
      <c r="I162" s="16" t="str">
        <f>IFERROR(INDEX('Raw Data'!AD:AD,MATCH($B162,'Raw Data'!$C:$C,0)),"-")</f>
        <v>Operational</v>
      </c>
    </row>
    <row r="163" spans="1:9" ht="15" customHeight="1" x14ac:dyDescent="0.35">
      <c r="A163" s="15" t="str">
        <f>IFERROR(INDEX('Raw Data'!AC:AC,MATCH($B163,'Raw Data'!$C:$C,0)),"")</f>
        <v>Tipper</v>
      </c>
      <c r="B163" s="7" t="s">
        <v>71</v>
      </c>
      <c r="C163" s="10">
        <f>IFERROR(INDEX('Raw Data'!D:D,MATCH($B163,'Raw Data'!$C:$C,0)),"-")</f>
        <v>744.00329999999894</v>
      </c>
      <c r="D163" s="10">
        <f>IFERROR(INDEX('Raw Data'!E:E,MATCH($B163,'Raw Data'!$C:$C,0)),"-")</f>
        <v>556.72949999999901</v>
      </c>
      <c r="E163" s="10">
        <f>IFERROR(INDEX('Raw Data'!H:H,MATCH($B163,'Raw Data'!$C:$C,0)),"-")</f>
        <v>187.27379999999999</v>
      </c>
      <c r="F163" s="10">
        <f>IFERROR(INDEX('Raw Data'!J:J,MATCH($B163,'Raw Data'!$C:$C,0)),"-")</f>
        <v>184.96029999999899</v>
      </c>
      <c r="G163" s="9">
        <f>IFERROR(INDEX('Raw Data'!O:O,MATCH($B163,'Raw Data'!$C:$C,0)),"-")</f>
        <v>0.74828901969999995</v>
      </c>
      <c r="H163" s="9">
        <f>IFERROR(INDEX('Raw Data'!P:P,MATCH($B163,'Raw Data'!$C:$C,0)),"-")</f>
        <v>0.66315670360000001</v>
      </c>
      <c r="I163" s="15" t="str">
        <f>IFERROR(INDEX('Raw Data'!AD:AD,MATCH($B163,'Raw Data'!$C:$C,0)),"-")</f>
        <v>Operational</v>
      </c>
    </row>
    <row r="164" spans="1:9" ht="15" customHeight="1" x14ac:dyDescent="0.35">
      <c r="A164" s="16" t="str">
        <f>IFERROR(INDEX('Raw Data'!AC:AC,MATCH($B164,'Raw Data'!$C:$C,0)),"")</f>
        <v>Tipper</v>
      </c>
      <c r="B164" s="11" t="s">
        <v>53</v>
      </c>
      <c r="C164" s="14">
        <f>IFERROR(INDEX('Raw Data'!D:D,MATCH($B164,'Raw Data'!$C:$C,0)),"-")</f>
        <v>744.00229999999897</v>
      </c>
      <c r="D164" s="14">
        <f>IFERROR(INDEX('Raw Data'!E:E,MATCH($B164,'Raw Data'!$C:$C,0)),"-")</f>
        <v>556.71789999999896</v>
      </c>
      <c r="E164" s="14">
        <f>IFERROR(INDEX('Raw Data'!H:H,MATCH($B164,'Raw Data'!$C:$C,0)),"-")</f>
        <v>187.28439999999901</v>
      </c>
      <c r="F164" s="14">
        <f>IFERROR(INDEX('Raw Data'!J:J,MATCH($B164,'Raw Data'!$C:$C,0)),"-")</f>
        <v>167.146099999999</v>
      </c>
      <c r="G164" s="13">
        <f>IFERROR(INDEX('Raw Data'!O:O,MATCH($B164,'Raw Data'!$C:$C,0)),"-")</f>
        <v>0.74827443410000005</v>
      </c>
      <c r="H164" s="13">
        <f>IFERROR(INDEX('Raw Data'!P:P,MATCH($B164,'Raw Data'!$C:$C,0)),"-")</f>
        <v>0.6938038098</v>
      </c>
      <c r="I164" s="16" t="str">
        <f>IFERROR(INDEX('Raw Data'!AD:AD,MATCH($B164,'Raw Data'!$C:$C,0)),"-")</f>
        <v>Operational</v>
      </c>
    </row>
    <row r="165" spans="1:9" ht="15" customHeight="1" x14ac:dyDescent="0.35">
      <c r="A165" s="15" t="str">
        <f>IFERROR(INDEX('Raw Data'!AC:AC,MATCH($B165,'Raw Data'!$C:$C,0)),"")</f>
        <v>Tipper</v>
      </c>
      <c r="B165" s="7" t="s">
        <v>78</v>
      </c>
      <c r="C165" s="10">
        <f>IFERROR(INDEX('Raw Data'!D:D,MATCH($B165,'Raw Data'!$C:$C,0)),"-")</f>
        <v>744.00109999999995</v>
      </c>
      <c r="D165" s="10">
        <f>IFERROR(INDEX('Raw Data'!E:E,MATCH($B165,'Raw Data'!$C:$C,0)),"-")</f>
        <v>541.90959999999995</v>
      </c>
      <c r="E165" s="10">
        <f>IFERROR(INDEX('Raw Data'!H:H,MATCH($B165,'Raw Data'!$C:$C,0)),"-")</f>
        <v>202.091499999999</v>
      </c>
      <c r="F165" s="10">
        <f>IFERROR(INDEX('Raw Data'!J:J,MATCH($B165,'Raw Data'!$C:$C,0)),"-")</f>
        <v>264.72770000000003</v>
      </c>
      <c r="G165" s="9">
        <f>IFERROR(INDEX('Raw Data'!O:O,MATCH($B165,'Raw Data'!$C:$C,0)),"-")</f>
        <v>0.7283720414</v>
      </c>
      <c r="H165" s="9">
        <f>IFERROR(INDEX('Raw Data'!P:P,MATCH($B165,'Raw Data'!$C:$C,0)),"-")</f>
        <v>0.5036227445</v>
      </c>
      <c r="I165" s="15" t="str">
        <f>IFERROR(INDEX('Raw Data'!AD:AD,MATCH($B165,'Raw Data'!$C:$C,0)),"-")</f>
        <v>Operational</v>
      </c>
    </row>
    <row r="166" spans="1:9" ht="15" customHeight="1" x14ac:dyDescent="0.35">
      <c r="A166" s="16" t="str">
        <f>IFERROR(INDEX('Raw Data'!AC:AC,MATCH($B166,'Raw Data'!$C:$C,0)),"")</f>
        <v>Tipper</v>
      </c>
      <c r="B166" s="11" t="s">
        <v>88</v>
      </c>
      <c r="C166" s="14">
        <f>IFERROR(INDEX('Raw Data'!D:D,MATCH($B166,'Raw Data'!$C:$C,0)),"-")</f>
        <v>744.00319999999897</v>
      </c>
      <c r="D166" s="14">
        <f>IFERROR(INDEX('Raw Data'!E:E,MATCH($B166,'Raw Data'!$C:$C,0)),"-")</f>
        <v>541.54209999999898</v>
      </c>
      <c r="E166" s="14">
        <f>IFERROR(INDEX('Raw Data'!H:H,MATCH($B166,'Raw Data'!$C:$C,0)),"-")</f>
        <v>202.46109999999999</v>
      </c>
      <c r="F166" s="14">
        <f>IFERROR(INDEX('Raw Data'!J:J,MATCH($B166,'Raw Data'!$C:$C,0)),"-")</f>
        <v>224.65499999999901</v>
      </c>
      <c r="G166" s="13">
        <f>IFERROR(INDEX('Raw Data'!O:O,MATCH($B166,'Raw Data'!$C:$C,0)),"-")</f>
        <v>0.72787603599999995</v>
      </c>
      <c r="H166" s="13">
        <f>IFERROR(INDEX('Raw Data'!P:P,MATCH($B166,'Raw Data'!$C:$C,0)),"-")</f>
        <v>0.57952041030000001</v>
      </c>
      <c r="I166" s="16" t="str">
        <f>IFERROR(INDEX('Raw Data'!AD:AD,MATCH($B166,'Raw Data'!$C:$C,0)),"-")</f>
        <v>Operational</v>
      </c>
    </row>
    <row r="167" spans="1:9" ht="15" customHeight="1" x14ac:dyDescent="0.35">
      <c r="A167" s="15" t="str">
        <f>IFERROR(INDEX('Raw Data'!AC:AC,MATCH($B167,'Raw Data'!$C:$C,0)),"")</f>
        <v>Tipper</v>
      </c>
      <c r="B167" s="7" t="s">
        <v>56</v>
      </c>
      <c r="C167" s="10">
        <f>IFERROR(INDEX('Raw Data'!D:D,MATCH($B167,'Raw Data'!$C:$C,0)),"-")</f>
        <v>744.00309999999899</v>
      </c>
      <c r="D167" s="10">
        <f>IFERROR(INDEX('Raw Data'!E:E,MATCH($B167,'Raw Data'!$C:$C,0)),"-")</f>
        <v>540.36929999999904</v>
      </c>
      <c r="E167" s="10">
        <f>IFERROR(INDEX('Raw Data'!H:H,MATCH($B167,'Raw Data'!$C:$C,0)),"-")</f>
        <v>203.63379999999901</v>
      </c>
      <c r="F167" s="10">
        <f>IFERROR(INDEX('Raw Data'!J:J,MATCH($B167,'Raw Data'!$C:$C,0)),"-")</f>
        <v>197.42159999999899</v>
      </c>
      <c r="G167" s="9">
        <f>IFERROR(INDEX('Raw Data'!O:O,MATCH($B167,'Raw Data'!$C:$C,0)),"-")</f>
        <v>0.72629979629999997</v>
      </c>
      <c r="H167" s="9">
        <f>IFERROR(INDEX('Raw Data'!P:P,MATCH($B167,'Raw Data'!$C:$C,0)),"-")</f>
        <v>0.62933904650000005</v>
      </c>
      <c r="I167" s="15" t="str">
        <f>IFERROR(INDEX('Raw Data'!AD:AD,MATCH($B167,'Raw Data'!$C:$C,0)),"-")</f>
        <v>Operational</v>
      </c>
    </row>
    <row r="168" spans="1:9" ht="15" customHeight="1" x14ac:dyDescent="0.35">
      <c r="A168" s="16" t="str">
        <f>IFERROR(INDEX('Raw Data'!AC:AC,MATCH($B168,'Raw Data'!$C:$C,0)),"")</f>
        <v>Tipper</v>
      </c>
      <c r="B168" s="11" t="s">
        <v>60</v>
      </c>
      <c r="C168" s="14">
        <f>IFERROR(INDEX('Raw Data'!D:D,MATCH($B168,'Raw Data'!$C:$C,0)),"-")</f>
        <v>744.00350000000003</v>
      </c>
      <c r="D168" s="14">
        <f>IFERROR(INDEX('Raw Data'!E:E,MATCH($B168,'Raw Data'!$C:$C,0)),"-")</f>
        <v>526.35680000000002</v>
      </c>
      <c r="E168" s="14">
        <f>IFERROR(INDEX('Raw Data'!H:H,MATCH($B168,'Raw Data'!$C:$C,0)),"-")</f>
        <v>217.64670000000001</v>
      </c>
      <c r="F168" s="14">
        <f>IFERROR(INDEX('Raw Data'!J:J,MATCH($B168,'Raw Data'!$C:$C,0)),"-")</f>
        <v>133.72989999999899</v>
      </c>
      <c r="G168" s="13">
        <f>IFERROR(INDEX('Raw Data'!O:O,MATCH($B168,'Raw Data'!$C:$C,0)),"-")</f>
        <v>0.70746548909999996</v>
      </c>
      <c r="H168" s="13">
        <f>IFERROR(INDEX('Raw Data'!P:P,MATCH($B168,'Raw Data'!$C:$C,0)),"-")</f>
        <v>0.73911023850000002</v>
      </c>
      <c r="I168" s="16" t="str">
        <f>IFERROR(INDEX('Raw Data'!AD:AD,MATCH($B168,'Raw Data'!$C:$C,0)),"-")</f>
        <v>Operational</v>
      </c>
    </row>
    <row r="169" spans="1:9" ht="15" customHeight="1" x14ac:dyDescent="0.35">
      <c r="A169" s="15" t="str">
        <f>IFERROR(INDEX('Raw Data'!AC:AC,MATCH($B169,'Raw Data'!$C:$C,0)),"")</f>
        <v>Tipper</v>
      </c>
      <c r="B169" s="7" t="s">
        <v>58</v>
      </c>
      <c r="C169" s="10">
        <f>IFERROR(INDEX('Raw Data'!D:D,MATCH($B169,'Raw Data'!$C:$C,0)),"-")</f>
        <v>744.00479999999902</v>
      </c>
      <c r="D169" s="10">
        <f>IFERROR(INDEX('Raw Data'!E:E,MATCH($B169,'Raw Data'!$C:$C,0)),"-")</f>
        <v>518.54079999999897</v>
      </c>
      <c r="E169" s="10">
        <f>IFERROR(INDEX('Raw Data'!H:H,MATCH($B169,'Raw Data'!$C:$C,0)),"-")</f>
        <v>225.464</v>
      </c>
      <c r="F169" s="10">
        <f>IFERROR(INDEX('Raw Data'!J:J,MATCH($B169,'Raw Data'!$C:$C,0)),"-")</f>
        <v>143.914099999999</v>
      </c>
      <c r="G169" s="9">
        <f>IFERROR(INDEX('Raw Data'!O:O,MATCH($B169,'Raw Data'!$C:$C,0)),"-")</f>
        <v>0.69695894439999995</v>
      </c>
      <c r="H169" s="9">
        <f>IFERROR(INDEX('Raw Data'!P:P,MATCH($B169,'Raw Data'!$C:$C,0)),"-")</f>
        <v>0.71543955650000002</v>
      </c>
      <c r="I169" s="15" t="str">
        <f>IFERROR(INDEX('Raw Data'!AD:AD,MATCH($B169,'Raw Data'!$C:$C,0)),"-")</f>
        <v>Operational</v>
      </c>
    </row>
    <row r="170" spans="1:9" ht="15" customHeight="1" x14ac:dyDescent="0.35">
      <c r="A170" s="16" t="str">
        <f>IFERROR(INDEX('Raw Data'!AC:AC,MATCH($B170,'Raw Data'!$C:$C,0)),"")</f>
        <v>Tipper</v>
      </c>
      <c r="B170" s="11" t="s">
        <v>63</v>
      </c>
      <c r="C170" s="14">
        <f>IFERROR(INDEX('Raw Data'!D:D,MATCH($B170,'Raw Data'!$C:$C,0)),"-")</f>
        <v>744.00250000000005</v>
      </c>
      <c r="D170" s="14">
        <f>IFERROR(INDEX('Raw Data'!E:E,MATCH($B170,'Raw Data'!$C:$C,0)),"-")</f>
        <v>495.48630000000003</v>
      </c>
      <c r="E170" s="14">
        <f>IFERROR(INDEX('Raw Data'!H:H,MATCH($B170,'Raw Data'!$C:$C,0)),"-")</f>
        <v>248.5162</v>
      </c>
      <c r="F170" s="14">
        <f>IFERROR(INDEX('Raw Data'!J:J,MATCH($B170,'Raw Data'!$C:$C,0)),"-")</f>
        <v>132.00649999999899</v>
      </c>
      <c r="G170" s="13">
        <f>IFERROR(INDEX('Raw Data'!O:O,MATCH($B170,'Raw Data'!$C:$C,0)),"-")</f>
        <v>0.66597397189999996</v>
      </c>
      <c r="H170" s="13">
        <f>IFERROR(INDEX('Raw Data'!P:P,MATCH($B170,'Raw Data'!$C:$C,0)),"-")</f>
        <v>0.72830913789999996</v>
      </c>
      <c r="I170" s="16" t="str">
        <f>IFERROR(INDEX('Raw Data'!AD:AD,MATCH($B170,'Raw Data'!$C:$C,0)),"-")</f>
        <v>Operational</v>
      </c>
    </row>
    <row r="171" spans="1:9" ht="15" customHeight="1" x14ac:dyDescent="0.35">
      <c r="A171" s="15" t="str">
        <f>IFERROR(INDEX('Raw Data'!AC:AC,MATCH($B171,'Raw Data'!$C:$C,0)),"")</f>
        <v>Tipper</v>
      </c>
      <c r="B171" s="7" t="s">
        <v>80</v>
      </c>
      <c r="C171" s="10">
        <f>IFERROR(INDEX('Raw Data'!D:D,MATCH($B171,'Raw Data'!$C:$C,0)),"-")</f>
        <v>744.00179999999898</v>
      </c>
      <c r="D171" s="10">
        <f>IFERROR(INDEX('Raw Data'!E:E,MATCH($B171,'Raw Data'!$C:$C,0)),"-")</f>
        <v>495.30529999999902</v>
      </c>
      <c r="E171" s="10">
        <f>IFERROR(INDEX('Raw Data'!H:H,MATCH($B171,'Raw Data'!$C:$C,0)),"-")</f>
        <v>248.69649999999899</v>
      </c>
      <c r="F171" s="10">
        <f>IFERROR(INDEX('Raw Data'!J:J,MATCH($B171,'Raw Data'!$C:$C,0)),"-")</f>
        <v>183.19009999999901</v>
      </c>
      <c r="G171" s="9">
        <f>IFERROR(INDEX('Raw Data'!O:O,MATCH($B171,'Raw Data'!$C:$C,0)),"-")</f>
        <v>0.66573131949999997</v>
      </c>
      <c r="H171" s="9">
        <f>IFERROR(INDEX('Raw Data'!P:P,MATCH($B171,'Raw Data'!$C:$C,0)),"-")</f>
        <v>0.62507104199999997</v>
      </c>
      <c r="I171" s="15" t="str">
        <f>IFERROR(INDEX('Raw Data'!AD:AD,MATCH($B171,'Raw Data'!$C:$C,0)),"-")</f>
        <v>Operational</v>
      </c>
    </row>
    <row r="172" spans="1:9" ht="15" customHeight="1" x14ac:dyDescent="0.35">
      <c r="A172" s="16" t="str">
        <f>IFERROR(INDEX('Raw Data'!AC:AC,MATCH($B172,'Raw Data'!$C:$C,0)),"")</f>
        <v>Tipper</v>
      </c>
      <c r="B172" s="11" t="s">
        <v>64</v>
      </c>
      <c r="C172" s="14">
        <f>IFERROR(INDEX('Raw Data'!D:D,MATCH($B172,'Raw Data'!$C:$C,0)),"-")</f>
        <v>744.00119999999902</v>
      </c>
      <c r="D172" s="14">
        <f>IFERROR(INDEX('Raw Data'!E:E,MATCH($B172,'Raw Data'!$C:$C,0)),"-")</f>
        <v>485.43589999999898</v>
      </c>
      <c r="E172" s="14">
        <f>IFERROR(INDEX('Raw Data'!H:H,MATCH($B172,'Raw Data'!$C:$C,0)),"-")</f>
        <v>258.56529999999998</v>
      </c>
      <c r="F172" s="14">
        <f>IFERROR(INDEX('Raw Data'!J:J,MATCH($B172,'Raw Data'!$C:$C,0)),"-")</f>
        <v>144.91909999999999</v>
      </c>
      <c r="G172" s="13">
        <f>IFERROR(INDEX('Raw Data'!O:O,MATCH($B172,'Raw Data'!$C:$C,0)),"-")</f>
        <v>0.65246655519999996</v>
      </c>
      <c r="H172" s="13">
        <f>IFERROR(INDEX('Raw Data'!P:P,MATCH($B172,'Raw Data'!$C:$C,0)),"-")</f>
        <v>0.69019782009999997</v>
      </c>
      <c r="I172" s="16" t="str">
        <f>IFERROR(INDEX('Raw Data'!AD:AD,MATCH($B172,'Raw Data'!$C:$C,0)),"-")</f>
        <v>Operational</v>
      </c>
    </row>
    <row r="173" spans="1:9" ht="15" customHeight="1" x14ac:dyDescent="0.35">
      <c r="A173" s="15" t="str">
        <f>IFERROR(INDEX('Raw Data'!AC:AC,MATCH($B173,'Raw Data'!$C:$C,0)),"")</f>
        <v>Tipper</v>
      </c>
      <c r="B173" s="7" t="s">
        <v>69</v>
      </c>
      <c r="C173" s="10">
        <f>IFERROR(INDEX('Raw Data'!D:D,MATCH($B173,'Raw Data'!$C:$C,0)),"-")</f>
        <v>739.12029999999902</v>
      </c>
      <c r="D173" s="10">
        <f>IFERROR(INDEX('Raw Data'!E:E,MATCH($B173,'Raw Data'!$C:$C,0)),"-")</f>
        <v>470.43659999999898</v>
      </c>
      <c r="E173" s="10">
        <f>IFERROR(INDEX('Raw Data'!H:H,MATCH($B173,'Raw Data'!$C:$C,0)),"-")</f>
        <v>268.68369999999999</v>
      </c>
      <c r="F173" s="10">
        <f>IFERROR(INDEX('Raw Data'!J:J,MATCH($B173,'Raw Data'!$C:$C,0)),"-")</f>
        <v>135.16559999999899</v>
      </c>
      <c r="G173" s="9">
        <f>IFERROR(INDEX('Raw Data'!O:O,MATCH($B173,'Raw Data'!$C:$C,0)),"-")</f>
        <v>0.63648177429999997</v>
      </c>
      <c r="H173" s="9">
        <f>IFERROR(INDEX('Raw Data'!P:P,MATCH($B173,'Raw Data'!$C:$C,0)),"-")</f>
        <v>0.68882905790000004</v>
      </c>
      <c r="I173" s="15" t="str">
        <f>IFERROR(INDEX('Raw Data'!AD:AD,MATCH($B173,'Raw Data'!$C:$C,0)),"-")</f>
        <v>Operational</v>
      </c>
    </row>
    <row r="174" spans="1:9" ht="15" customHeight="1" x14ac:dyDescent="0.35">
      <c r="A174" s="16" t="str">
        <f>IFERROR(INDEX('Raw Data'!AC:AC,MATCH($B174,'Raw Data'!$C:$C,0)),"")</f>
        <v>Tipper</v>
      </c>
      <c r="B174" s="11" t="s">
        <v>89</v>
      </c>
      <c r="C174" s="14">
        <f>IFERROR(INDEX('Raw Data'!D:D,MATCH($B174,'Raw Data'!$C:$C,0)),"-")</f>
        <v>744.000799999999</v>
      </c>
      <c r="D174" s="14">
        <f>IFERROR(INDEX('Raw Data'!E:E,MATCH($B174,'Raw Data'!$C:$C,0)),"-")</f>
        <v>463.42059999999901</v>
      </c>
      <c r="E174" s="14">
        <f>IFERROR(INDEX('Raw Data'!H:H,MATCH($B174,'Raw Data'!$C:$C,0)),"-")</f>
        <v>280.58019999999902</v>
      </c>
      <c r="F174" s="14">
        <f>IFERROR(INDEX('Raw Data'!J:J,MATCH($B174,'Raw Data'!$C:$C,0)),"-")</f>
        <v>192.165899999999</v>
      </c>
      <c r="G174" s="13">
        <f>IFERROR(INDEX('Raw Data'!O:O,MATCH($B174,'Raw Data'!$C:$C,0)),"-")</f>
        <v>0.62287648080000002</v>
      </c>
      <c r="H174" s="13">
        <f>IFERROR(INDEX('Raw Data'!P:P,MATCH($B174,'Raw Data'!$C:$C,0)),"-")</f>
        <v>0.58032055549999995</v>
      </c>
      <c r="I174" s="16" t="str">
        <f>IFERROR(INDEX('Raw Data'!AD:AD,MATCH($B174,'Raw Data'!$C:$C,0)),"-")</f>
        <v>Operational</v>
      </c>
    </row>
    <row r="175" spans="1:9" ht="15" customHeight="1" x14ac:dyDescent="0.35">
      <c r="A175" s="15" t="str">
        <f>IFERROR(INDEX('Raw Data'!AC:AC,MATCH($B175,'Raw Data'!$C:$C,0)),"")</f>
        <v>Tipper</v>
      </c>
      <c r="B175" s="7" t="s">
        <v>51</v>
      </c>
      <c r="C175" s="10">
        <f>IFERROR(INDEX('Raw Data'!D:D,MATCH($B175,'Raw Data'!$C:$C,0)),"-")</f>
        <v>744.00429999999903</v>
      </c>
      <c r="D175" s="10">
        <f>IFERROR(INDEX('Raw Data'!E:E,MATCH($B175,'Raw Data'!$C:$C,0)),"-")</f>
        <v>445.06769999999898</v>
      </c>
      <c r="E175" s="10">
        <f>IFERROR(INDEX('Raw Data'!H:H,MATCH($B175,'Raw Data'!$C:$C,0)),"-")</f>
        <v>298.9366</v>
      </c>
      <c r="F175" s="10">
        <f>IFERROR(INDEX('Raw Data'!J:J,MATCH($B175,'Raw Data'!$C:$C,0)),"-")</f>
        <v>154.78549999999899</v>
      </c>
      <c r="G175" s="9">
        <f>IFERROR(INDEX('Raw Data'!O:O,MATCH($B175,'Raw Data'!$C:$C,0)),"-")</f>
        <v>0.59820581679999996</v>
      </c>
      <c r="H175" s="9">
        <f>IFERROR(INDEX('Raw Data'!P:P,MATCH($B175,'Raw Data'!$C:$C,0)),"-")</f>
        <v>0.64468574109999999</v>
      </c>
      <c r="I175" s="15" t="str">
        <f>IFERROR(INDEX('Raw Data'!AD:AD,MATCH($B175,'Raw Data'!$C:$C,0)),"-")</f>
        <v>Operational</v>
      </c>
    </row>
    <row r="176" spans="1:9" ht="15" customHeight="1" x14ac:dyDescent="0.35">
      <c r="A176" s="16" t="str">
        <f>IFERROR(INDEX('Raw Data'!AC:AC,MATCH($B176,'Raw Data'!$C:$C,0)),"")</f>
        <v>Tipper</v>
      </c>
      <c r="B176" s="11" t="s">
        <v>74</v>
      </c>
      <c r="C176" s="14">
        <f>IFERROR(INDEX('Raw Data'!D:D,MATCH($B176,'Raw Data'!$C:$C,0)),"-")</f>
        <v>744.00189999999895</v>
      </c>
      <c r="D176" s="14">
        <f>IFERROR(INDEX('Raw Data'!E:E,MATCH($B176,'Raw Data'!$C:$C,0)),"-")</f>
        <v>410.67939999999999</v>
      </c>
      <c r="E176" s="14">
        <f>IFERROR(INDEX('Raw Data'!H:H,MATCH($B176,'Raw Data'!$C:$C,0)),"-")</f>
        <v>333.32249999999902</v>
      </c>
      <c r="F176" s="14">
        <f>IFERROR(INDEX('Raw Data'!J:J,MATCH($B176,'Raw Data'!$C:$C,0)),"-")</f>
        <v>152.07299999999901</v>
      </c>
      <c r="G176" s="13">
        <f>IFERROR(INDEX('Raw Data'!O:O,MATCH($B176,'Raw Data'!$C:$C,0)),"-")</f>
        <v>0.55198703120000003</v>
      </c>
      <c r="H176" s="13">
        <f>IFERROR(INDEX('Raw Data'!P:P,MATCH($B176,'Raw Data'!$C:$C,0)),"-")</f>
        <v>0.61962883940000002</v>
      </c>
      <c r="I176" s="16" t="str">
        <f>IFERROR(INDEX('Raw Data'!AD:AD,MATCH($B176,'Raw Data'!$C:$C,0)),"-")</f>
        <v>Operational</v>
      </c>
    </row>
    <row r="177" spans="1:9" ht="15" customHeight="1" x14ac:dyDescent="0.35">
      <c r="A177" s="15" t="str">
        <f>IFERROR(INDEX('Raw Data'!AC:AC,MATCH($B177,'Raw Data'!$C:$C,0)),"")</f>
        <v>Tipper</v>
      </c>
      <c r="B177" s="7" t="s">
        <v>61</v>
      </c>
      <c r="C177" s="10">
        <f>IFERROR(INDEX('Raw Data'!D:D,MATCH($B177,'Raw Data'!$C:$C,0)),"-")</f>
        <v>744.00049999999896</v>
      </c>
      <c r="D177" s="10">
        <f>IFERROR(INDEX('Raw Data'!E:E,MATCH($B177,'Raw Data'!$C:$C,0)),"-")</f>
        <v>379.34329999999898</v>
      </c>
      <c r="E177" s="10">
        <f>IFERROR(INDEX('Raw Data'!H:H,MATCH($B177,'Raw Data'!$C:$C,0)),"-")</f>
        <v>364.65719999999999</v>
      </c>
      <c r="F177" s="10">
        <f>IFERROR(INDEX('Raw Data'!J:J,MATCH($B177,'Raw Data'!$C:$C,0)),"-")</f>
        <v>193.95469999999901</v>
      </c>
      <c r="G177" s="9">
        <f>IFERROR(INDEX('Raw Data'!O:O,MATCH($B177,'Raw Data'!$C:$C,0)),"-")</f>
        <v>0.50986968420000001</v>
      </c>
      <c r="H177" s="9">
        <f>IFERROR(INDEX('Raw Data'!P:P,MATCH($B177,'Raw Data'!$C:$C,0)),"-")</f>
        <v>0.48183083770000001</v>
      </c>
      <c r="I177" s="15" t="str">
        <f>IFERROR(INDEX('Raw Data'!AD:AD,MATCH($B177,'Raw Data'!$C:$C,0)),"-")</f>
        <v>Operational</v>
      </c>
    </row>
    <row r="178" spans="1:9" ht="15" customHeight="1" x14ac:dyDescent="0.35">
      <c r="A178" s="16" t="str">
        <f>IFERROR(INDEX('Raw Data'!AC:AC,MATCH($B178,'Raw Data'!$C:$C,0)),"")</f>
        <v>Tipper</v>
      </c>
      <c r="B178" s="11" t="s">
        <v>50</v>
      </c>
      <c r="C178" s="14">
        <f>IFERROR(INDEX('Raw Data'!D:D,MATCH($B178,'Raw Data'!$C:$C,0)),"-")</f>
        <v>744.0009</v>
      </c>
      <c r="D178" s="14">
        <f>IFERROR(INDEX('Raw Data'!E:E,MATCH($B178,'Raw Data'!$C:$C,0)),"-")</f>
        <v>361.88659999999902</v>
      </c>
      <c r="E178" s="14">
        <f>IFERROR(INDEX('Raw Data'!H:H,MATCH($B178,'Raw Data'!$C:$C,0)),"-")</f>
        <v>382.11430000000001</v>
      </c>
      <c r="F178" s="14">
        <f>IFERROR(INDEX('Raw Data'!J:J,MATCH($B178,'Raw Data'!$C:$C,0)),"-")</f>
        <v>114.693299999999</v>
      </c>
      <c r="G178" s="13">
        <f>IFERROR(INDEX('Raw Data'!O:O,MATCH($B178,'Raw Data'!$C:$C,0)),"-")</f>
        <v>0.48640613199999999</v>
      </c>
      <c r="H178" s="13">
        <f>IFERROR(INDEX('Raw Data'!P:P,MATCH($B178,'Raw Data'!$C:$C,0)),"-")</f>
        <v>0.67619773709999997</v>
      </c>
      <c r="I178" s="16" t="str">
        <f>IFERROR(INDEX('Raw Data'!AD:AD,MATCH($B178,'Raw Data'!$C:$C,0)),"-")</f>
        <v>Operational</v>
      </c>
    </row>
    <row r="179" spans="1:9" ht="15" customHeight="1" x14ac:dyDescent="0.35">
      <c r="A179" s="15" t="str">
        <f>IFERROR(INDEX('Raw Data'!AC:AC,MATCH($B179,'Raw Data'!$C:$C,0)),"")</f>
        <v>Tipper</v>
      </c>
      <c r="B179" s="7" t="s">
        <v>47</v>
      </c>
      <c r="C179" s="10">
        <f>IFERROR(INDEX('Raw Data'!D:D,MATCH($B179,'Raw Data'!$C:$C,0)),"-")</f>
        <v>744.00099999999998</v>
      </c>
      <c r="D179" s="10">
        <f>IFERROR(INDEX('Raw Data'!E:E,MATCH($B179,'Raw Data'!$C:$C,0)),"-")</f>
        <v>345.004899999999</v>
      </c>
      <c r="E179" s="10">
        <f>IFERROR(INDEX('Raw Data'!H:H,MATCH($B179,'Raw Data'!$C:$C,0)),"-")</f>
        <v>398.99610000000001</v>
      </c>
      <c r="F179" s="10">
        <f>IFERROR(INDEX('Raw Data'!J:J,MATCH($B179,'Raw Data'!$C:$C,0)),"-")</f>
        <v>67.025999999999897</v>
      </c>
      <c r="G179" s="9">
        <f>IFERROR(INDEX('Raw Data'!O:O,MATCH($B179,'Raw Data'!$C:$C,0)),"-")</f>
        <v>0.4637156402</v>
      </c>
      <c r="H179" s="9">
        <f>IFERROR(INDEX('Raw Data'!P:P,MATCH($B179,'Raw Data'!$C:$C,0)),"-")</f>
        <v>0.46759509789999998</v>
      </c>
      <c r="I179" s="15" t="str">
        <f>IFERROR(INDEX('Raw Data'!AD:AD,MATCH($B179,'Raw Data'!$C:$C,0)),"-")</f>
        <v>Operational</v>
      </c>
    </row>
    <row r="180" spans="1:9" ht="15" customHeight="1" x14ac:dyDescent="0.35">
      <c r="A180" s="16" t="str">
        <f>IFERROR(INDEX('Raw Data'!AC:AC,MATCH($B180,'Raw Data'!$C:$C,0)),"")</f>
        <v>Tipper</v>
      </c>
      <c r="B180" s="11" t="s">
        <v>87</v>
      </c>
      <c r="C180" s="14">
        <f>IFERROR(INDEX('Raw Data'!D:D,MATCH($B180,'Raw Data'!$C:$C,0)),"-")</f>
        <v>744.00269999999898</v>
      </c>
      <c r="D180" s="14">
        <f>IFERROR(INDEX('Raw Data'!E:E,MATCH($B180,'Raw Data'!$C:$C,0)),"-")</f>
        <v>293.397999999999</v>
      </c>
      <c r="E180" s="14">
        <f>IFERROR(INDEX('Raw Data'!H:H,MATCH($B180,'Raw Data'!$C:$C,0)),"-")</f>
        <v>450.60469999999901</v>
      </c>
      <c r="F180" s="14">
        <f>IFERROR(INDEX('Raw Data'!J:J,MATCH($B180,'Raw Data'!$C:$C,0)),"-")</f>
        <v>119.86729999999901</v>
      </c>
      <c r="G180" s="13">
        <f>IFERROR(INDEX('Raw Data'!O:O,MATCH($B180,'Raw Data'!$C:$C,0)),"-")</f>
        <v>0.39435071939999999</v>
      </c>
      <c r="H180" s="13">
        <f>IFERROR(INDEX('Raw Data'!P:P,MATCH($B180,'Raw Data'!$C:$C,0)),"-")</f>
        <v>0.58630767760000002</v>
      </c>
      <c r="I180" s="16" t="str">
        <f>IFERROR(INDEX('Raw Data'!AD:AD,MATCH($B180,'Raw Data'!$C:$C,0)),"-")</f>
        <v>Operational</v>
      </c>
    </row>
    <row r="181" spans="1:9" ht="15" customHeight="1" x14ac:dyDescent="0.35">
      <c r="A181" s="15" t="str">
        <f>IFERROR(INDEX('Raw Data'!AC:AC,MATCH($B181,'Raw Data'!$C:$C,0)),"")</f>
        <v>Tipper</v>
      </c>
      <c r="B181" s="7" t="s">
        <v>38</v>
      </c>
      <c r="C181" s="10">
        <f>IFERROR(INDEX('Raw Data'!D:D,MATCH($B181,'Raw Data'!$C:$C,0)),"-")</f>
        <v>744.00139999999897</v>
      </c>
      <c r="D181" s="10">
        <f>IFERROR(INDEX('Raw Data'!E:E,MATCH($B181,'Raw Data'!$C:$C,0)),"-")</f>
        <v>270.558099999999</v>
      </c>
      <c r="E181" s="10">
        <f>IFERROR(INDEX('Raw Data'!H:H,MATCH($B181,'Raw Data'!$C:$C,0)),"-")</f>
        <v>473.443299999999</v>
      </c>
      <c r="F181" s="10">
        <f>IFERROR(INDEX('Raw Data'!J:J,MATCH($B181,'Raw Data'!$C:$C,0)),"-")</f>
        <v>250.65679999999901</v>
      </c>
      <c r="G181" s="9">
        <f>IFERROR(INDEX('Raw Data'!O:O,MATCH($B181,'Raw Data'!$C:$C,0)),"-")</f>
        <v>0.3636526759</v>
      </c>
      <c r="H181" s="9">
        <f>IFERROR(INDEX('Raw Data'!P:P,MATCH($B181,'Raw Data'!$C:$C,0)),"-")</f>
        <v>1.1564614000000001E-2</v>
      </c>
      <c r="I181" s="15" t="str">
        <f>IFERROR(INDEX('Raw Data'!AD:AD,MATCH($B181,'Raw Data'!$C:$C,0)),"-")</f>
        <v>Operational</v>
      </c>
    </row>
    <row r="182" spans="1:9" ht="15" customHeight="1" x14ac:dyDescent="0.35">
      <c r="A182" s="16" t="str">
        <f>IFERROR(INDEX('Raw Data'!AC:AC,MATCH($B182,'Raw Data'!$C:$C,0)),"")</f>
        <v>Tipper</v>
      </c>
      <c r="B182" s="11" t="s">
        <v>49</v>
      </c>
      <c r="C182" s="14">
        <f>IFERROR(INDEX('Raw Data'!D:D,MATCH($B182,'Raw Data'!$C:$C,0)),"-")</f>
        <v>744.00009999999997</v>
      </c>
      <c r="D182" s="14">
        <f>IFERROR(INDEX('Raw Data'!E:E,MATCH($B182,'Raw Data'!$C:$C,0)),"-")</f>
        <v>233.71239999999901</v>
      </c>
      <c r="E182" s="14">
        <f>IFERROR(INDEX('Raw Data'!H:H,MATCH($B182,'Raw Data'!$C:$C,0)),"-")</f>
        <v>510.28769999999997</v>
      </c>
      <c r="F182" s="14">
        <f>IFERROR(INDEX('Raw Data'!J:J,MATCH($B182,'Raw Data'!$C:$C,0)),"-")</f>
        <v>57.9346999999999</v>
      </c>
      <c r="G182" s="13">
        <f>IFERROR(INDEX('Raw Data'!O:O,MATCH($B182,'Raw Data'!$C:$C,0)),"-")</f>
        <v>0.31412952770000002</v>
      </c>
      <c r="H182" s="13">
        <f>IFERROR(INDEX('Raw Data'!P:P,MATCH($B182,'Raw Data'!$C:$C,0)),"-")</f>
        <v>0.74580039399999998</v>
      </c>
      <c r="I182" s="16" t="str">
        <f>IFERROR(INDEX('Raw Data'!AD:AD,MATCH($B182,'Raw Data'!$C:$C,0)),"-")</f>
        <v>Operational</v>
      </c>
    </row>
    <row r="183" spans="1:9" ht="15" customHeight="1" x14ac:dyDescent="0.35">
      <c r="A183" s="15" t="str">
        <f>IFERROR(INDEX('Raw Data'!AC:AC,MATCH($B183,'Raw Data'!$C:$C,0)),"")</f>
        <v>Tipper</v>
      </c>
      <c r="B183" s="7" t="s">
        <v>67</v>
      </c>
      <c r="C183" s="10">
        <f>IFERROR(INDEX('Raw Data'!D:D,MATCH($B183,'Raw Data'!$C:$C,0)),"-")</f>
        <v>744.00149999999996</v>
      </c>
      <c r="D183" s="10">
        <f>IFERROR(INDEX('Raw Data'!E:E,MATCH($B183,'Raw Data'!$C:$C,0)),"-")</f>
        <v>226.46709999999899</v>
      </c>
      <c r="E183" s="10">
        <f>IFERROR(INDEX('Raw Data'!H:H,MATCH($B183,'Raw Data'!$C:$C,0)),"-")</f>
        <v>517.53440000000001</v>
      </c>
      <c r="F183" s="10">
        <f>IFERROR(INDEX('Raw Data'!J:J,MATCH($B183,'Raw Data'!$C:$C,0)),"-")</f>
        <v>68.715499999999906</v>
      </c>
      <c r="G183" s="9">
        <f>IFERROR(INDEX('Raw Data'!O:O,MATCH($B183,'Raw Data'!$C:$C,0)),"-")</f>
        <v>0.30439064980000002</v>
      </c>
      <c r="H183" s="9">
        <f>IFERROR(INDEX('Raw Data'!P:P,MATCH($B183,'Raw Data'!$C:$C,0)),"-")</f>
        <v>0.69074006779999997</v>
      </c>
      <c r="I183" s="15" t="str">
        <f>IFERROR(INDEX('Raw Data'!AD:AD,MATCH($B183,'Raw Data'!$C:$C,0)),"-")</f>
        <v>Operational</v>
      </c>
    </row>
    <row r="184" spans="1:9" ht="15" customHeight="1" x14ac:dyDescent="0.35">
      <c r="A184" s="16" t="str">
        <f>IFERROR(INDEX('Raw Data'!AC:AC,MATCH($B184,'Raw Data'!$C:$C,0)),"")</f>
        <v>Tipper</v>
      </c>
      <c r="B184" s="11" t="s">
        <v>70</v>
      </c>
      <c r="C184" s="14">
        <f>IFERROR(INDEX('Raw Data'!D:D,MATCH($B184,'Raw Data'!$C:$C,0)),"-")</f>
        <v>740.66529999999898</v>
      </c>
      <c r="D184" s="14">
        <f>IFERROR(INDEX('Raw Data'!E:E,MATCH($B184,'Raw Data'!$C:$C,0)),"-")</f>
        <v>209.38919999999899</v>
      </c>
      <c r="E184" s="14">
        <f>IFERROR(INDEX('Raw Data'!H:H,MATCH($B184,'Raw Data'!$C:$C,0)),"-")</f>
        <v>531.27609999999902</v>
      </c>
      <c r="F184" s="14">
        <f>IFERROR(INDEX('Raw Data'!J:J,MATCH($B184,'Raw Data'!$C:$C,0)),"-")</f>
        <v>109.770099999999</v>
      </c>
      <c r="G184" s="13">
        <f>IFERROR(INDEX('Raw Data'!O:O,MATCH($B184,'Raw Data'!$C:$C,0)),"-")</f>
        <v>0.28270421200000001</v>
      </c>
      <c r="H184" s="13">
        <f>IFERROR(INDEX('Raw Data'!P:P,MATCH($B184,'Raw Data'!$C:$C,0)),"-")</f>
        <v>0.39794411559999998</v>
      </c>
      <c r="I184" s="16" t="str">
        <f>IFERROR(INDEX('Raw Data'!AD:AD,MATCH($B184,'Raw Data'!$C:$C,0)),"-")</f>
        <v>Operational</v>
      </c>
    </row>
    <row r="185" spans="1:9" ht="15" customHeight="1" x14ac:dyDescent="0.35">
      <c r="A185" s="15" t="str">
        <f>IFERROR(INDEX('Raw Data'!AC:AC,MATCH($B185,'Raw Data'!$C:$C,0)),"")</f>
        <v>Tipper</v>
      </c>
      <c r="B185" s="7" t="s">
        <v>41</v>
      </c>
      <c r="C185" s="10">
        <f>IFERROR(INDEX('Raw Data'!D:D,MATCH($B185,'Raw Data'!$C:$C,0)),"-")</f>
        <v>743.99990000000003</v>
      </c>
      <c r="D185" s="10">
        <f>IFERROR(INDEX('Raw Data'!E:E,MATCH($B185,'Raw Data'!$C:$C,0)),"-")</f>
        <v>197.08049999999901</v>
      </c>
      <c r="E185" s="10">
        <f>IFERROR(INDEX('Raw Data'!H:H,MATCH($B185,'Raw Data'!$C:$C,0)),"-")</f>
        <v>546.9194</v>
      </c>
      <c r="F185" s="10">
        <f>IFERROR(INDEX('Raw Data'!J:J,MATCH($B185,'Raw Data'!$C:$C,0)),"-")</f>
        <v>185.03809999999899</v>
      </c>
      <c r="G185" s="9">
        <f>IFERROR(INDEX('Raw Data'!O:O,MATCH($B185,'Raw Data'!$C:$C,0)),"-")</f>
        <v>0.26489318080000002</v>
      </c>
      <c r="H185" s="9">
        <f>IFERROR(INDEX('Raw Data'!P:P,MATCH($B185,'Raw Data'!$C:$C,0)),"-")</f>
        <v>5.8481686400000003E-2</v>
      </c>
      <c r="I185" s="15" t="str">
        <f>IFERROR(INDEX('Raw Data'!AD:AD,MATCH($B185,'Raw Data'!$C:$C,0)),"-")</f>
        <v>Operational</v>
      </c>
    </row>
    <row r="186" spans="1:9" ht="15" customHeight="1" x14ac:dyDescent="0.35">
      <c r="A186" s="16" t="str">
        <f>IFERROR(INDEX('Raw Data'!AC:AC,MATCH($B186,'Raw Data'!$C:$C,0)),"")</f>
        <v>Tipper</v>
      </c>
      <c r="B186" s="11" t="s">
        <v>34</v>
      </c>
      <c r="C186" s="14">
        <f>IFERROR(INDEX('Raw Data'!D:D,MATCH($B186,'Raw Data'!$C:$C,0)),"-")</f>
        <v>744.00049999999999</v>
      </c>
      <c r="D186" s="14">
        <f>IFERROR(INDEX('Raw Data'!E:E,MATCH($B186,'Raw Data'!$C:$C,0)),"-")</f>
        <v>169.18049999999999</v>
      </c>
      <c r="E186" s="14">
        <f>IFERROR(INDEX('Raw Data'!H:H,MATCH($B186,'Raw Data'!$C:$C,0)),"-")</f>
        <v>574.82000000000005</v>
      </c>
      <c r="F186" s="14">
        <f>IFERROR(INDEX('Raw Data'!J:J,MATCH($B186,'Raw Data'!$C:$C,0)),"-")</f>
        <v>112.1973</v>
      </c>
      <c r="G186" s="13">
        <f>IFERROR(INDEX('Raw Data'!O:O,MATCH($B186,'Raw Data'!$C:$C,0)),"-")</f>
        <v>0.22739299230000001</v>
      </c>
      <c r="H186" s="13">
        <f>IFERROR(INDEX('Raw Data'!P:P,MATCH($B186,'Raw Data'!$C:$C,0)),"-")</f>
        <v>0.33282913809999998</v>
      </c>
      <c r="I186" s="16" t="str">
        <f>IFERROR(INDEX('Raw Data'!AD:AD,MATCH($B186,'Raw Data'!$C:$C,0)),"-")</f>
        <v>Operational</v>
      </c>
    </row>
    <row r="187" spans="1:9" ht="15" customHeight="1" x14ac:dyDescent="0.35">
      <c r="A187" s="15" t="str">
        <f>IFERROR(INDEX('Raw Data'!AC:AC,MATCH($B187,'Raw Data'!$C:$C,0)),"")</f>
        <v>Tipper</v>
      </c>
      <c r="B187" s="7" t="s">
        <v>43</v>
      </c>
      <c r="C187" s="10">
        <f>IFERROR(INDEX('Raw Data'!D:D,MATCH($B187,'Raw Data'!$C:$C,0)),"-")</f>
        <v>744.00109999999995</v>
      </c>
      <c r="D187" s="10">
        <f>IFERROR(INDEX('Raw Data'!E:E,MATCH($B187,'Raw Data'!$C:$C,0)),"-")</f>
        <v>153.755899999999</v>
      </c>
      <c r="E187" s="10">
        <f>IFERROR(INDEX('Raw Data'!H:H,MATCH($B187,'Raw Data'!$C:$C,0)),"-")</f>
        <v>590.24519999999995</v>
      </c>
      <c r="F187" s="10">
        <f>IFERROR(INDEX('Raw Data'!J:J,MATCH($B187,'Raw Data'!$C:$C,0)),"-")</f>
        <v>116.596199999999</v>
      </c>
      <c r="G187" s="9">
        <f>IFERROR(INDEX('Raw Data'!O:O,MATCH($B187,'Raw Data'!$C:$C,0)),"-")</f>
        <v>0.20666085040000001</v>
      </c>
      <c r="H187" s="9">
        <f>IFERROR(INDEX('Raw Data'!P:P,MATCH($B187,'Raw Data'!$C:$C,0)),"-")</f>
        <v>0.2411393644</v>
      </c>
      <c r="I187" s="15" t="str">
        <f>IFERROR(INDEX('Raw Data'!AD:AD,MATCH($B187,'Raw Data'!$C:$C,0)),"-")</f>
        <v>Operational</v>
      </c>
    </row>
    <row r="188" spans="1:9" ht="15" customHeight="1" x14ac:dyDescent="0.35">
      <c r="A188" s="16" t="str">
        <f>IFERROR(INDEX('Raw Data'!AC:AC,MATCH($B188,'Raw Data'!$C:$C,0)),"")</f>
        <v>Tipper</v>
      </c>
      <c r="B188" s="11" t="s">
        <v>81</v>
      </c>
      <c r="C188" s="14">
        <f>IFERROR(INDEX('Raw Data'!D:D,MATCH($B188,'Raw Data'!$C:$C,0)),"-")</f>
        <v>744.00069999999903</v>
      </c>
      <c r="D188" s="14">
        <f>IFERROR(INDEX('Raw Data'!E:E,MATCH($B188,'Raw Data'!$C:$C,0)),"-")</f>
        <v>128.33369999999999</v>
      </c>
      <c r="E188" s="14">
        <f>IFERROR(INDEX('Raw Data'!H:H,MATCH($B188,'Raw Data'!$C:$C,0)),"-")</f>
        <v>615.66699999999901</v>
      </c>
      <c r="F188" s="14">
        <f>IFERROR(INDEX('Raw Data'!J:J,MATCH($B188,'Raw Data'!$C:$C,0)),"-")</f>
        <v>55.004199999999997</v>
      </c>
      <c r="G188" s="13">
        <f>IFERROR(INDEX('Raw Data'!O:O,MATCH($B188,'Raw Data'!$C:$C,0)),"-")</f>
        <v>0.17249137</v>
      </c>
      <c r="H188" s="13">
        <f>IFERROR(INDEX('Raw Data'!P:P,MATCH($B188,'Raw Data'!$C:$C,0)),"-")</f>
        <v>0.56857084300000005</v>
      </c>
      <c r="I188" s="16" t="str">
        <f>IFERROR(INDEX('Raw Data'!AD:AD,MATCH($B188,'Raw Data'!$C:$C,0)),"-")</f>
        <v>Operational</v>
      </c>
    </row>
    <row r="189" spans="1:9" ht="15" customHeight="1" x14ac:dyDescent="0.35">
      <c r="A189" s="15" t="str">
        <f>IFERROR(INDEX('Raw Data'!AC:AC,MATCH($B189,'Raw Data'!$C:$C,0)),"")</f>
        <v>Tipper</v>
      </c>
      <c r="B189" s="7" t="s">
        <v>96</v>
      </c>
      <c r="C189" s="10">
        <f>IFERROR(INDEX('Raw Data'!D:D,MATCH($B189,'Raw Data'!$C:$C,0)),"-")</f>
        <v>744.00049999999999</v>
      </c>
      <c r="D189" s="10">
        <f>IFERROR(INDEX('Raw Data'!E:E,MATCH($B189,'Raw Data'!$C:$C,0)),"-")</f>
        <v>91.565100000000001</v>
      </c>
      <c r="E189" s="10">
        <f>IFERROR(INDEX('Raw Data'!H:H,MATCH($B189,'Raw Data'!$C:$C,0)),"-")</f>
        <v>652.43539999999996</v>
      </c>
      <c r="F189" s="10">
        <f>IFERROR(INDEX('Raw Data'!J:J,MATCH($B189,'Raw Data'!$C:$C,0)),"-")</f>
        <v>60.723399999999998</v>
      </c>
      <c r="G189" s="9">
        <f>IFERROR(INDEX('Raw Data'!O:O,MATCH($B189,'Raw Data'!$C:$C,0)),"-")</f>
        <v>0.1230712883</v>
      </c>
      <c r="H189" s="9">
        <f>IFERROR(INDEX('Raw Data'!P:P,MATCH($B189,'Raw Data'!$C:$C,0)),"-")</f>
        <v>0.33399188120000001</v>
      </c>
      <c r="I189" s="15" t="str">
        <f>IFERROR(INDEX('Raw Data'!AD:AD,MATCH($B189,'Raw Data'!$C:$C,0)),"-")</f>
        <v>Operational</v>
      </c>
    </row>
    <row r="190" spans="1:9" ht="15" customHeight="1" x14ac:dyDescent="0.35">
      <c r="A190" s="16" t="str">
        <f>IFERROR(INDEX('Raw Data'!AC:AC,MATCH($B190,'Raw Data'!$C:$C,0)),"")</f>
        <v>Tipper</v>
      </c>
      <c r="B190" s="11" t="s">
        <v>86</v>
      </c>
      <c r="C190" s="14">
        <f>IFERROR(INDEX('Raw Data'!D:D,MATCH($B190,'Raw Data'!$C:$C,0)),"-")</f>
        <v>744.00049999999896</v>
      </c>
      <c r="D190" s="14">
        <f>IFERROR(INDEX('Raw Data'!E:E,MATCH($B190,'Raw Data'!$C:$C,0)),"-")</f>
        <v>91.372499999999903</v>
      </c>
      <c r="E190" s="14">
        <f>IFERROR(INDEX('Raw Data'!H:H,MATCH($B190,'Raw Data'!$C:$C,0)),"-")</f>
        <v>652.62799999999902</v>
      </c>
      <c r="F190" s="14">
        <f>IFERROR(INDEX('Raw Data'!J:J,MATCH($B190,'Raw Data'!$C:$C,0)),"-")</f>
        <v>91.282199999999904</v>
      </c>
      <c r="G190" s="13">
        <f>IFERROR(INDEX('Raw Data'!O:O,MATCH($B190,'Raw Data'!$C:$C,0)),"-")</f>
        <v>0.12281241750000001</v>
      </c>
      <c r="H190" s="13">
        <f>IFERROR(INDEX('Raw Data'!P:P,MATCH($B190,'Raw Data'!$C:$C,0)),"-")</f>
        <v>0</v>
      </c>
      <c r="I190" s="16" t="str">
        <f>IFERROR(INDEX('Raw Data'!AD:AD,MATCH($B190,'Raw Data'!$C:$C,0)),"-")</f>
        <v>Operational</v>
      </c>
    </row>
    <row r="191" spans="1:9" ht="15" customHeight="1" x14ac:dyDescent="0.35">
      <c r="A191" s="16" t="str">
        <f>IFERROR(INDEX('Raw Data'!AC:AC,MATCH($B191,'Raw Data'!$C:$C,0)),"")</f>
        <v>Tipper</v>
      </c>
      <c r="B191" s="11" t="s">
        <v>40</v>
      </c>
      <c r="C191" s="14">
        <f>IFERROR(INDEX('Raw Data'!D:D,MATCH($B191,'Raw Data'!$C:$C,0)),"-")</f>
        <v>744.00009999999997</v>
      </c>
      <c r="D191" s="14">
        <f>IFERROR(INDEX('Raw Data'!E:E,MATCH($B191,'Raw Data'!$C:$C,0)),"-")</f>
        <v>72.000100000000003</v>
      </c>
      <c r="E191" s="14">
        <f>IFERROR(INDEX('Raw Data'!H:H,MATCH($B191,'Raw Data'!$C:$C,0)),"-")</f>
        <v>672</v>
      </c>
      <c r="F191" s="14">
        <f>IFERROR(INDEX('Raw Data'!J:J,MATCH($B191,'Raw Data'!$C:$C,0)),"-")</f>
        <v>71.889499999999998</v>
      </c>
      <c r="G191" s="13">
        <f>IFERROR(INDEX('Raw Data'!O:O,MATCH($B191,'Raw Data'!$C:$C,0)),"-")</f>
        <v>9.6774314900000005E-2</v>
      </c>
      <c r="H191" s="13">
        <f>IFERROR(INDEX('Raw Data'!P:P,MATCH($B191,'Raw Data'!$C:$C,0)),"-")</f>
        <v>1.5152757E-3</v>
      </c>
      <c r="I191" s="16" t="str">
        <f>IFERROR(INDEX('Raw Data'!AD:AD,MATCH($B191,'Raw Data'!$C:$C,0)),"-")</f>
        <v>Operational</v>
      </c>
    </row>
    <row r="192" spans="1:9" ht="15" customHeight="1" x14ac:dyDescent="0.35">
      <c r="A192" s="15" t="str">
        <f>IFERROR(INDEX('Raw Data'!AC:AC,MATCH($B192,'Raw Data'!$C:$C,0)),"")</f>
        <v>Tipper</v>
      </c>
      <c r="B192" s="7" t="s">
        <v>37</v>
      </c>
      <c r="C192" s="10">
        <f>IFERROR(INDEX('Raw Data'!D:D,MATCH($B192,'Raw Data'!$C:$C,0)),"-")</f>
        <v>739.56549999999902</v>
      </c>
      <c r="D192" s="10">
        <f>IFERROR(INDEX('Raw Data'!E:E,MATCH($B192,'Raw Data'!$C:$C,0)),"-")</f>
        <v>63.396799999999999</v>
      </c>
      <c r="E192" s="10">
        <f>IFERROR(INDEX('Raw Data'!H:H,MATCH($B192,'Raw Data'!$C:$C,0)),"-")</f>
        <v>676.16869999999994</v>
      </c>
      <c r="F192" s="10">
        <f>IFERROR(INDEX('Raw Data'!J:J,MATCH($B192,'Raw Data'!$C:$C,0)),"-")</f>
        <v>57.7973</v>
      </c>
      <c r="G192" s="9">
        <f>IFERROR(INDEX('Raw Data'!O:O,MATCH($B192,'Raw Data'!$C:$C,0)),"-")</f>
        <v>8.5721683899999998E-2</v>
      </c>
      <c r="H192" s="9">
        <f>IFERROR(INDEX('Raw Data'!P:P,MATCH($B192,'Raw Data'!$C:$C,0)),"-")</f>
        <v>7.7874593000000006E-2</v>
      </c>
      <c r="I192" s="15" t="str">
        <f>IFERROR(INDEX('Raw Data'!AD:AD,MATCH($B192,'Raw Data'!$C:$C,0)),"-")</f>
        <v>Operational</v>
      </c>
    </row>
    <row r="193" spans="1:9" ht="15" customHeight="1" x14ac:dyDescent="0.35">
      <c r="A193" s="16" t="str">
        <f>IFERROR(INDEX('Raw Data'!AC:AC,MATCH($B193,'Raw Data'!$C:$C,0)),"")</f>
        <v>Tipper</v>
      </c>
      <c r="B193" s="11" t="s">
        <v>33</v>
      </c>
      <c r="C193" s="14">
        <f>IFERROR(INDEX('Raw Data'!D:D,MATCH($B193,'Raw Data'!$C:$C,0)),"-")</f>
        <v>743.999899999999</v>
      </c>
      <c r="D193" s="14">
        <f>IFERROR(INDEX('Raw Data'!E:E,MATCH($B193,'Raw Data'!$C:$C,0)),"-")</f>
        <v>17.0916</v>
      </c>
      <c r="E193" s="14">
        <f>IFERROR(INDEX('Raw Data'!H:H,MATCH($B193,'Raw Data'!$C:$C,0)),"-")</f>
        <v>726.90829999999903</v>
      </c>
      <c r="F193" s="14">
        <f>IFERROR(INDEX('Raw Data'!J:J,MATCH($B193,'Raw Data'!$C:$C,0)),"-")</f>
        <v>14.9833</v>
      </c>
      <c r="G193" s="13">
        <f>IFERROR(INDEX('Raw Data'!O:O,MATCH($B193,'Raw Data'!$C:$C,0)),"-")</f>
        <v>2.29725837E-2</v>
      </c>
      <c r="H193" s="13">
        <f>IFERROR(INDEX('Raw Data'!P:P,MATCH($B193,'Raw Data'!$C:$C,0)),"-")</f>
        <v>0.12318331809999999</v>
      </c>
      <c r="I193" s="16" t="str">
        <f>IFERROR(INDEX('Raw Data'!AD:AD,MATCH($B193,'Raw Data'!$C:$C,0)),"-")</f>
        <v>Operational</v>
      </c>
    </row>
    <row r="194" spans="1:9" ht="15" customHeight="1" x14ac:dyDescent="0.35">
      <c r="A194" s="15" t="str">
        <f>IFERROR(INDEX('Raw Data'!AC:AC,MATCH($B194,'Raw Data'!$C:$C,0)),"")</f>
        <v>Tipper</v>
      </c>
      <c r="B194" s="7" t="s">
        <v>35</v>
      </c>
      <c r="C194" s="10">
        <f>IFERROR(INDEX('Raw Data'!D:D,MATCH($B194,'Raw Data'!$C:$C,0)),"-")</f>
        <v>744.00009999999997</v>
      </c>
      <c r="D194" s="10">
        <f>IFERROR(INDEX('Raw Data'!E:E,MATCH($B194,'Raw Data'!$C:$C,0)),"-")</f>
        <v>1.6334</v>
      </c>
      <c r="E194" s="10">
        <f>IFERROR(INDEX('Raw Data'!H:H,MATCH($B194,'Raw Data'!$C:$C,0)),"-")</f>
        <v>742.36670000000004</v>
      </c>
      <c r="F194" s="10">
        <f>IFERROR(INDEX('Raw Data'!J:J,MATCH($B194,'Raw Data'!$C:$C,0)),"-")</f>
        <v>0.80559999999999998</v>
      </c>
      <c r="G194" s="9">
        <f>IFERROR(INDEX('Raw Data'!O:O,MATCH($B194,'Raw Data'!$C:$C,0)),"-")</f>
        <v>2.1954297999999999E-3</v>
      </c>
      <c r="H194" s="9">
        <f>IFERROR(INDEX('Raw Data'!P:P,MATCH($B194,'Raw Data'!$C:$C,0)),"-")</f>
        <v>0.50679564099999996</v>
      </c>
      <c r="I194" s="15" t="str">
        <f>IFERROR(INDEX('Raw Data'!AD:AD,MATCH($B194,'Raw Data'!$C:$C,0)),"-")</f>
        <v>Operational</v>
      </c>
    </row>
    <row r="195" spans="1:9" ht="15" customHeight="1" x14ac:dyDescent="0.35">
      <c r="A195" s="16" t="str">
        <f>IFERROR(INDEX('Raw Data'!AC:AC,MATCH($B195,'Raw Data'!$C:$C,0)),"")</f>
        <v>Tipper</v>
      </c>
      <c r="B195" s="11" t="s">
        <v>36</v>
      </c>
      <c r="C195" s="14">
        <f>IFERROR(INDEX('Raw Data'!D:D,MATCH($B195,'Raw Data'!$C:$C,0)),"-")</f>
        <v>744</v>
      </c>
      <c r="D195" s="14">
        <f>IFERROR(INDEX('Raw Data'!E:E,MATCH($B195,'Raw Data'!$C:$C,0)),"-")</f>
        <v>0</v>
      </c>
      <c r="E195" s="14">
        <f>IFERROR(INDEX('Raw Data'!H:H,MATCH($B195,'Raw Data'!$C:$C,0)),"-")</f>
        <v>744</v>
      </c>
      <c r="F195" s="14">
        <f>IFERROR(INDEX('Raw Data'!J:J,MATCH($B195,'Raw Data'!$C:$C,0)),"-")</f>
        <v>0</v>
      </c>
      <c r="G195" s="13">
        <f>IFERROR(INDEX('Raw Data'!O:O,MATCH($B195,'Raw Data'!$C:$C,0)),"-")</f>
        <v>0</v>
      </c>
      <c r="H195" s="13">
        <f>IFERROR(INDEX('Raw Data'!P:P,MATCH($B195,'Raw Data'!$C:$C,0)),"-")</f>
        <v>0</v>
      </c>
      <c r="I195" s="16" t="str">
        <f>IFERROR(INDEX('Raw Data'!AD:AD,MATCH($B195,'Raw Data'!$C:$C,0)),"-")</f>
        <v>Non-Operational</v>
      </c>
    </row>
    <row r="196" spans="1:9" ht="15" customHeight="1" x14ac:dyDescent="0.35">
      <c r="A196" s="15" t="str">
        <f>IFERROR(INDEX('Raw Data'!AC:AC,MATCH($B196,'Raw Data'!$C:$C,0)),"")</f>
        <v>Tipper</v>
      </c>
      <c r="B196" s="7" t="s">
        <v>39</v>
      </c>
      <c r="C196" s="10">
        <f>IFERROR(INDEX('Raw Data'!D:D,MATCH($B196,'Raw Data'!$C:$C,0)),"-")</f>
        <v>744</v>
      </c>
      <c r="D196" s="10">
        <f>IFERROR(INDEX('Raw Data'!E:E,MATCH($B196,'Raw Data'!$C:$C,0)),"-")</f>
        <v>0</v>
      </c>
      <c r="E196" s="10">
        <f>IFERROR(INDEX('Raw Data'!H:H,MATCH($B196,'Raw Data'!$C:$C,0)),"-")</f>
        <v>744</v>
      </c>
      <c r="F196" s="10">
        <f>IFERROR(INDEX('Raw Data'!J:J,MATCH($B196,'Raw Data'!$C:$C,0)),"-")</f>
        <v>0</v>
      </c>
      <c r="G196" s="9">
        <f>IFERROR(INDEX('Raw Data'!O:O,MATCH($B196,'Raw Data'!$C:$C,0)),"-")</f>
        <v>0</v>
      </c>
      <c r="H196" s="9">
        <f>IFERROR(INDEX('Raw Data'!P:P,MATCH($B196,'Raw Data'!$C:$C,0)),"-")</f>
        <v>0</v>
      </c>
      <c r="I196" s="15" t="str">
        <f>IFERROR(INDEX('Raw Data'!AD:AD,MATCH($B196,'Raw Data'!$C:$C,0)),"-")</f>
        <v>Non-Operational</v>
      </c>
    </row>
    <row r="197" spans="1:9" ht="15" customHeight="1" x14ac:dyDescent="0.35">
      <c r="A197" s="16" t="str">
        <f>IFERROR(INDEX('Raw Data'!AC:AC,MATCH($B197,'Raw Data'!$C:$C,0)),"")</f>
        <v>Tipper</v>
      </c>
      <c r="B197" s="11" t="s">
        <v>42</v>
      </c>
      <c r="C197" s="14">
        <f>IFERROR(INDEX('Raw Data'!D:D,MATCH($B197,'Raw Data'!$C:$C,0)),"-")</f>
        <v>744</v>
      </c>
      <c r="D197" s="14">
        <f>IFERROR(INDEX('Raw Data'!E:E,MATCH($B197,'Raw Data'!$C:$C,0)),"-")</f>
        <v>0</v>
      </c>
      <c r="E197" s="14">
        <f>IFERROR(INDEX('Raw Data'!H:H,MATCH($B197,'Raw Data'!$C:$C,0)),"-")</f>
        <v>744</v>
      </c>
      <c r="F197" s="14">
        <f>IFERROR(INDEX('Raw Data'!J:J,MATCH($B197,'Raw Data'!$C:$C,0)),"-")</f>
        <v>0</v>
      </c>
      <c r="G197" s="13">
        <f>IFERROR(INDEX('Raw Data'!O:O,MATCH($B197,'Raw Data'!$C:$C,0)),"-")</f>
        <v>0</v>
      </c>
      <c r="H197" s="13">
        <f>IFERROR(INDEX('Raw Data'!P:P,MATCH($B197,'Raw Data'!$C:$C,0)),"-")</f>
        <v>0</v>
      </c>
      <c r="I197" s="16" t="str">
        <f>IFERROR(INDEX('Raw Data'!AD:AD,MATCH($B197,'Raw Data'!$C:$C,0)),"-")</f>
        <v>Non-Operational</v>
      </c>
    </row>
    <row r="198" spans="1:9" ht="15" customHeight="1" x14ac:dyDescent="0.35">
      <c r="A198" s="15" t="str">
        <f>IFERROR(INDEX('Raw Data'!AC:AC,MATCH($B198,'Raw Data'!$C:$C,0)),"")</f>
        <v>Tipper</v>
      </c>
      <c r="B198" s="7" t="s">
        <v>44</v>
      </c>
      <c r="C198" s="10">
        <f>IFERROR(INDEX('Raw Data'!D:D,MATCH($B198,'Raw Data'!$C:$C,0)),"-")</f>
        <v>744</v>
      </c>
      <c r="D198" s="10">
        <f>IFERROR(INDEX('Raw Data'!E:E,MATCH($B198,'Raw Data'!$C:$C,0)),"-")</f>
        <v>0</v>
      </c>
      <c r="E198" s="10">
        <f>IFERROR(INDEX('Raw Data'!H:H,MATCH($B198,'Raw Data'!$C:$C,0)),"-")</f>
        <v>744</v>
      </c>
      <c r="F198" s="10">
        <f>IFERROR(INDEX('Raw Data'!J:J,MATCH($B198,'Raw Data'!$C:$C,0)),"-")</f>
        <v>0</v>
      </c>
      <c r="G198" s="9">
        <f>IFERROR(INDEX('Raw Data'!O:O,MATCH($B198,'Raw Data'!$C:$C,0)),"-")</f>
        <v>0</v>
      </c>
      <c r="H198" s="9">
        <f>IFERROR(INDEX('Raw Data'!P:P,MATCH($B198,'Raw Data'!$C:$C,0)),"-")</f>
        <v>0</v>
      </c>
      <c r="I198" s="15" t="str">
        <f>IFERROR(INDEX('Raw Data'!AD:AD,MATCH($B198,'Raw Data'!$C:$C,0)),"-")</f>
        <v>Non-Operational</v>
      </c>
    </row>
    <row r="199" spans="1:9" ht="15" customHeight="1" x14ac:dyDescent="0.35">
      <c r="A199" s="16" t="str">
        <f>IFERROR(INDEX('Raw Data'!AC:AC,MATCH($B199,'Raw Data'!$C:$C,0)),"")</f>
        <v>Tipper</v>
      </c>
      <c r="B199" s="11" t="s">
        <v>52</v>
      </c>
      <c r="C199" s="14">
        <f>IFERROR(INDEX('Raw Data'!D:D,MATCH($B199,'Raw Data'!$C:$C,0)),"-")</f>
        <v>744</v>
      </c>
      <c r="D199" s="14">
        <f>IFERROR(INDEX('Raw Data'!E:E,MATCH($B199,'Raw Data'!$C:$C,0)),"-")</f>
        <v>0</v>
      </c>
      <c r="E199" s="14">
        <f>IFERROR(INDEX('Raw Data'!H:H,MATCH($B199,'Raw Data'!$C:$C,0)),"-")</f>
        <v>744</v>
      </c>
      <c r="F199" s="14">
        <f>IFERROR(INDEX('Raw Data'!J:J,MATCH($B199,'Raw Data'!$C:$C,0)),"-")</f>
        <v>0</v>
      </c>
      <c r="G199" s="13">
        <f>IFERROR(INDEX('Raw Data'!O:O,MATCH($B199,'Raw Data'!$C:$C,0)),"-")</f>
        <v>0</v>
      </c>
      <c r="H199" s="13">
        <f>IFERROR(INDEX('Raw Data'!P:P,MATCH($B199,'Raw Data'!$C:$C,0)),"-")</f>
        <v>0</v>
      </c>
      <c r="I199" s="16" t="str">
        <f>IFERROR(INDEX('Raw Data'!AD:AD,MATCH($B199,'Raw Data'!$C:$C,0)),"-")</f>
        <v>Non-Operational</v>
      </c>
    </row>
    <row r="200" spans="1:9" ht="15" customHeight="1" x14ac:dyDescent="0.35">
      <c r="A200" s="15" t="str">
        <f>IFERROR(INDEX('Raw Data'!AC:AC,MATCH($B200,'Raw Data'!$C:$C,0)),"")</f>
        <v>Tipper</v>
      </c>
      <c r="B200" s="7" t="s">
        <v>54</v>
      </c>
      <c r="C200" s="10">
        <f>IFERROR(INDEX('Raw Data'!D:D,MATCH($B200,'Raw Data'!$C:$C,0)),"-")</f>
        <v>744</v>
      </c>
      <c r="D200" s="10">
        <f>IFERROR(INDEX('Raw Data'!E:E,MATCH($B200,'Raw Data'!$C:$C,0)),"-")</f>
        <v>0</v>
      </c>
      <c r="E200" s="10">
        <f>IFERROR(INDEX('Raw Data'!H:H,MATCH($B200,'Raw Data'!$C:$C,0)),"-")</f>
        <v>744</v>
      </c>
      <c r="F200" s="10">
        <f>IFERROR(INDEX('Raw Data'!J:J,MATCH($B200,'Raw Data'!$C:$C,0)),"-")</f>
        <v>0</v>
      </c>
      <c r="G200" s="9">
        <f>IFERROR(INDEX('Raw Data'!O:O,MATCH($B200,'Raw Data'!$C:$C,0)),"-")</f>
        <v>0</v>
      </c>
      <c r="H200" s="9">
        <f>IFERROR(INDEX('Raw Data'!P:P,MATCH($B200,'Raw Data'!$C:$C,0)),"-")</f>
        <v>0</v>
      </c>
      <c r="I200" s="15" t="str">
        <f>IFERROR(INDEX('Raw Data'!AD:AD,MATCH($B200,'Raw Data'!$C:$C,0)),"-")</f>
        <v>Non-Operational</v>
      </c>
    </row>
    <row r="201" spans="1:9" ht="15" customHeight="1" x14ac:dyDescent="0.35">
      <c r="A201" s="16" t="str">
        <f>IFERROR(INDEX('Raw Data'!AC:AC,MATCH($B201,'Raw Data'!$C:$C,0)),"")</f>
        <v>Tipper</v>
      </c>
      <c r="B201" s="11" t="s">
        <v>77</v>
      </c>
      <c r="C201" s="14">
        <f>IFERROR(INDEX('Raw Data'!D:D,MATCH($B201,'Raw Data'!$C:$C,0)),"-")</f>
        <v>744</v>
      </c>
      <c r="D201" s="14">
        <f>IFERROR(INDEX('Raw Data'!E:E,MATCH($B201,'Raw Data'!$C:$C,0)),"-")</f>
        <v>0</v>
      </c>
      <c r="E201" s="14">
        <f>IFERROR(INDEX('Raw Data'!H:H,MATCH($B201,'Raw Data'!$C:$C,0)),"-")</f>
        <v>744</v>
      </c>
      <c r="F201" s="14">
        <f>IFERROR(INDEX('Raw Data'!J:J,MATCH($B201,'Raw Data'!$C:$C,0)),"-")</f>
        <v>0</v>
      </c>
      <c r="G201" s="13">
        <f>IFERROR(INDEX('Raw Data'!O:O,MATCH($B201,'Raw Data'!$C:$C,0)),"-")</f>
        <v>0</v>
      </c>
      <c r="H201" s="13">
        <f>IFERROR(INDEX('Raw Data'!P:P,MATCH($B201,'Raw Data'!$C:$C,0)),"-")</f>
        <v>0</v>
      </c>
      <c r="I201" s="16" t="str">
        <f>IFERROR(INDEX('Raw Data'!AD:AD,MATCH($B201,'Raw Data'!$C:$C,0)),"-")</f>
        <v>Non-Operational</v>
      </c>
    </row>
    <row r="202" spans="1:9" ht="15" customHeight="1" x14ac:dyDescent="0.35">
      <c r="A202" s="15" t="str">
        <f>IFERROR(INDEX('Raw Data'!AC:AC,MATCH($B202,'Raw Data'!$C:$C,0)),"")</f>
        <v>Tipper</v>
      </c>
      <c r="B202" s="7" t="s">
        <v>83</v>
      </c>
      <c r="C202" s="10">
        <f>IFERROR(INDEX('Raw Data'!D:D,MATCH($B202,'Raw Data'!$C:$C,0)),"-")</f>
        <v>744</v>
      </c>
      <c r="D202" s="10">
        <f>IFERROR(INDEX('Raw Data'!E:E,MATCH($B202,'Raw Data'!$C:$C,0)),"-")</f>
        <v>0</v>
      </c>
      <c r="E202" s="10">
        <f>IFERROR(INDEX('Raw Data'!H:H,MATCH($B202,'Raw Data'!$C:$C,0)),"-")</f>
        <v>744</v>
      </c>
      <c r="F202" s="10">
        <f>IFERROR(INDEX('Raw Data'!J:J,MATCH($B202,'Raw Data'!$C:$C,0)),"-")</f>
        <v>0</v>
      </c>
      <c r="G202" s="9">
        <f>IFERROR(INDEX('Raw Data'!O:O,MATCH($B202,'Raw Data'!$C:$C,0)),"-")</f>
        <v>0</v>
      </c>
      <c r="H202" s="9">
        <f>IFERROR(INDEX('Raw Data'!P:P,MATCH($B202,'Raw Data'!$C:$C,0)),"-")</f>
        <v>0</v>
      </c>
      <c r="I202" s="15" t="str">
        <f>IFERROR(INDEX('Raw Data'!AD:AD,MATCH($B202,'Raw Data'!$C:$C,0)),"-")</f>
        <v>Non-Operational</v>
      </c>
    </row>
    <row r="204" spans="1:9" ht="13.5" customHeight="1" x14ac:dyDescent="0.35">
      <c r="A204" s="73" t="s">
        <v>282</v>
      </c>
      <c r="B204" s="73"/>
      <c r="C204" s="73"/>
      <c r="D204" s="73"/>
    </row>
    <row r="205" spans="1:9" ht="13.5" customHeight="1" x14ac:dyDescent="0.35">
      <c r="A205" s="74" t="s">
        <v>283</v>
      </c>
      <c r="B205" s="74"/>
      <c r="C205" s="74"/>
      <c r="D205" s="74"/>
    </row>
    <row r="206" spans="1:9" ht="13.5" customHeight="1" x14ac:dyDescent="0.35">
      <c r="A206" s="75" t="s">
        <v>284</v>
      </c>
      <c r="B206" s="75"/>
      <c r="C206" s="75"/>
      <c r="D206" s="75"/>
    </row>
  </sheetData>
  <mergeCells count="10">
    <mergeCell ref="A1:I1"/>
    <mergeCell ref="A3:I3"/>
    <mergeCell ref="A5:I5"/>
    <mergeCell ref="A83:I83"/>
    <mergeCell ref="A112:I112"/>
    <mergeCell ref="A129:I129"/>
    <mergeCell ref="A136:I136"/>
    <mergeCell ref="A204:D204"/>
    <mergeCell ref="A205:D205"/>
    <mergeCell ref="A206:D206"/>
  </mergeCells>
  <conditionalFormatting sqref="G5:G203">
    <cfRule type="cellIs" dxfId="11" priority="2" operator="lessThan">
      <formula>0.5</formula>
    </cfRule>
    <cfRule type="cellIs" dxfId="10" priority="3" operator="between">
      <formula>0.5</formula>
      <formula>0.75</formula>
    </cfRule>
    <cfRule type="cellIs" dxfId="9" priority="4" operator="greaterThanOrEqual">
      <formula>0.75</formula>
    </cfRule>
  </conditionalFormatting>
  <conditionalFormatting sqref="H5:H203">
    <cfRule type="cellIs" dxfId="8" priority="5" operator="lessThan">
      <formula>0.7</formula>
    </cfRule>
    <cfRule type="cellIs" dxfId="7" priority="6" operator="between">
      <formula>0.7</formula>
      <formula>0.8</formula>
    </cfRule>
    <cfRule type="cellIs" dxfId="6" priority="7" operator="greaterThanOrEqual">
      <formula>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9"/>
  <sheetViews>
    <sheetView showGridLines="0" zoomScaleNormal="100" workbookViewId="0">
      <pane ySplit="2" topLeftCell="A3" activePane="bottomLeft" state="frozen"/>
      <selection pane="bottomLeft" activeCell="A187" sqref="A187:XFD187"/>
    </sheetView>
  </sheetViews>
  <sheetFormatPr defaultColWidth="8.6328125" defaultRowHeight="14.5" x14ac:dyDescent="0.35"/>
  <cols>
    <col min="1" max="1" width="20" customWidth="1"/>
    <col min="2" max="3" width="14" customWidth="1"/>
    <col min="4" max="4" width="12" customWidth="1"/>
    <col min="5" max="5" width="16" customWidth="1"/>
    <col min="6" max="6" width="12" customWidth="1"/>
    <col min="7" max="7" width="14" customWidth="1"/>
    <col min="8" max="8" width="12" customWidth="1"/>
  </cols>
  <sheetData>
    <row r="1" spans="1:8" ht="27.75" customHeight="1" x14ac:dyDescent="0.35">
      <c r="A1" s="63" t="s">
        <v>285</v>
      </c>
      <c r="B1" s="63"/>
      <c r="C1" s="63"/>
      <c r="D1" s="63"/>
      <c r="E1" s="63"/>
      <c r="F1" s="63"/>
      <c r="G1" s="63"/>
      <c r="H1" s="63"/>
    </row>
    <row r="3" spans="1:8" ht="18" customHeight="1" x14ac:dyDescent="0.35">
      <c r="A3" s="71" t="s">
        <v>286</v>
      </c>
      <c r="B3" s="71"/>
      <c r="C3" s="71"/>
      <c r="D3" s="71"/>
      <c r="E3" s="71"/>
      <c r="F3" s="71"/>
      <c r="G3" s="71"/>
      <c r="H3" s="71"/>
    </row>
    <row r="4" spans="1:8" ht="25.5" customHeight="1" x14ac:dyDescent="0.35">
      <c r="A4" s="6" t="s">
        <v>246</v>
      </c>
      <c r="B4" s="6" t="s">
        <v>287</v>
      </c>
      <c r="C4" s="6" t="s">
        <v>252</v>
      </c>
      <c r="D4" s="6" t="s">
        <v>288</v>
      </c>
      <c r="E4" s="6" t="s">
        <v>289</v>
      </c>
      <c r="F4" s="6" t="s">
        <v>262</v>
      </c>
      <c r="G4" s="6" t="s">
        <v>263</v>
      </c>
      <c r="H4" s="6" t="s">
        <v>250</v>
      </c>
    </row>
    <row r="5" spans="1:8" ht="15.75" customHeight="1" x14ac:dyDescent="0.35">
      <c r="A5" s="7" t="s">
        <v>32</v>
      </c>
      <c r="B5" s="8">
        <f>COUNTIFS('Raw Data'!AC:AC,"Tipper",'Raw Data'!AD:AD,"Operational",'Raw Data'!AE:AE,"Individual")</f>
        <v>58</v>
      </c>
      <c r="C5" s="8">
        <f>SUMIFS('Raw Data'!W:W,'Raw Data'!AC:AC,"Tipper",'Raw Data'!AE:AE,"Individual")</f>
        <v>215728.67999999982</v>
      </c>
      <c r="D5" s="17">
        <f>IFERROR(AVERAGEIFS('Raw Data'!X:X,'Raw Data'!AC:AC,"Tipper",'Raw Data'!AD:AD,"Operational",'Raw Data'!AE:AE,"Individual"),0)</f>
        <v>11.790051919265522</v>
      </c>
      <c r="E5" s="8">
        <f>SUMIFS('Raw Data'!U:U,'Raw Data'!AC:AC,"Tipper",'Raw Data'!AE:AE,"Individual")</f>
        <v>15951</v>
      </c>
      <c r="F5" s="8">
        <f>SUMIFS('Raw Data'!R:R,'Raw Data'!AC:AC,"Tipper",'Raw Data'!AE:AE,"Individual")</f>
        <v>1196396.9100000001</v>
      </c>
      <c r="G5" s="8">
        <f>SUMIFS('Raw Data'!J:J,'Raw Data'!AC:AC,"Tipper",'Raw Data'!AE:AE,"Individual")</f>
        <v>9555.9513999999526</v>
      </c>
      <c r="H5" s="9">
        <f>IFERROR(AVERAGEIFS('Raw Data'!O:O,'Raw Data'!AC:AC,"Tipper",'Raw Data'!AD:AD,"Operational",'Raw Data'!AE:AE,"Individual"),0)</f>
        <v>0.62944445363965518</v>
      </c>
    </row>
    <row r="6" spans="1:8" ht="15.75" customHeight="1" x14ac:dyDescent="0.35">
      <c r="A6" s="11" t="s">
        <v>101</v>
      </c>
      <c r="B6" s="12">
        <f>COUNTIFS('Raw Data'!AC:AC,"Dumper",'Raw Data'!AD:AD,"Operational",'Raw Data'!AE:AE,"Individual")</f>
        <v>74</v>
      </c>
      <c r="C6" s="12">
        <f>SUMIFS('Raw Data'!W:W,'Raw Data'!AC:AC,"Dumper",'Raw Data'!AE:AE,"Individual")</f>
        <v>495317.67999999964</v>
      </c>
      <c r="D6" s="18">
        <f>IFERROR(AVERAGEIFS('Raw Data'!X:X,'Raw Data'!AC:AC,"Dumper",'Raw Data'!AD:AD,"Operational",'Raw Data'!AE:AE,"Individual"),0)</f>
        <v>20.056461040378384</v>
      </c>
      <c r="E6" s="12">
        <f>SUMIFS('Raw Data'!U:U,'Raw Data'!AC:AC,"Dumper",'Raw Data'!AE:AE,"Individual")</f>
        <v>1492711</v>
      </c>
      <c r="F6" s="12">
        <f>SUMIFS('Raw Data'!R:R,'Raw Data'!AC:AC,"Dumper",'Raw Data'!AE:AE,"Individual")</f>
        <v>207188.26</v>
      </c>
      <c r="G6" s="12">
        <f>SUMIFS('Raw Data'!J:J,'Raw Data'!AC:AC,"Dumper",'Raw Data'!AE:AE,"Individual")</f>
        <v>5479.7380999999914</v>
      </c>
      <c r="H6" s="13">
        <f>IFERROR(AVERAGEIFS('Raw Data'!O:O,'Raw Data'!AC:AC,"Dumper",'Raw Data'!AD:AD,"Operational",'Raw Data'!AE:AE,"Individual"),0)</f>
        <v>0.56224383144054046</v>
      </c>
    </row>
    <row r="7" spans="1:8" ht="15.75" customHeight="1" x14ac:dyDescent="0.35">
      <c r="A7" s="7" t="s">
        <v>199</v>
      </c>
      <c r="B7" s="8">
        <f>COUNTIFS('Raw Data'!AC:AC,"Excavator",'Raw Data'!AD:AD,"Operational",'Raw Data'!AE:AE,"Individual")</f>
        <v>26</v>
      </c>
      <c r="C7" s="8">
        <f>SUMIFS('Raw Data'!W:W,'Raw Data'!AC:AC,"Excavator",'Raw Data'!AE:AE,"Individual")</f>
        <v>512369.07999999903</v>
      </c>
      <c r="D7" s="17">
        <f>IFERROR(AVERAGEIFS('Raw Data'!X:X,'Raw Data'!AC:AC,"Excavator",'Raw Data'!AD:AD,"Operational",'Raw Data'!AE:AE,"Individual"),0)</f>
        <v>67.112693697692308</v>
      </c>
      <c r="E7" s="8">
        <f>SUMIFS('Raw Data'!U:U,'Raw Data'!AC:AC,"Excavator",'Raw Data'!AE:AE,"Individual")</f>
        <v>0</v>
      </c>
      <c r="F7" s="8">
        <f>SUMIFS('Raw Data'!R:R,'Raw Data'!AC:AC,"Excavator",'Raw Data'!AE:AE,"Individual")</f>
        <v>0</v>
      </c>
      <c r="G7" s="8">
        <f>SUMIFS('Raw Data'!J:J,'Raw Data'!AC:AC,"Excavator",'Raw Data'!AE:AE,"Individual")</f>
        <v>1208.119099999999</v>
      </c>
      <c r="H7" s="9">
        <f>IFERROR(AVERAGEIFS('Raw Data'!O:O,'Raw Data'!AC:AC,"Excavator",'Raw Data'!AD:AD,"Operational",'Raw Data'!AE:AE,"Individual"),0)</f>
        <v>0.6063979870807692</v>
      </c>
    </row>
    <row r="8" spans="1:8" ht="15.75" customHeight="1" x14ac:dyDescent="0.35">
      <c r="A8" s="11" t="s">
        <v>181</v>
      </c>
      <c r="B8" s="12">
        <f>COUNTIFS('Raw Data'!AC:AC,"Front End Loader",'Raw Data'!AD:AD,"Operational",'Raw Data'!AE:AE,"Individual")</f>
        <v>15</v>
      </c>
      <c r="C8" s="12">
        <f>SUMIFS('Raw Data'!W:W,'Raw Data'!AC:AC,"Front End Loader",'Raw Data'!AE:AE,"Individual")</f>
        <v>117566.02999999968</v>
      </c>
      <c r="D8" s="18">
        <f>IFERROR(AVERAGEIFS('Raw Data'!X:X,'Raw Data'!AC:AC,"Front End Loader",'Raw Data'!AD:AD,"Operational",'Raw Data'!AE:AE,"Individual"),0)</f>
        <v>18.346332701333331</v>
      </c>
      <c r="E8" s="12">
        <f>SUMIFS('Raw Data'!U:U,'Raw Data'!AC:AC,"Front End Loader",'Raw Data'!AE:AE,"Individual")</f>
        <v>0</v>
      </c>
      <c r="F8" s="12">
        <f>SUMIFS('Raw Data'!R:R,'Raw Data'!AC:AC,"Front End Loader",'Raw Data'!AE:AE,"Individual")</f>
        <v>0</v>
      </c>
      <c r="G8" s="12">
        <f>SUMIFS('Raw Data'!J:J,'Raw Data'!AC:AC,"Front End Loader",'Raw Data'!AE:AE,"Individual")</f>
        <v>4008.9335999999989</v>
      </c>
      <c r="H8" s="13">
        <f>IFERROR(AVERAGEIFS('Raw Data'!O:O,'Raw Data'!AC:AC,"Front End Loader",'Raw Data'!AD:AD,"Operational",'Raw Data'!AE:AE,"Individual"),0)</f>
        <v>0.81999916304666676</v>
      </c>
    </row>
    <row r="9" spans="1:8" ht="15.75" customHeight="1" x14ac:dyDescent="0.35">
      <c r="A9" s="7" t="s">
        <v>228</v>
      </c>
      <c r="B9" s="8">
        <f>COUNTIFS('Raw Data'!AC:AC,"Surface Miner",'Raw Data'!AD:AD,"Operational",'Raw Data'!AE:AE,"Individual")</f>
        <v>6</v>
      </c>
      <c r="C9" s="8">
        <f>SUMIFS('Raw Data'!W:W,'Raw Data'!AC:AC,"Surface Miner",'Raw Data'!AE:AE,"Individual")</f>
        <v>179123.35999999978</v>
      </c>
      <c r="D9" s="17">
        <f>IFERROR(AVERAGEIFS('Raw Data'!X:X,'Raw Data'!AC:AC,"Surface Miner",'Raw Data'!AD:AD,"Operational",'Raw Data'!AE:AE,"Individual"),0)</f>
        <v>71.110628988333332</v>
      </c>
      <c r="E9" s="8">
        <f>SUMIFS('Raw Data'!U:U,'Raw Data'!AC:AC,"Surface Miner",'Raw Data'!AE:AE,"Individual")</f>
        <v>0</v>
      </c>
      <c r="F9" s="8">
        <f>SUMIFS('Raw Data'!R:R,'Raw Data'!AC:AC,"Surface Miner",'Raw Data'!AE:AE,"Individual")</f>
        <v>0</v>
      </c>
      <c r="G9" s="8">
        <f>SUMIFS('Raw Data'!J:J,'Raw Data'!AC:AC,"Surface Miner",'Raw Data'!AE:AE,"Individual")</f>
        <v>289.22079999999988</v>
      </c>
      <c r="H9" s="9">
        <f>IFERROR(AVERAGEIFS('Raw Data'!O:O,'Raw Data'!AC:AC,"Surface Miner",'Raw Data'!AD:AD,"Operational",'Raw Data'!AE:AE,"Individual"),0)</f>
        <v>0.56992594373333327</v>
      </c>
    </row>
    <row r="10" spans="1:8" ht="15.75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12">
        <f>SUMIFS('Raw Data'!W:W,'Raw Data'!AC:AC,"Diesel Bowser",'Raw Data'!AE:AE,"Individual")</f>
        <v>5628.11</v>
      </c>
      <c r="D10" s="18">
        <f>IFERROR(AVERAGEIFS('Raw Data'!X:X,'Raw Data'!AC:AC,"Diesel Bowser",'Raw Data'!AD:AD,"Operational",'Raw Data'!AE:AE,"Individual"),0)</f>
        <v>15.610946956333331</v>
      </c>
      <c r="E10" s="12">
        <f>SUMIFS('Raw Data'!U:U,'Raw Data'!AC:AC,"Diesel Bowser",'Raw Data'!AE:AE,"Individual")</f>
        <v>0</v>
      </c>
      <c r="F10" s="12">
        <f>SUMIFS('Raw Data'!R:R,'Raw Data'!AC:AC,"Diesel Bowser",'Raw Data'!AE:AE,"Individual")</f>
        <v>0</v>
      </c>
      <c r="G10" s="12">
        <f>SUMIFS('Raw Data'!J:J,'Raw Data'!AC:AC,"Diesel Bowser",'Raw Data'!AE:AE,"Individual")</f>
        <v>2069.4218999999989</v>
      </c>
      <c r="H10" s="13">
        <f>IFERROR(AVERAGEIFS('Raw Data'!O:O,'Raw Data'!AC:AC,"Diesel Bowser",'Raw Data'!AD:AD,"Operational",'Raw Data'!AE:AE,"Individual"),0)</f>
        <v>0.74675260083333328</v>
      </c>
    </row>
    <row r="13" spans="1:8" ht="18" customHeight="1" x14ac:dyDescent="0.35">
      <c r="A13" s="71" t="s">
        <v>290</v>
      </c>
      <c r="B13" s="71"/>
      <c r="C13" s="71"/>
      <c r="D13" s="71"/>
      <c r="E13" s="71"/>
      <c r="F13" s="71"/>
      <c r="G13" s="71"/>
      <c r="H13" s="71"/>
    </row>
    <row r="14" spans="1:8" ht="25.5" customHeight="1" x14ac:dyDescent="0.35">
      <c r="A14" s="6" t="s">
        <v>29</v>
      </c>
      <c r="B14" s="6" t="s">
        <v>3</v>
      </c>
      <c r="C14" s="6" t="s">
        <v>252</v>
      </c>
      <c r="D14" s="6" t="s">
        <v>291</v>
      </c>
      <c r="E14" s="6" t="s">
        <v>292</v>
      </c>
      <c r="F14" s="6" t="s">
        <v>293</v>
      </c>
      <c r="G14" s="6" t="s">
        <v>253</v>
      </c>
      <c r="H14" s="6" t="s">
        <v>294</v>
      </c>
    </row>
    <row r="15" spans="1:8" ht="15" customHeight="1" x14ac:dyDescent="0.35">
      <c r="A15" s="15" t="str">
        <f>IFERROR(INDEX('Raw Data'!AC:AC,MATCH($B15,'Raw Data'!$C:$C,0)),"-")</f>
        <v>Excavator</v>
      </c>
      <c r="B15" s="7" t="s">
        <v>200</v>
      </c>
      <c r="C15" s="8">
        <f>IFERROR(INDEX('Raw Data'!W:W,MATCH($B15,'Raw Data'!$C:$C,0)),"-")</f>
        <v>66982.78</v>
      </c>
      <c r="D15" s="17">
        <f>IFERROR(INDEX('Raw Data'!X:X,MATCH($B15,'Raw Data'!$C:$C,0)),"-")</f>
        <v>128.59269979999999</v>
      </c>
      <c r="E15" s="17">
        <f>IFERROR(INDEX('Raw Data'!Y:Y,MATCH($B15,'Raw Data'!$C:$C,0)),"-")</f>
        <v>66982.78</v>
      </c>
      <c r="F15" s="10">
        <f>IFERROR(INDEX('Raw Data'!F:F,MATCH($B15,'Raw Data'!$C:$C,0)),"-")</f>
        <v>538.24519999999995</v>
      </c>
      <c r="G15" s="8">
        <f>IFERROR(INDEX('Raw Data'!U:U,MATCH($B15,'Raw Data'!$C:$C,0)),"-")</f>
        <v>0</v>
      </c>
      <c r="H15" s="8">
        <f>IFERROR(INDEX('Raw Data'!R:R,MATCH($B15,'Raw Data'!$C:$C,0)),"-")</f>
        <v>0</v>
      </c>
    </row>
    <row r="16" spans="1:8" ht="15" customHeight="1" x14ac:dyDescent="0.35">
      <c r="A16" s="16" t="str">
        <f>IFERROR(INDEX('Raw Data'!AC:AC,MATCH($B16,'Raw Data'!$C:$C,0)),"-")</f>
        <v>Excavator</v>
      </c>
      <c r="B16" s="11" t="s">
        <v>227</v>
      </c>
      <c r="C16" s="12">
        <f>IFERROR(INDEX('Raw Data'!W:W,MATCH($B16,'Raw Data'!$C:$C,0)),"-")</f>
        <v>45651.3</v>
      </c>
      <c r="D16" s="18">
        <f>IFERROR(INDEX('Raw Data'!X:X,MATCH($B16,'Raw Data'!$C:$C,0)),"-")</f>
        <v>98.611124009999997</v>
      </c>
      <c r="E16" s="18">
        <f>IFERROR(INDEX('Raw Data'!Y:Y,MATCH($B16,'Raw Data'!$C:$C,0)),"-")</f>
        <v>45651.3</v>
      </c>
      <c r="F16" s="14">
        <f>IFERROR(INDEX('Raw Data'!F:F,MATCH($B16,'Raw Data'!$C:$C,0)),"-")</f>
        <v>481.71940000000001</v>
      </c>
      <c r="G16" s="12">
        <f>IFERROR(INDEX('Raw Data'!U:U,MATCH($B16,'Raw Data'!$C:$C,0)),"-")</f>
        <v>0</v>
      </c>
      <c r="H16" s="12">
        <f>IFERROR(INDEX('Raw Data'!R:R,MATCH($B16,'Raw Data'!$C:$C,0)),"-")</f>
        <v>0</v>
      </c>
    </row>
    <row r="17" spans="1:8" ht="15" customHeight="1" x14ac:dyDescent="0.35">
      <c r="A17" s="15" t="str">
        <f>IFERROR(INDEX('Raw Data'!AC:AC,MATCH($B17,'Raw Data'!$C:$C,0)),"-")</f>
        <v>Surface Miner</v>
      </c>
      <c r="B17" s="7" t="s">
        <v>232</v>
      </c>
      <c r="C17" s="8">
        <f>IFERROR(INDEX('Raw Data'!W:W,MATCH($B17,'Raw Data'!$C:$C,0)),"-")</f>
        <v>45218.249999999898</v>
      </c>
      <c r="D17" s="17">
        <f>IFERROR(INDEX('Raw Data'!X:X,MATCH($B17,'Raw Data'!$C:$C,0)),"-")</f>
        <v>91.562554610000007</v>
      </c>
      <c r="E17" s="17">
        <f>IFERROR(INDEX('Raw Data'!Y:Y,MATCH($B17,'Raw Data'!$C:$C,0)),"-")</f>
        <v>45218.249999999898</v>
      </c>
      <c r="F17" s="10">
        <f>IFERROR(INDEX('Raw Data'!F:F,MATCH($B17,'Raw Data'!$C:$C,0)),"-")</f>
        <v>502.50040000000001</v>
      </c>
      <c r="G17" s="8">
        <f>IFERROR(INDEX('Raw Data'!U:U,MATCH($B17,'Raw Data'!$C:$C,0)),"-")</f>
        <v>0</v>
      </c>
      <c r="H17" s="8">
        <f>IFERROR(INDEX('Raw Data'!R:R,MATCH($B17,'Raw Data'!$C:$C,0)),"-")</f>
        <v>0</v>
      </c>
    </row>
    <row r="18" spans="1:8" ht="15" customHeight="1" x14ac:dyDescent="0.35">
      <c r="A18" s="16" t="str">
        <f>IFERROR(INDEX('Raw Data'!AC:AC,MATCH($B18,'Raw Data'!$C:$C,0)),"-")</f>
        <v>Surface Miner</v>
      </c>
      <c r="B18" s="11" t="s">
        <v>234</v>
      </c>
      <c r="C18" s="12">
        <f>IFERROR(INDEX('Raw Data'!W:W,MATCH($B18,'Raw Data'!$C:$C,0)),"-")</f>
        <v>44190.599999999897</v>
      </c>
      <c r="D18" s="18">
        <f>IFERROR(INDEX('Raw Data'!X:X,MATCH($B18,'Raw Data'!$C:$C,0)),"-")</f>
        <v>86.488248990000002</v>
      </c>
      <c r="E18" s="18">
        <f>IFERROR(INDEX('Raw Data'!Y:Y,MATCH($B18,'Raw Data'!$C:$C,0)),"-")</f>
        <v>44190.599999999897</v>
      </c>
      <c r="F18" s="14">
        <f>IFERROR(INDEX('Raw Data'!F:F,MATCH($B18,'Raw Data'!$C:$C,0)),"-")</f>
        <v>518.95389999999998</v>
      </c>
      <c r="G18" s="12">
        <f>IFERROR(INDEX('Raw Data'!U:U,MATCH($B18,'Raw Data'!$C:$C,0)),"-")</f>
        <v>0</v>
      </c>
      <c r="H18" s="12">
        <f>IFERROR(INDEX('Raw Data'!R:R,MATCH($B18,'Raw Data'!$C:$C,0)),"-")</f>
        <v>0</v>
      </c>
    </row>
    <row r="19" spans="1:8" ht="15" customHeight="1" x14ac:dyDescent="0.35">
      <c r="A19" s="15" t="str">
        <f>IFERROR(INDEX('Raw Data'!AC:AC,MATCH($B19,'Raw Data'!$C:$C,0)),"-")</f>
        <v>Surface Miner</v>
      </c>
      <c r="B19" s="7" t="s">
        <v>231</v>
      </c>
      <c r="C19" s="8">
        <f>IFERROR(INDEX('Raw Data'!W:W,MATCH($B19,'Raw Data'!$C:$C,0)),"-")</f>
        <v>40469.51</v>
      </c>
      <c r="D19" s="17">
        <f>IFERROR(INDEX('Raw Data'!X:X,MATCH($B19,'Raw Data'!$C:$C,0)),"-")</f>
        <v>85.998884779999997</v>
      </c>
      <c r="E19" s="17">
        <f>IFERROR(INDEX('Raw Data'!Y:Y,MATCH($B19,'Raw Data'!$C:$C,0)),"-")</f>
        <v>40469.51</v>
      </c>
      <c r="F19" s="10">
        <f>IFERROR(INDEX('Raw Data'!F:F,MATCH($B19,'Raw Data'!$C:$C,0)),"-")</f>
        <v>578.03579999999897</v>
      </c>
      <c r="G19" s="8">
        <f>IFERROR(INDEX('Raw Data'!U:U,MATCH($B19,'Raw Data'!$C:$C,0)),"-")</f>
        <v>0</v>
      </c>
      <c r="H19" s="8">
        <f>IFERROR(INDEX('Raw Data'!R:R,MATCH($B19,'Raw Data'!$C:$C,0)),"-")</f>
        <v>0</v>
      </c>
    </row>
    <row r="20" spans="1:8" ht="15" customHeight="1" x14ac:dyDescent="0.35">
      <c r="A20" s="16" t="str">
        <f>IFERROR(INDEX('Raw Data'!AC:AC,MATCH($B20,'Raw Data'!$C:$C,0)),"-")</f>
        <v>Excavator</v>
      </c>
      <c r="B20" s="11" t="s">
        <v>226</v>
      </c>
      <c r="C20" s="12">
        <f>IFERROR(INDEX('Raw Data'!W:W,MATCH($B20,'Raw Data'!$C:$C,0)),"-")</f>
        <v>28669.809999999899</v>
      </c>
      <c r="D20" s="18">
        <f>IFERROR(INDEX('Raw Data'!X:X,MATCH($B20,'Raw Data'!$C:$C,0)),"-")</f>
        <v>60.801924810000003</v>
      </c>
      <c r="E20" s="18">
        <f>IFERROR(INDEX('Raw Data'!Y:Y,MATCH($B20,'Raw Data'!$C:$C,0)),"-")</f>
        <v>28669.809999999899</v>
      </c>
      <c r="F20" s="14">
        <f>IFERROR(INDEX('Raw Data'!F:F,MATCH($B20,'Raw Data'!$C:$C,0)),"-")</f>
        <v>493.97129999999902</v>
      </c>
      <c r="G20" s="12">
        <f>IFERROR(INDEX('Raw Data'!U:U,MATCH($B20,'Raw Data'!$C:$C,0)),"-")</f>
        <v>0</v>
      </c>
      <c r="H20" s="12">
        <f>IFERROR(INDEX('Raw Data'!R:R,MATCH($B20,'Raw Data'!$C:$C,0)),"-")</f>
        <v>0</v>
      </c>
    </row>
    <row r="21" spans="1:8" ht="15" customHeight="1" x14ac:dyDescent="0.35">
      <c r="A21" s="15" t="str">
        <f>IFERROR(INDEX('Raw Data'!AC:AC,MATCH($B21,'Raw Data'!$C:$C,0)),"-")</f>
        <v>Excavator</v>
      </c>
      <c r="B21" s="7" t="s">
        <v>225</v>
      </c>
      <c r="C21" s="8">
        <f>IFERROR(INDEX('Raw Data'!W:W,MATCH($B21,'Raw Data'!$C:$C,0)),"-")</f>
        <v>27405.279999999999</v>
      </c>
      <c r="D21" s="17">
        <f>IFERROR(INDEX('Raw Data'!X:X,MATCH($B21,'Raw Data'!$C:$C,0)),"-")</f>
        <v>58.230816910000001</v>
      </c>
      <c r="E21" s="17">
        <f>IFERROR(INDEX('Raw Data'!Y:Y,MATCH($B21,'Raw Data'!$C:$C,0)),"-")</f>
        <v>27405.279999999999</v>
      </c>
      <c r="F21" s="10">
        <f>IFERROR(INDEX('Raw Data'!F:F,MATCH($B21,'Raw Data'!$C:$C,0)),"-")</f>
        <v>483.05840000000001</v>
      </c>
      <c r="G21" s="8">
        <f>IFERROR(INDEX('Raw Data'!U:U,MATCH($B21,'Raw Data'!$C:$C,0)),"-")</f>
        <v>0</v>
      </c>
      <c r="H21" s="8">
        <f>IFERROR(INDEX('Raw Data'!R:R,MATCH($B21,'Raw Data'!$C:$C,0)),"-")</f>
        <v>0</v>
      </c>
    </row>
    <row r="22" spans="1:8" ht="15" customHeight="1" x14ac:dyDescent="0.35">
      <c r="A22" s="16" t="str">
        <f>IFERROR(INDEX('Raw Data'!AC:AC,MATCH($B22,'Raw Data'!$C:$C,0)),"-")</f>
        <v>Excavator</v>
      </c>
      <c r="B22" s="11" t="s">
        <v>215</v>
      </c>
      <c r="C22" s="12">
        <f>IFERROR(INDEX('Raw Data'!W:W,MATCH($B22,'Raw Data'!$C:$C,0)),"-")</f>
        <v>26947.29</v>
      </c>
      <c r="D22" s="18">
        <f>IFERROR(INDEX('Raw Data'!X:X,MATCH($B22,'Raw Data'!$C:$C,0)),"-")</f>
        <v>52.893112389999999</v>
      </c>
      <c r="E22" s="18">
        <f>IFERROR(INDEX('Raw Data'!Y:Y,MATCH($B22,'Raw Data'!$C:$C,0)),"-")</f>
        <v>26947.29</v>
      </c>
      <c r="F22" s="14">
        <f>IFERROR(INDEX('Raw Data'!F:F,MATCH($B22,'Raw Data'!$C:$C,0)),"-")</f>
        <v>552.659799999999</v>
      </c>
      <c r="G22" s="12">
        <f>IFERROR(INDEX('Raw Data'!U:U,MATCH($B22,'Raw Data'!$C:$C,0)),"-")</f>
        <v>0</v>
      </c>
      <c r="H22" s="12">
        <f>IFERROR(INDEX('Raw Data'!R:R,MATCH($B22,'Raw Data'!$C:$C,0)),"-")</f>
        <v>0</v>
      </c>
    </row>
    <row r="23" spans="1:8" ht="15" customHeight="1" x14ac:dyDescent="0.35">
      <c r="A23" s="15" t="str">
        <f>IFERROR(INDEX('Raw Data'!AC:AC,MATCH($B23,'Raw Data'!$C:$C,0)),"-")</f>
        <v>Surface Miner</v>
      </c>
      <c r="B23" s="7" t="s">
        <v>233</v>
      </c>
      <c r="C23" s="8">
        <f>IFERROR(INDEX('Raw Data'!W:W,MATCH($B23,'Raw Data'!$C:$C,0)),"-")</f>
        <v>26596.62</v>
      </c>
      <c r="D23" s="17">
        <f>IFERROR(INDEX('Raw Data'!X:X,MATCH($B23,'Raw Data'!$C:$C,0)),"-")</f>
        <v>87.774234460000002</v>
      </c>
      <c r="E23" s="17">
        <f>IFERROR(INDEX('Raw Data'!Y:Y,MATCH($B23,'Raw Data'!$C:$C,0)),"-")</f>
        <v>26596.62</v>
      </c>
      <c r="F23" s="10">
        <f>IFERROR(INDEX('Raw Data'!F:F,MATCH($B23,'Raw Data'!$C:$C,0)),"-")</f>
        <v>331.59609999999901</v>
      </c>
      <c r="G23" s="8">
        <f>IFERROR(INDEX('Raw Data'!U:U,MATCH($B23,'Raw Data'!$C:$C,0)),"-")</f>
        <v>0</v>
      </c>
      <c r="H23" s="8">
        <f>IFERROR(INDEX('Raw Data'!R:R,MATCH($B23,'Raw Data'!$C:$C,0)),"-")</f>
        <v>0</v>
      </c>
    </row>
    <row r="24" spans="1:8" ht="15" customHeight="1" x14ac:dyDescent="0.35">
      <c r="A24" s="16" t="str">
        <f>IFERROR(INDEX('Raw Data'!AC:AC,MATCH($B24,'Raw Data'!$C:$C,0)),"-")</f>
        <v>Excavator</v>
      </c>
      <c r="B24" s="11" t="s">
        <v>216</v>
      </c>
      <c r="C24" s="12">
        <f>IFERROR(INDEX('Raw Data'!W:W,MATCH($B24,'Raw Data'!$C:$C,0)),"-")</f>
        <v>25918.1499999999</v>
      </c>
      <c r="D24" s="18">
        <f>IFERROR(INDEX('Raw Data'!X:X,MATCH($B24,'Raw Data'!$C:$C,0)),"-")</f>
        <v>53.059165190000002</v>
      </c>
      <c r="E24" s="18">
        <f>IFERROR(INDEX('Raw Data'!Y:Y,MATCH($B24,'Raw Data'!$C:$C,0)),"-")</f>
        <v>25918.1499999999</v>
      </c>
      <c r="F24" s="14">
        <f>IFERROR(INDEX('Raw Data'!F:F,MATCH($B24,'Raw Data'!$C:$C,0)),"-")</f>
        <v>499.92039999999997</v>
      </c>
      <c r="G24" s="12">
        <f>IFERROR(INDEX('Raw Data'!U:U,MATCH($B24,'Raw Data'!$C:$C,0)),"-")</f>
        <v>0</v>
      </c>
      <c r="H24" s="12">
        <f>IFERROR(INDEX('Raw Data'!R:R,MATCH($B24,'Raw Data'!$C:$C,0)),"-")</f>
        <v>0</v>
      </c>
    </row>
    <row r="25" spans="1:8" ht="15" customHeight="1" x14ac:dyDescent="0.35">
      <c r="A25" s="15" t="str">
        <f>IFERROR(INDEX('Raw Data'!AC:AC,MATCH($B25,'Raw Data'!$C:$C,0)),"-")</f>
        <v>Excavator</v>
      </c>
      <c r="B25" s="7" t="s">
        <v>224</v>
      </c>
      <c r="C25" s="8">
        <f>IFERROR(INDEX('Raw Data'!W:W,MATCH($B25,'Raw Data'!$C:$C,0)),"-")</f>
        <v>25600.74</v>
      </c>
      <c r="D25" s="17">
        <f>IFERROR(INDEX('Raw Data'!X:X,MATCH($B25,'Raw Data'!$C:$C,0)),"-")</f>
        <v>588.44159430000002</v>
      </c>
      <c r="E25" s="17">
        <f>IFERROR(INDEX('Raw Data'!Y:Y,MATCH($B25,'Raw Data'!$C:$C,0)),"-")</f>
        <v>25600.74</v>
      </c>
      <c r="F25" s="10">
        <f>IFERROR(INDEX('Raw Data'!F:F,MATCH($B25,'Raw Data'!$C:$C,0)),"-")</f>
        <v>44.514899999999997</v>
      </c>
      <c r="G25" s="8">
        <f>IFERROR(INDEX('Raw Data'!U:U,MATCH($B25,'Raw Data'!$C:$C,0)),"-")</f>
        <v>0</v>
      </c>
      <c r="H25" s="8">
        <f>IFERROR(INDEX('Raw Data'!R:R,MATCH($B25,'Raw Data'!$C:$C,0)),"-")</f>
        <v>0</v>
      </c>
    </row>
    <row r="26" spans="1:8" ht="15" customHeight="1" x14ac:dyDescent="0.35">
      <c r="A26" s="16" t="str">
        <f>IFERROR(INDEX('Raw Data'!AC:AC,MATCH($B26,'Raw Data'!$C:$C,0)),"-")</f>
        <v>Excavator</v>
      </c>
      <c r="B26" s="11" t="s">
        <v>217</v>
      </c>
      <c r="C26" s="12">
        <f>IFERROR(INDEX('Raw Data'!W:W,MATCH($B26,'Raw Data'!$C:$C,0)),"-")</f>
        <v>23475.9199999999</v>
      </c>
      <c r="D26" s="18">
        <f>IFERROR(INDEX('Raw Data'!X:X,MATCH($B26,'Raw Data'!$C:$C,0)),"-")</f>
        <v>48.7707348</v>
      </c>
      <c r="E26" s="18">
        <f>IFERROR(INDEX('Raw Data'!Y:Y,MATCH($B26,'Raw Data'!$C:$C,0)),"-")</f>
        <v>23475.9199999999</v>
      </c>
      <c r="F26" s="14">
        <f>IFERROR(INDEX('Raw Data'!F:F,MATCH($B26,'Raw Data'!$C:$C,0)),"-")</f>
        <v>515.89520000000005</v>
      </c>
      <c r="G26" s="12">
        <f>IFERROR(INDEX('Raw Data'!U:U,MATCH($B26,'Raw Data'!$C:$C,0)),"-")</f>
        <v>0</v>
      </c>
      <c r="H26" s="12">
        <f>IFERROR(INDEX('Raw Data'!R:R,MATCH($B26,'Raw Data'!$C:$C,0)),"-")</f>
        <v>0</v>
      </c>
    </row>
    <row r="27" spans="1:8" ht="15" customHeight="1" x14ac:dyDescent="0.35">
      <c r="A27" s="15" t="str">
        <f>IFERROR(INDEX('Raw Data'!AC:AC,MATCH($B27,'Raw Data'!$C:$C,0)),"-")</f>
        <v>Excavator</v>
      </c>
      <c r="B27" s="7" t="s">
        <v>220</v>
      </c>
      <c r="C27" s="8">
        <f>IFERROR(INDEX('Raw Data'!W:W,MATCH($B27,'Raw Data'!$C:$C,0)),"-")</f>
        <v>23239.82</v>
      </c>
      <c r="D27" s="17">
        <f>IFERROR(INDEX('Raw Data'!X:X,MATCH($B27,'Raw Data'!$C:$C,0)),"-")</f>
        <v>53.302669530000003</v>
      </c>
      <c r="E27" s="17">
        <f>IFERROR(INDEX('Raw Data'!Y:Y,MATCH($B27,'Raw Data'!$C:$C,0)),"-")</f>
        <v>23239.82</v>
      </c>
      <c r="F27" s="10">
        <f>IFERROR(INDEX('Raw Data'!F:F,MATCH($B27,'Raw Data'!$C:$C,0)),"-")</f>
        <v>453.66819999999899</v>
      </c>
      <c r="G27" s="8">
        <f>IFERROR(INDEX('Raw Data'!U:U,MATCH($B27,'Raw Data'!$C:$C,0)),"-")</f>
        <v>0</v>
      </c>
      <c r="H27" s="8">
        <f>IFERROR(INDEX('Raw Data'!R:R,MATCH($B27,'Raw Data'!$C:$C,0)),"-")</f>
        <v>0</v>
      </c>
    </row>
    <row r="28" spans="1:8" ht="15" customHeight="1" x14ac:dyDescent="0.35">
      <c r="A28" s="16" t="str">
        <f>IFERROR(INDEX('Raw Data'!AC:AC,MATCH($B28,'Raw Data'!$C:$C,0)),"-")</f>
        <v>Surface Miner</v>
      </c>
      <c r="B28" s="11" t="s">
        <v>229</v>
      </c>
      <c r="C28" s="12">
        <f>IFERROR(INDEX('Raw Data'!W:W,MATCH($B28,'Raw Data'!$C:$C,0)),"-")</f>
        <v>22648.38</v>
      </c>
      <c r="D28" s="18">
        <f>IFERROR(INDEX('Raw Data'!X:X,MATCH($B28,'Raw Data'!$C:$C,0)),"-")</f>
        <v>74.839851089999996</v>
      </c>
      <c r="E28" s="18">
        <f>IFERROR(INDEX('Raw Data'!Y:Y,MATCH($B28,'Raw Data'!$C:$C,0)),"-")</f>
        <v>22648.38</v>
      </c>
      <c r="F28" s="14">
        <f>IFERROR(INDEX('Raw Data'!F:F,MATCH($B28,'Raw Data'!$C:$C,0)),"-")</f>
        <v>311.90249999999997</v>
      </c>
      <c r="G28" s="12">
        <f>IFERROR(INDEX('Raw Data'!U:U,MATCH($B28,'Raw Data'!$C:$C,0)),"-")</f>
        <v>0</v>
      </c>
      <c r="H28" s="12">
        <f>IFERROR(INDEX('Raw Data'!R:R,MATCH($B28,'Raw Data'!$C:$C,0)),"-")</f>
        <v>0</v>
      </c>
    </row>
    <row r="29" spans="1:8" ht="15" customHeight="1" x14ac:dyDescent="0.35">
      <c r="A29" s="15" t="str">
        <f>IFERROR(INDEX('Raw Data'!AC:AC,MATCH($B29,'Raw Data'!$C:$C,0)),"-")</f>
        <v>Dumper</v>
      </c>
      <c r="B29" s="7" t="s">
        <v>170</v>
      </c>
      <c r="C29" s="8">
        <f>IFERROR(INDEX('Raw Data'!W:W,MATCH($B29,'Raw Data'!$C:$C,0)),"-")</f>
        <v>19766.919999999998</v>
      </c>
      <c r="D29" s="17">
        <f>IFERROR(INDEX('Raw Data'!X:X,MATCH($B29,'Raw Data'!$C:$C,0)),"-")</f>
        <v>40.747563220000004</v>
      </c>
      <c r="E29" s="17">
        <f>IFERROR(INDEX('Raw Data'!Y:Y,MATCH($B29,'Raw Data'!$C:$C,0)),"-")</f>
        <v>19095.836157110101</v>
      </c>
      <c r="F29" s="10">
        <f>IFERROR(INDEX('Raw Data'!F:F,MATCH($B29,'Raw Data'!$C:$C,0)),"-")</f>
        <v>476.28289999999998</v>
      </c>
      <c r="G29" s="8">
        <f>IFERROR(INDEX('Raw Data'!U:U,MATCH($B29,'Raw Data'!$C:$C,0)),"-")</f>
        <v>3360</v>
      </c>
      <c r="H29" s="8">
        <f>IFERROR(INDEX('Raw Data'!R:R,MATCH($B29,'Raw Data'!$C:$C,0)),"-")</f>
        <v>0</v>
      </c>
    </row>
    <row r="30" spans="1:8" ht="15" customHeight="1" x14ac:dyDescent="0.35">
      <c r="A30" s="16" t="str">
        <f>IFERROR(INDEX('Raw Data'!AC:AC,MATCH($B30,'Raw Data'!$C:$C,0)),"-")</f>
        <v>Excavator</v>
      </c>
      <c r="B30" s="11" t="s">
        <v>212</v>
      </c>
      <c r="C30" s="12">
        <f>IFERROR(INDEX('Raw Data'!W:W,MATCH($B30,'Raw Data'!$C:$C,0)),"-")</f>
        <v>19437.62</v>
      </c>
      <c r="D30" s="18">
        <f>IFERROR(INDEX('Raw Data'!X:X,MATCH($B30,'Raw Data'!$C:$C,0)),"-")</f>
        <v>35.900337030000003</v>
      </c>
      <c r="E30" s="18">
        <f>IFERROR(INDEX('Raw Data'!Y:Y,MATCH($B30,'Raw Data'!$C:$C,0)),"-")</f>
        <v>19437.62</v>
      </c>
      <c r="F30" s="14">
        <f>IFERROR(INDEX('Raw Data'!F:F,MATCH($B30,'Raw Data'!$C:$C,0)),"-")</f>
        <v>559.20489999999995</v>
      </c>
      <c r="G30" s="12">
        <f>IFERROR(INDEX('Raw Data'!U:U,MATCH($B30,'Raw Data'!$C:$C,0)),"-")</f>
        <v>0</v>
      </c>
      <c r="H30" s="12">
        <f>IFERROR(INDEX('Raw Data'!R:R,MATCH($B30,'Raw Data'!$C:$C,0)),"-")</f>
        <v>0</v>
      </c>
    </row>
    <row r="31" spans="1:8" ht="15" customHeight="1" x14ac:dyDescent="0.35">
      <c r="A31" s="15" t="str">
        <f>IFERROR(INDEX('Raw Data'!AC:AC,MATCH($B31,'Raw Data'!$C:$C,0)),"-")</f>
        <v>Dumper</v>
      </c>
      <c r="B31" s="7" t="s">
        <v>173</v>
      </c>
      <c r="C31" s="8">
        <f>IFERROR(INDEX('Raw Data'!W:W,MATCH($B31,'Raw Data'!$C:$C,0)),"-")</f>
        <v>19406.669999999998</v>
      </c>
      <c r="D31" s="17">
        <f>IFERROR(INDEX('Raw Data'!X:X,MATCH($B31,'Raw Data'!$C:$C,0)),"-")</f>
        <v>40.9982343</v>
      </c>
      <c r="E31" s="17">
        <f>IFERROR(INDEX('Raw Data'!Y:Y,MATCH($B31,'Raw Data'!$C:$C,0)),"-")</f>
        <v>17974.195793322</v>
      </c>
      <c r="F31" s="10">
        <f>IFERROR(INDEX('Raw Data'!F:F,MATCH($B31,'Raw Data'!$C:$C,0)),"-")</f>
        <v>444.24059999999997</v>
      </c>
      <c r="G31" s="8">
        <f>IFERROR(INDEX('Raw Data'!U:U,MATCH($B31,'Raw Data'!$C:$C,0)),"-")</f>
        <v>42168</v>
      </c>
      <c r="H31" s="8">
        <f>IFERROR(INDEX('Raw Data'!R:R,MATCH($B31,'Raw Data'!$C:$C,0)),"-")</f>
        <v>0</v>
      </c>
    </row>
    <row r="32" spans="1:8" ht="15" customHeight="1" x14ac:dyDescent="0.35">
      <c r="A32" s="16" t="str">
        <f>IFERROR(INDEX('Raw Data'!AC:AC,MATCH($B32,'Raw Data'!$C:$C,0)),"-")</f>
        <v>Dumper</v>
      </c>
      <c r="B32" s="11" t="s">
        <v>174</v>
      </c>
      <c r="C32" s="12">
        <f>IFERROR(INDEX('Raw Data'!W:W,MATCH($B32,'Raw Data'!$C:$C,0)),"-")</f>
        <v>18978.599999999999</v>
      </c>
      <c r="D32" s="18">
        <f>IFERROR(INDEX('Raw Data'!X:X,MATCH($B32,'Raw Data'!$C:$C,0)),"-")</f>
        <v>41.060485819999997</v>
      </c>
      <c r="E32" s="18">
        <f>IFERROR(INDEX('Raw Data'!Y:Y,MATCH($B32,'Raw Data'!$C:$C,0)),"-")</f>
        <v>18188.900100387</v>
      </c>
      <c r="F32" s="14">
        <f>IFERROR(INDEX('Raw Data'!F:F,MATCH($B32,'Raw Data'!$C:$C,0)),"-")</f>
        <v>448.83210000000003</v>
      </c>
      <c r="G32" s="12">
        <f>IFERROR(INDEX('Raw Data'!U:U,MATCH($B32,'Raw Data'!$C:$C,0)),"-")</f>
        <v>58380</v>
      </c>
      <c r="H32" s="12">
        <f>IFERROR(INDEX('Raw Data'!R:R,MATCH($B32,'Raw Data'!$C:$C,0)),"-")</f>
        <v>0</v>
      </c>
    </row>
    <row r="33" spans="1:8" ht="15" customHeight="1" x14ac:dyDescent="0.35">
      <c r="A33" s="16" t="str">
        <f>IFERROR(INDEX('Raw Data'!AC:AC,MATCH($B33,'Raw Data'!$C:$C,0)),"-")</f>
        <v>Dumper</v>
      </c>
      <c r="B33" s="11" t="s">
        <v>177</v>
      </c>
      <c r="C33" s="12">
        <f>IFERROR(INDEX('Raw Data'!W:W,MATCH($B33,'Raw Data'!$C:$C,0)),"-")</f>
        <v>18738.73</v>
      </c>
      <c r="D33" s="18">
        <f>IFERROR(INDEX('Raw Data'!X:X,MATCH($B33,'Raw Data'!$C:$C,0)),"-")</f>
        <v>43.338557899999998</v>
      </c>
      <c r="E33" s="18">
        <f>IFERROR(INDEX('Raw Data'!Y:Y,MATCH($B33,'Raw Data'!$C:$C,0)),"-")</f>
        <v>17992.596051716901</v>
      </c>
      <c r="F33" s="14">
        <f>IFERROR(INDEX('Raw Data'!F:F,MATCH($B33,'Raw Data'!$C:$C,0)),"-")</f>
        <v>421.289999999999</v>
      </c>
      <c r="G33" s="12">
        <f>IFERROR(INDEX('Raw Data'!U:U,MATCH($B33,'Raw Data'!$C:$C,0)),"-")</f>
        <v>0</v>
      </c>
      <c r="H33" s="12">
        <f>IFERROR(INDEX('Raw Data'!R:R,MATCH($B33,'Raw Data'!$C:$C,0)),"-")</f>
        <v>0</v>
      </c>
    </row>
    <row r="34" spans="1:8" ht="15" customHeight="1" x14ac:dyDescent="0.35">
      <c r="A34" s="15" t="str">
        <f>IFERROR(INDEX('Raw Data'!AC:AC,MATCH($B34,'Raw Data'!$C:$C,0)),"-")</f>
        <v>Dumper</v>
      </c>
      <c r="B34" s="7" t="s">
        <v>178</v>
      </c>
      <c r="C34" s="8">
        <f>IFERROR(INDEX('Raw Data'!W:W,MATCH($B34,'Raw Data'!$C:$C,0)),"-")</f>
        <v>18735.14</v>
      </c>
      <c r="D34" s="17">
        <f>IFERROR(INDEX('Raw Data'!X:X,MATCH($B34,'Raw Data'!$C:$C,0)),"-")</f>
        <v>42.471830740000001</v>
      </c>
      <c r="E34" s="17">
        <f>IFERROR(INDEX('Raw Data'!Y:Y,MATCH($B34,'Raw Data'!$C:$C,0)),"-")</f>
        <v>18041.804351848601</v>
      </c>
      <c r="F34" s="10">
        <f>IFERROR(INDEX('Raw Data'!F:F,MATCH($B34,'Raw Data'!$C:$C,0)),"-")</f>
        <v>453.85489999999999</v>
      </c>
      <c r="G34" s="8">
        <f>IFERROR(INDEX('Raw Data'!U:U,MATCH($B34,'Raw Data'!$C:$C,0)),"-")</f>
        <v>65772</v>
      </c>
      <c r="H34" s="8">
        <f>IFERROR(INDEX('Raw Data'!R:R,MATCH($B34,'Raw Data'!$C:$C,0)),"-")</f>
        <v>0</v>
      </c>
    </row>
    <row r="35" spans="1:8" ht="15" customHeight="1" x14ac:dyDescent="0.35">
      <c r="A35" s="16" t="str">
        <f>IFERROR(INDEX('Raw Data'!AC:AC,MATCH($B35,'Raw Data'!$C:$C,0)),"-")</f>
        <v>Dumper</v>
      </c>
      <c r="B35" s="11" t="s">
        <v>171</v>
      </c>
      <c r="C35" s="12">
        <f>IFERROR(INDEX('Raw Data'!W:W,MATCH($B35,'Raw Data'!$C:$C,0)),"-")</f>
        <v>18146.3</v>
      </c>
      <c r="D35" s="18">
        <f>IFERROR(INDEX('Raw Data'!X:X,MATCH($B35,'Raw Data'!$C:$C,0)),"-")</f>
        <v>41.240775470000003</v>
      </c>
      <c r="E35" s="18">
        <f>IFERROR(INDEX('Raw Data'!Y:Y,MATCH($B35,'Raw Data'!$C:$C,0)),"-")</f>
        <v>17365.884309537501</v>
      </c>
      <c r="F35" s="14">
        <f>IFERROR(INDEX('Raw Data'!F:F,MATCH($B35,'Raw Data'!$C:$C,0)),"-")</f>
        <v>428.44600000000003</v>
      </c>
      <c r="G35" s="12">
        <f>IFERROR(INDEX('Raw Data'!U:U,MATCH($B35,'Raw Data'!$C:$C,0)),"-")</f>
        <v>67956</v>
      </c>
      <c r="H35" s="12">
        <f>IFERROR(INDEX('Raw Data'!R:R,MATCH($B35,'Raw Data'!$C:$C,0)),"-")</f>
        <v>0</v>
      </c>
    </row>
    <row r="36" spans="1:8" ht="15" customHeight="1" x14ac:dyDescent="0.35">
      <c r="A36" s="15" t="str">
        <f>IFERROR(INDEX('Raw Data'!AC:AC,MATCH($B36,'Raw Data'!$C:$C,0)),"-")</f>
        <v>Excavator</v>
      </c>
      <c r="B36" s="7" t="s">
        <v>211</v>
      </c>
      <c r="C36" s="8">
        <f>IFERROR(INDEX('Raw Data'!W:W,MATCH($B36,'Raw Data'!$C:$C,0)),"-")</f>
        <v>17188.189999999999</v>
      </c>
      <c r="D36" s="17">
        <f>IFERROR(INDEX('Raw Data'!X:X,MATCH($B36,'Raw Data'!$C:$C,0)),"-")</f>
        <v>30.867626080000001</v>
      </c>
      <c r="E36" s="17">
        <f>IFERROR(INDEX('Raw Data'!Y:Y,MATCH($B36,'Raw Data'!$C:$C,0)),"-")</f>
        <v>17188.189999999999</v>
      </c>
      <c r="F36" s="10">
        <f>IFERROR(INDEX('Raw Data'!F:F,MATCH($B36,'Raw Data'!$C:$C,0)),"-")</f>
        <v>602.68129999999996</v>
      </c>
      <c r="G36" s="8">
        <f>IFERROR(INDEX('Raw Data'!U:U,MATCH($B36,'Raw Data'!$C:$C,0)),"-")</f>
        <v>0</v>
      </c>
      <c r="H36" s="8">
        <f>IFERROR(INDEX('Raw Data'!R:R,MATCH($B36,'Raw Data'!$C:$C,0)),"-")</f>
        <v>0</v>
      </c>
    </row>
    <row r="37" spans="1:8" ht="15" customHeight="1" x14ac:dyDescent="0.35">
      <c r="A37" s="16" t="str">
        <f>IFERROR(INDEX('Raw Data'!AC:AC,MATCH($B37,'Raw Data'!$C:$C,0)),"-")</f>
        <v>Excavator</v>
      </c>
      <c r="B37" s="11" t="s">
        <v>209</v>
      </c>
      <c r="C37" s="12">
        <f>IFERROR(INDEX('Raw Data'!W:W,MATCH($B37,'Raw Data'!$C:$C,0)),"-")</f>
        <v>16489.439999999999</v>
      </c>
      <c r="D37" s="18">
        <f>IFERROR(INDEX('Raw Data'!X:X,MATCH($B37,'Raw Data'!$C:$C,0)),"-")</f>
        <v>30.066599140000001</v>
      </c>
      <c r="E37" s="18">
        <f>IFERROR(INDEX('Raw Data'!Y:Y,MATCH($B37,'Raw Data'!$C:$C,0)),"-")</f>
        <v>16489.439999999999</v>
      </c>
      <c r="F37" s="14">
        <f>IFERROR(INDEX('Raw Data'!F:F,MATCH($B37,'Raw Data'!$C:$C,0)),"-")</f>
        <v>593.70060000000001</v>
      </c>
      <c r="G37" s="12">
        <f>IFERROR(INDEX('Raw Data'!U:U,MATCH($B37,'Raw Data'!$C:$C,0)),"-")</f>
        <v>0</v>
      </c>
      <c r="H37" s="12">
        <f>IFERROR(INDEX('Raw Data'!R:R,MATCH($B37,'Raw Data'!$C:$C,0)),"-")</f>
        <v>0</v>
      </c>
    </row>
    <row r="38" spans="1:8" ht="15" customHeight="1" x14ac:dyDescent="0.35">
      <c r="A38" s="15" t="str">
        <f>IFERROR(INDEX('Raw Data'!AC:AC,MATCH($B38,'Raw Data'!$C:$C,0)),"-")</f>
        <v>Excavator</v>
      </c>
      <c r="B38" s="7" t="s">
        <v>208</v>
      </c>
      <c r="C38" s="8">
        <f>IFERROR(INDEX('Raw Data'!W:W,MATCH($B38,'Raw Data'!$C:$C,0)),"-")</f>
        <v>16370.539999999901</v>
      </c>
      <c r="D38" s="17">
        <f>IFERROR(INDEX('Raw Data'!X:X,MATCH($B38,'Raw Data'!$C:$C,0)),"-")</f>
        <v>36.100729399999999</v>
      </c>
      <c r="E38" s="17">
        <f>IFERROR(INDEX('Raw Data'!Y:Y,MATCH($B38,'Raw Data'!$C:$C,0)),"-")</f>
        <v>16370.539999999901</v>
      </c>
      <c r="F38" s="10">
        <f>IFERROR(INDEX('Raw Data'!F:F,MATCH($B38,'Raw Data'!$C:$C,0)),"-")</f>
        <v>493.23829999999998</v>
      </c>
      <c r="G38" s="8">
        <f>IFERROR(INDEX('Raw Data'!U:U,MATCH($B38,'Raw Data'!$C:$C,0)),"-")</f>
        <v>0</v>
      </c>
      <c r="H38" s="8">
        <f>IFERROR(INDEX('Raw Data'!R:R,MATCH($B38,'Raw Data'!$C:$C,0)),"-")</f>
        <v>0</v>
      </c>
    </row>
    <row r="39" spans="1:8" ht="15" customHeight="1" x14ac:dyDescent="0.35">
      <c r="A39" s="16" t="str">
        <f>IFERROR(INDEX('Raw Data'!AC:AC,MATCH($B39,'Raw Data'!$C:$C,0)),"-")</f>
        <v>Excavator</v>
      </c>
      <c r="B39" s="11" t="s">
        <v>205</v>
      </c>
      <c r="C39" s="12">
        <f>IFERROR(INDEX('Raw Data'!W:W,MATCH($B39,'Raw Data'!$C:$C,0)),"-")</f>
        <v>16080.4</v>
      </c>
      <c r="D39" s="18">
        <f>IFERROR(INDEX('Raw Data'!X:X,MATCH($B39,'Raw Data'!$C:$C,0)),"-")</f>
        <v>33.953131489999997</v>
      </c>
      <c r="E39" s="18">
        <f>IFERROR(INDEX('Raw Data'!Y:Y,MATCH($B39,'Raw Data'!$C:$C,0)),"-")</f>
        <v>16080.4</v>
      </c>
      <c r="F39" s="14">
        <f>IFERROR(INDEX('Raw Data'!F:F,MATCH($B39,'Raw Data'!$C:$C,0)),"-")</f>
        <v>494.8614</v>
      </c>
      <c r="G39" s="12">
        <f>IFERROR(INDEX('Raw Data'!U:U,MATCH($B39,'Raw Data'!$C:$C,0)),"-")</f>
        <v>0</v>
      </c>
      <c r="H39" s="12">
        <f>IFERROR(INDEX('Raw Data'!R:R,MATCH($B39,'Raw Data'!$C:$C,0)),"-")</f>
        <v>0</v>
      </c>
    </row>
    <row r="40" spans="1:8" ht="15" customHeight="1" x14ac:dyDescent="0.35">
      <c r="A40" s="15" t="str">
        <f>IFERROR(INDEX('Raw Data'!AC:AC,MATCH($B40,'Raw Data'!$C:$C,0)),"-")</f>
        <v>Excavator</v>
      </c>
      <c r="B40" s="7" t="s">
        <v>213</v>
      </c>
      <c r="C40" s="8">
        <f>IFERROR(INDEX('Raw Data'!W:W,MATCH($B40,'Raw Data'!$C:$C,0)),"-")</f>
        <v>15263.199999999901</v>
      </c>
      <c r="D40" s="17">
        <f>IFERROR(INDEX('Raw Data'!X:X,MATCH($B40,'Raw Data'!$C:$C,0)),"-")</f>
        <v>35.221032559999998</v>
      </c>
      <c r="E40" s="17">
        <f>IFERROR(INDEX('Raw Data'!Y:Y,MATCH($B40,'Raw Data'!$C:$C,0)),"-")</f>
        <v>15263.199999999901</v>
      </c>
      <c r="F40" s="10">
        <f>IFERROR(INDEX('Raw Data'!F:F,MATCH($B40,'Raw Data'!$C:$C,0)),"-")</f>
        <v>466.49900000000002</v>
      </c>
      <c r="G40" s="8">
        <f>IFERROR(INDEX('Raw Data'!U:U,MATCH($B40,'Raw Data'!$C:$C,0)),"-")</f>
        <v>0</v>
      </c>
      <c r="H40" s="8">
        <f>IFERROR(INDEX('Raw Data'!R:R,MATCH($B40,'Raw Data'!$C:$C,0)),"-")</f>
        <v>0</v>
      </c>
    </row>
    <row r="41" spans="1:8" ht="15" customHeight="1" x14ac:dyDescent="0.35">
      <c r="A41" s="16" t="str">
        <f>IFERROR(INDEX('Raw Data'!AC:AC,MATCH($B41,'Raw Data'!$C:$C,0)),"-")</f>
        <v>Excavator</v>
      </c>
      <c r="B41" s="11" t="s">
        <v>206</v>
      </c>
      <c r="C41" s="12">
        <f>IFERROR(INDEX('Raw Data'!W:W,MATCH($B41,'Raw Data'!$C:$C,0)),"-")</f>
        <v>13828.0699999999</v>
      </c>
      <c r="D41" s="18">
        <f>IFERROR(INDEX('Raw Data'!X:X,MATCH($B41,'Raw Data'!$C:$C,0)),"-")</f>
        <v>23.53053585</v>
      </c>
      <c r="E41" s="18">
        <f>IFERROR(INDEX('Raw Data'!Y:Y,MATCH($B41,'Raw Data'!$C:$C,0)),"-")</f>
        <v>13828.0699999999</v>
      </c>
      <c r="F41" s="14">
        <f>IFERROR(INDEX('Raw Data'!F:F,MATCH($B41,'Raw Data'!$C:$C,0)),"-")</f>
        <v>620.50439999999901</v>
      </c>
      <c r="G41" s="12">
        <f>IFERROR(INDEX('Raw Data'!U:U,MATCH($B41,'Raw Data'!$C:$C,0)),"-")</f>
        <v>0</v>
      </c>
      <c r="H41" s="12">
        <f>IFERROR(INDEX('Raw Data'!R:R,MATCH($B41,'Raw Data'!$C:$C,0)),"-")</f>
        <v>0</v>
      </c>
    </row>
    <row r="42" spans="1:8" ht="15" customHeight="1" x14ac:dyDescent="0.35">
      <c r="A42" s="15" t="str">
        <f>IFERROR(INDEX('Raw Data'!AC:AC,MATCH($B42,'Raw Data'!$C:$C,0)),"-")</f>
        <v>Dumper</v>
      </c>
      <c r="B42" s="7" t="s">
        <v>172</v>
      </c>
      <c r="C42" s="8">
        <f>IFERROR(INDEX('Raw Data'!W:W,MATCH($B42,'Raw Data'!$C:$C,0)),"-")</f>
        <v>12852.11</v>
      </c>
      <c r="D42" s="17">
        <f>IFERROR(INDEX('Raw Data'!X:X,MATCH($B42,'Raw Data'!$C:$C,0)),"-")</f>
        <v>45.166184270000002</v>
      </c>
      <c r="E42" s="17">
        <f>IFERROR(INDEX('Raw Data'!Y:Y,MATCH($B42,'Raw Data'!$C:$C,0)),"-")</f>
        <v>12353.2359448795</v>
      </c>
      <c r="F42" s="10">
        <f>IFERROR(INDEX('Raw Data'!F:F,MATCH($B42,'Raw Data'!$C:$C,0)),"-")</f>
        <v>300.46390000000002</v>
      </c>
      <c r="G42" s="8">
        <f>IFERROR(INDEX('Raw Data'!U:U,MATCH($B42,'Raw Data'!$C:$C,0)),"-")</f>
        <v>64008</v>
      </c>
      <c r="H42" s="8">
        <f>IFERROR(INDEX('Raw Data'!R:R,MATCH($B42,'Raw Data'!$C:$C,0)),"-")</f>
        <v>0</v>
      </c>
    </row>
    <row r="43" spans="1:8" ht="15" customHeight="1" x14ac:dyDescent="0.35">
      <c r="A43" s="16" t="str">
        <f>IFERROR(INDEX('Raw Data'!AC:AC,MATCH($B43,'Raw Data'!$C:$C,0)),"-")</f>
        <v>Front End Loader</v>
      </c>
      <c r="B43" s="11" t="s">
        <v>195</v>
      </c>
      <c r="C43" s="12">
        <f>IFERROR(INDEX('Raw Data'!W:W,MATCH($B43,'Raw Data'!$C:$C,0)),"-")</f>
        <v>12502.74</v>
      </c>
      <c r="D43" s="18">
        <f>IFERROR(INDEX('Raw Data'!X:X,MATCH($B43,'Raw Data'!$C:$C,0)),"-")</f>
        <v>26.66165964</v>
      </c>
      <c r="E43" s="18">
        <f>IFERROR(INDEX('Raw Data'!Y:Y,MATCH($B43,'Raw Data'!$C:$C,0)),"-")</f>
        <v>12067.2644484677</v>
      </c>
      <c r="F43" s="14">
        <f>IFERROR(INDEX('Raw Data'!F:F,MATCH($B43,'Raw Data'!$C:$C,0)),"-")</f>
        <v>457.97259999999898</v>
      </c>
      <c r="G43" s="12">
        <f>IFERROR(INDEX('Raw Data'!U:U,MATCH($B43,'Raw Data'!$C:$C,0)),"-")</f>
        <v>0</v>
      </c>
      <c r="H43" s="12">
        <f>IFERROR(INDEX('Raw Data'!R:R,MATCH($B43,'Raw Data'!$C:$C,0)),"-")</f>
        <v>0</v>
      </c>
    </row>
    <row r="44" spans="1:8" ht="15" customHeight="1" x14ac:dyDescent="0.35">
      <c r="A44" s="15" t="str">
        <f>IFERROR(INDEX('Raw Data'!AC:AC,MATCH($B44,'Raw Data'!$C:$C,0)),"-")</f>
        <v>Excavator</v>
      </c>
      <c r="B44" s="7" t="s">
        <v>201</v>
      </c>
      <c r="C44" s="8">
        <f>IFERROR(INDEX('Raw Data'!W:W,MATCH($B44,'Raw Data'!$C:$C,0)),"-")</f>
        <v>12374.3299999999</v>
      </c>
      <c r="D44" s="17">
        <f>IFERROR(INDEX('Raw Data'!X:X,MATCH($B44,'Raw Data'!$C:$C,0)),"-")</f>
        <v>27.864621270000001</v>
      </c>
      <c r="E44" s="17">
        <f>IFERROR(INDEX('Raw Data'!Y:Y,MATCH($B44,'Raw Data'!$C:$C,0)),"-")</f>
        <v>12374.3299999999</v>
      </c>
      <c r="F44" s="10">
        <f>IFERROR(INDEX('Raw Data'!F:F,MATCH($B44,'Raw Data'!$C:$C,0)),"-")</f>
        <v>450.46879999999999</v>
      </c>
      <c r="G44" s="8">
        <f>IFERROR(INDEX('Raw Data'!U:U,MATCH($B44,'Raw Data'!$C:$C,0)),"-")</f>
        <v>0</v>
      </c>
      <c r="H44" s="8">
        <f>IFERROR(INDEX('Raw Data'!R:R,MATCH($B44,'Raw Data'!$C:$C,0)),"-")</f>
        <v>0</v>
      </c>
    </row>
    <row r="45" spans="1:8" ht="15" customHeight="1" x14ac:dyDescent="0.35">
      <c r="A45" s="16" t="str">
        <f>IFERROR(INDEX('Raw Data'!AC:AC,MATCH($B45,'Raw Data'!$C:$C,0)),"-")</f>
        <v>Front End Loader</v>
      </c>
      <c r="B45" s="11" t="s">
        <v>189</v>
      </c>
      <c r="C45" s="12">
        <f>IFERROR(INDEX('Raw Data'!W:W,MATCH($B45,'Raw Data'!$C:$C,0)),"-")</f>
        <v>12277.279999999901</v>
      </c>
      <c r="D45" s="18">
        <f>IFERROR(INDEX('Raw Data'!X:X,MATCH($B45,'Raw Data'!$C:$C,0)),"-")</f>
        <v>22.3997326</v>
      </c>
      <c r="E45" s="18">
        <f>IFERROR(INDEX('Raw Data'!Y:Y,MATCH($B45,'Raw Data'!$C:$C,0)),"-")</f>
        <v>10672.498197078799</v>
      </c>
      <c r="F45" s="14">
        <f>IFERROR(INDEX('Raw Data'!F:F,MATCH($B45,'Raw Data'!$C:$C,0)),"-")</f>
        <v>476.45650000000001</v>
      </c>
      <c r="G45" s="12">
        <f>IFERROR(INDEX('Raw Data'!U:U,MATCH($B45,'Raw Data'!$C:$C,0)),"-")</f>
        <v>0</v>
      </c>
      <c r="H45" s="12">
        <f>IFERROR(INDEX('Raw Data'!R:R,MATCH($B45,'Raw Data'!$C:$C,0)),"-")</f>
        <v>0</v>
      </c>
    </row>
    <row r="46" spans="1:8" ht="15" customHeight="1" x14ac:dyDescent="0.35">
      <c r="A46" s="15" t="str">
        <f>IFERROR(INDEX('Raw Data'!AC:AC,MATCH($B46,'Raw Data'!$C:$C,0)),"-")</f>
        <v>Dumper</v>
      </c>
      <c r="B46" s="7" t="s">
        <v>175</v>
      </c>
      <c r="C46" s="8">
        <f>IFERROR(INDEX('Raw Data'!W:W,MATCH($B46,'Raw Data'!$C:$C,0)),"-")</f>
        <v>12185.71</v>
      </c>
      <c r="D46" s="17">
        <f>IFERROR(INDEX('Raw Data'!X:X,MATCH($B46,'Raw Data'!$C:$C,0)),"-")</f>
        <v>41.153410370000003</v>
      </c>
      <c r="E46" s="17">
        <f>IFERROR(INDEX('Raw Data'!Y:Y,MATCH($B46,'Raw Data'!$C:$C,0)),"-")</f>
        <v>11804.9421859208</v>
      </c>
      <c r="F46" s="10">
        <f>IFERROR(INDEX('Raw Data'!F:F,MATCH($B46,'Raw Data'!$C:$C,0)),"-")</f>
        <v>290.6703</v>
      </c>
      <c r="G46" s="8">
        <f>IFERROR(INDEX('Raw Data'!U:U,MATCH($B46,'Raw Data'!$C:$C,0)),"-")</f>
        <v>68838</v>
      </c>
      <c r="H46" s="8">
        <f>IFERROR(INDEX('Raw Data'!R:R,MATCH($B46,'Raw Data'!$C:$C,0)),"-")</f>
        <v>0</v>
      </c>
    </row>
    <row r="47" spans="1:8" ht="15" customHeight="1" x14ac:dyDescent="0.35">
      <c r="A47" s="16" t="str">
        <f>IFERROR(INDEX('Raw Data'!AC:AC,MATCH($B47,'Raw Data'!$C:$C,0)),"-")</f>
        <v>Front End Loader</v>
      </c>
      <c r="B47" s="11" t="s">
        <v>194</v>
      </c>
      <c r="C47" s="12">
        <f>IFERROR(INDEX('Raw Data'!W:W,MATCH($B47,'Raw Data'!$C:$C,0)),"-")</f>
        <v>11743.719999999899</v>
      </c>
      <c r="D47" s="18">
        <f>IFERROR(INDEX('Raw Data'!X:X,MATCH($B47,'Raw Data'!$C:$C,0)),"-")</f>
        <v>23.466493809999999</v>
      </c>
      <c r="E47" s="18">
        <f>IFERROR(INDEX('Raw Data'!Y:Y,MATCH($B47,'Raw Data'!$C:$C,0)),"-")</f>
        <v>11084.726880946</v>
      </c>
      <c r="F47" s="14">
        <f>IFERROR(INDEX('Raw Data'!F:F,MATCH($B47,'Raw Data'!$C:$C,0)),"-")</f>
        <v>478.27379999999903</v>
      </c>
      <c r="G47" s="12">
        <f>IFERROR(INDEX('Raw Data'!U:U,MATCH($B47,'Raw Data'!$C:$C,0)),"-")</f>
        <v>0</v>
      </c>
      <c r="H47" s="12">
        <f>IFERROR(INDEX('Raw Data'!R:R,MATCH($B47,'Raw Data'!$C:$C,0)),"-")</f>
        <v>0</v>
      </c>
    </row>
    <row r="48" spans="1:8" ht="15" customHeight="1" x14ac:dyDescent="0.35">
      <c r="A48" s="15" t="str">
        <f>IFERROR(INDEX('Raw Data'!AC:AC,MATCH($B48,'Raw Data'!$C:$C,0)),"-")</f>
        <v>Excavator</v>
      </c>
      <c r="B48" s="7" t="s">
        <v>223</v>
      </c>
      <c r="C48" s="8">
        <f>IFERROR(INDEX('Raw Data'!W:W,MATCH($B48,'Raw Data'!$C:$C,0)),"-")</f>
        <v>11543.9799999999</v>
      </c>
      <c r="D48" s="17">
        <f>IFERROR(INDEX('Raw Data'!X:X,MATCH($B48,'Raw Data'!$C:$C,0)),"-")</f>
        <v>55.546637799999999</v>
      </c>
      <c r="E48" s="17">
        <f>IFERROR(INDEX('Raw Data'!Y:Y,MATCH($B48,'Raw Data'!$C:$C,0)),"-")</f>
        <v>11543.9799999999</v>
      </c>
      <c r="F48" s="10">
        <f>IFERROR(INDEX('Raw Data'!F:F,MATCH($B48,'Raw Data'!$C:$C,0)),"-")</f>
        <v>215.23929999999899</v>
      </c>
      <c r="G48" s="8">
        <f>IFERROR(INDEX('Raw Data'!U:U,MATCH($B48,'Raw Data'!$C:$C,0)),"-")</f>
        <v>0</v>
      </c>
      <c r="H48" s="8">
        <f>IFERROR(INDEX('Raw Data'!R:R,MATCH($B48,'Raw Data'!$C:$C,0)),"-")</f>
        <v>0</v>
      </c>
    </row>
    <row r="49" spans="1:8" ht="15" customHeight="1" x14ac:dyDescent="0.35">
      <c r="A49" s="16" t="str">
        <f>IFERROR(INDEX('Raw Data'!AC:AC,MATCH($B49,'Raw Data'!$C:$C,0)),"-")</f>
        <v>Excavator</v>
      </c>
      <c r="B49" s="11" t="s">
        <v>219</v>
      </c>
      <c r="C49" s="12">
        <f>IFERROR(INDEX('Raw Data'!W:W,MATCH($B49,'Raw Data'!$C:$C,0)),"-")</f>
        <v>11407.4399999999</v>
      </c>
      <c r="D49" s="18">
        <f>IFERROR(INDEX('Raw Data'!X:X,MATCH($B49,'Raw Data'!$C:$C,0)),"-")</f>
        <v>33.550790859999999</v>
      </c>
      <c r="E49" s="18">
        <f>IFERROR(INDEX('Raw Data'!Y:Y,MATCH($B49,'Raw Data'!$C:$C,0)),"-")</f>
        <v>11407.4399999999</v>
      </c>
      <c r="F49" s="14">
        <f>IFERROR(INDEX('Raw Data'!F:F,MATCH($B49,'Raw Data'!$C:$C,0)),"-")</f>
        <v>351.684699999999</v>
      </c>
      <c r="G49" s="12">
        <f>IFERROR(INDEX('Raw Data'!U:U,MATCH($B49,'Raw Data'!$C:$C,0)),"-")</f>
        <v>0</v>
      </c>
      <c r="H49" s="12">
        <f>IFERROR(INDEX('Raw Data'!R:R,MATCH($B49,'Raw Data'!$C:$C,0)),"-")</f>
        <v>0</v>
      </c>
    </row>
    <row r="50" spans="1:8" ht="15" customHeight="1" x14ac:dyDescent="0.35">
      <c r="A50" s="15" t="str">
        <f>IFERROR(INDEX('Raw Data'!AC:AC,MATCH($B50,'Raw Data'!$C:$C,0)),"-")</f>
        <v>Excavator</v>
      </c>
      <c r="B50" s="7" t="s">
        <v>214</v>
      </c>
      <c r="C50" s="8">
        <f>IFERROR(INDEX('Raw Data'!W:W,MATCH($B50,'Raw Data'!$C:$C,0)),"-")</f>
        <v>11404.46</v>
      </c>
      <c r="D50" s="17">
        <f>IFERROR(INDEX('Raw Data'!X:X,MATCH($B50,'Raw Data'!$C:$C,0)),"-")</f>
        <v>32.821225069999997</v>
      </c>
      <c r="E50" s="17">
        <f>IFERROR(INDEX('Raw Data'!Y:Y,MATCH($B50,'Raw Data'!$C:$C,0)),"-")</f>
        <v>11404.46</v>
      </c>
      <c r="F50" s="10">
        <f>IFERROR(INDEX('Raw Data'!F:F,MATCH($B50,'Raw Data'!$C:$C,0)),"-")</f>
        <v>362.056299999999</v>
      </c>
      <c r="G50" s="8">
        <f>IFERROR(INDEX('Raw Data'!U:U,MATCH($B50,'Raw Data'!$C:$C,0)),"-")</f>
        <v>0</v>
      </c>
      <c r="H50" s="8">
        <f>IFERROR(INDEX('Raw Data'!R:R,MATCH($B50,'Raw Data'!$C:$C,0)),"-")</f>
        <v>0</v>
      </c>
    </row>
    <row r="51" spans="1:8" ht="15" customHeight="1" x14ac:dyDescent="0.35">
      <c r="A51" s="16" t="str">
        <f>IFERROR(INDEX('Raw Data'!AC:AC,MATCH($B51,'Raw Data'!$C:$C,0)),"-")</f>
        <v>Front End Loader</v>
      </c>
      <c r="B51" s="11" t="s">
        <v>188</v>
      </c>
      <c r="C51" s="12">
        <f>IFERROR(INDEX('Raw Data'!W:W,MATCH($B51,'Raw Data'!$C:$C,0)),"-")</f>
        <v>11278.51</v>
      </c>
      <c r="D51" s="18">
        <f>IFERROR(INDEX('Raw Data'!X:X,MATCH($B51,'Raw Data'!$C:$C,0)),"-")</f>
        <v>26.715545840000001</v>
      </c>
      <c r="E51" s="18">
        <f>IFERROR(INDEX('Raw Data'!Y:Y,MATCH($B51,'Raw Data'!$C:$C,0)),"-")</f>
        <v>10306.061460036301</v>
      </c>
      <c r="F51" s="14">
        <f>IFERROR(INDEX('Raw Data'!F:F,MATCH($B51,'Raw Data'!$C:$C,0)),"-")</f>
        <v>387.51579999999899</v>
      </c>
      <c r="G51" s="12">
        <f>IFERROR(INDEX('Raw Data'!U:U,MATCH($B51,'Raw Data'!$C:$C,0)),"-")</f>
        <v>0</v>
      </c>
      <c r="H51" s="12">
        <f>IFERROR(INDEX('Raw Data'!R:R,MATCH($B51,'Raw Data'!$C:$C,0)),"-")</f>
        <v>0</v>
      </c>
    </row>
    <row r="52" spans="1:8" ht="15" customHeight="1" x14ac:dyDescent="0.35">
      <c r="A52" s="15" t="str">
        <f>IFERROR(INDEX('Raw Data'!AC:AC,MATCH($B52,'Raw Data'!$C:$C,0)),"-")</f>
        <v>Front End Loader</v>
      </c>
      <c r="B52" s="7" t="s">
        <v>186</v>
      </c>
      <c r="C52" s="8">
        <f>IFERROR(INDEX('Raw Data'!W:W,MATCH($B52,'Raw Data'!$C:$C,0)),"-")</f>
        <v>11145.3299999999</v>
      </c>
      <c r="D52" s="17">
        <f>IFERROR(INDEX('Raw Data'!X:X,MATCH($B52,'Raw Data'!$C:$C,0)),"-")</f>
        <v>24.407417710000001</v>
      </c>
      <c r="E52" s="17">
        <f>IFERROR(INDEX('Raw Data'!Y:Y,MATCH($B52,'Raw Data'!$C:$C,0)),"-")</f>
        <v>10491.2649017403</v>
      </c>
      <c r="F52" s="10">
        <f>IFERROR(INDEX('Raw Data'!F:F,MATCH($B52,'Raw Data'!$C:$C,0)),"-")</f>
        <v>435.39420000000001</v>
      </c>
      <c r="G52" s="8">
        <f>IFERROR(INDEX('Raw Data'!U:U,MATCH($B52,'Raw Data'!$C:$C,0)),"-")</f>
        <v>0</v>
      </c>
      <c r="H52" s="8">
        <f>IFERROR(INDEX('Raw Data'!R:R,MATCH($B52,'Raw Data'!$C:$C,0)),"-")</f>
        <v>0</v>
      </c>
    </row>
    <row r="53" spans="1:8" ht="15" customHeight="1" x14ac:dyDescent="0.35">
      <c r="A53" s="16" t="str">
        <f>IFERROR(INDEX('Raw Data'!AC:AC,MATCH($B53,'Raw Data'!$C:$C,0)),"-")</f>
        <v>Front End Loader</v>
      </c>
      <c r="B53" s="11" t="s">
        <v>183</v>
      </c>
      <c r="C53" s="12">
        <f>IFERROR(INDEX('Raw Data'!W:W,MATCH($B53,'Raw Data'!$C:$C,0)),"-")</f>
        <v>11047.32</v>
      </c>
      <c r="D53" s="18">
        <f>IFERROR(INDEX('Raw Data'!X:X,MATCH($B53,'Raw Data'!$C:$C,0)),"-")</f>
        <v>23.577172610000002</v>
      </c>
      <c r="E53" s="18">
        <f>IFERROR(INDEX('Raw Data'!Y:Y,MATCH($B53,'Raw Data'!$C:$C,0)),"-")</f>
        <v>10178.168751041399</v>
      </c>
      <c r="F53" s="14">
        <f>IFERROR(INDEX('Raw Data'!F:F,MATCH($B53,'Raw Data'!$C:$C,0)),"-")</f>
        <v>436.14190000000002</v>
      </c>
      <c r="G53" s="12">
        <f>IFERROR(INDEX('Raw Data'!U:U,MATCH($B53,'Raw Data'!$C:$C,0)),"-")</f>
        <v>0</v>
      </c>
      <c r="H53" s="12">
        <f>IFERROR(INDEX('Raw Data'!R:R,MATCH($B53,'Raw Data'!$C:$C,0)),"-")</f>
        <v>0</v>
      </c>
    </row>
    <row r="54" spans="1:8" ht="15" customHeight="1" x14ac:dyDescent="0.35">
      <c r="A54" s="15" t="str">
        <f>IFERROR(INDEX('Raw Data'!AC:AC,MATCH($B54,'Raw Data'!$C:$C,0)),"-")</f>
        <v>Front End Loader</v>
      </c>
      <c r="B54" s="7" t="s">
        <v>192</v>
      </c>
      <c r="C54" s="8">
        <f>IFERROR(INDEX('Raw Data'!W:W,MATCH($B54,'Raw Data'!$C:$C,0)),"-")</f>
        <v>11044.84</v>
      </c>
      <c r="D54" s="17">
        <f>IFERROR(INDEX('Raw Data'!X:X,MATCH($B54,'Raw Data'!$C:$C,0)),"-")</f>
        <v>22.295966740000001</v>
      </c>
      <c r="E54" s="17">
        <f>IFERROR(INDEX('Raw Data'!Y:Y,MATCH($B54,'Raw Data'!$C:$C,0)),"-")</f>
        <v>10581.679194047099</v>
      </c>
      <c r="F54" s="10">
        <f>IFERROR(INDEX('Raw Data'!F:F,MATCH($B54,'Raw Data'!$C:$C,0)),"-")</f>
        <v>481.32369999999901</v>
      </c>
      <c r="G54" s="8">
        <f>IFERROR(INDEX('Raw Data'!U:U,MATCH($B54,'Raw Data'!$C:$C,0)),"-")</f>
        <v>0</v>
      </c>
      <c r="H54" s="8">
        <f>IFERROR(INDEX('Raw Data'!R:R,MATCH($B54,'Raw Data'!$C:$C,0)),"-")</f>
        <v>0</v>
      </c>
    </row>
    <row r="55" spans="1:8" ht="15" customHeight="1" x14ac:dyDescent="0.35">
      <c r="A55" s="16" t="str">
        <f>IFERROR(INDEX('Raw Data'!AC:AC,MATCH($B55,'Raw Data'!$C:$C,0)),"-")</f>
        <v>Front End Loader</v>
      </c>
      <c r="B55" s="11" t="s">
        <v>184</v>
      </c>
      <c r="C55" s="12">
        <f>IFERROR(INDEX('Raw Data'!W:W,MATCH($B55,'Raw Data'!$C:$C,0)),"-")</f>
        <v>10538.16</v>
      </c>
      <c r="D55" s="18">
        <f>IFERROR(INDEX('Raw Data'!X:X,MATCH($B55,'Raw Data'!$C:$C,0)),"-")</f>
        <v>23.43468343</v>
      </c>
      <c r="E55" s="18">
        <f>IFERROR(INDEX('Raw Data'!Y:Y,MATCH($B55,'Raw Data'!$C:$C,0)),"-")</f>
        <v>9849.6841530000002</v>
      </c>
      <c r="F55" s="14">
        <f>IFERROR(INDEX('Raw Data'!F:F,MATCH($B55,'Raw Data'!$C:$C,0)),"-")</f>
        <v>425.87299999999902</v>
      </c>
      <c r="G55" s="12">
        <f>IFERROR(INDEX('Raw Data'!U:U,MATCH($B55,'Raw Data'!$C:$C,0)),"-")</f>
        <v>0</v>
      </c>
      <c r="H55" s="12">
        <f>IFERROR(INDEX('Raw Data'!R:R,MATCH($B55,'Raw Data'!$C:$C,0)),"-")</f>
        <v>0</v>
      </c>
    </row>
    <row r="56" spans="1:8" ht="15" customHeight="1" x14ac:dyDescent="0.35">
      <c r="A56" s="15" t="str">
        <f>IFERROR(INDEX('Raw Data'!AC:AC,MATCH($B56,'Raw Data'!$C:$C,0)),"-")</f>
        <v>Front End Loader</v>
      </c>
      <c r="B56" s="7" t="s">
        <v>191</v>
      </c>
      <c r="C56" s="8">
        <f>IFERROR(INDEX('Raw Data'!W:W,MATCH($B56,'Raw Data'!$C:$C,0)),"-")</f>
        <v>9824.6999999999898</v>
      </c>
      <c r="D56" s="17">
        <f>IFERROR(INDEX('Raw Data'!X:X,MATCH($B56,'Raw Data'!$C:$C,0)),"-")</f>
        <v>25.580406549999999</v>
      </c>
      <c r="E56" s="17">
        <f>IFERROR(INDEX('Raw Data'!Y:Y,MATCH($B56,'Raw Data'!$C:$C,0)),"-")</f>
        <v>9354.2353949999997</v>
      </c>
      <c r="F56" s="10">
        <f>IFERROR(INDEX('Raw Data'!F:F,MATCH($B56,'Raw Data'!$C:$C,0)),"-")</f>
        <v>369.623099999999</v>
      </c>
      <c r="G56" s="8">
        <f>IFERROR(INDEX('Raw Data'!U:U,MATCH($B56,'Raw Data'!$C:$C,0)),"-")</f>
        <v>0</v>
      </c>
      <c r="H56" s="8">
        <f>IFERROR(INDEX('Raw Data'!R:R,MATCH($B56,'Raw Data'!$C:$C,0)),"-")</f>
        <v>0</v>
      </c>
    </row>
    <row r="57" spans="1:8" ht="15" customHeight="1" x14ac:dyDescent="0.35">
      <c r="A57" s="16" t="str">
        <f>IFERROR(INDEX('Raw Data'!AC:AC,MATCH($B57,'Raw Data'!$C:$C,0)),"-")</f>
        <v>Front End Loader</v>
      </c>
      <c r="B57" s="11" t="s">
        <v>193</v>
      </c>
      <c r="C57" s="12">
        <f>IFERROR(INDEX('Raw Data'!W:W,MATCH($B57,'Raw Data'!$C:$C,0)),"-")</f>
        <v>9651.0199999999895</v>
      </c>
      <c r="D57" s="18">
        <f>IFERROR(INDEX('Raw Data'!X:X,MATCH($B57,'Raw Data'!$C:$C,0)),"-")</f>
        <v>20.856035739999999</v>
      </c>
      <c r="E57" s="18">
        <f>IFERROR(INDEX('Raw Data'!Y:Y,MATCH($B57,'Raw Data'!$C:$C,0)),"-")</f>
        <v>8405.0282850000003</v>
      </c>
      <c r="F57" s="14">
        <f>IFERROR(INDEX('Raw Data'!F:F,MATCH($B57,'Raw Data'!$C:$C,0)),"-")</f>
        <v>403.13829999999899</v>
      </c>
      <c r="G57" s="12">
        <f>IFERROR(INDEX('Raw Data'!U:U,MATCH($B57,'Raw Data'!$C:$C,0)),"-")</f>
        <v>0</v>
      </c>
      <c r="H57" s="12">
        <f>IFERROR(INDEX('Raw Data'!R:R,MATCH($B57,'Raw Data'!$C:$C,0)),"-")</f>
        <v>0</v>
      </c>
    </row>
    <row r="58" spans="1:8" ht="15" customHeight="1" x14ac:dyDescent="0.35">
      <c r="A58" s="15" t="str">
        <f>IFERROR(INDEX('Raw Data'!AC:AC,MATCH($B58,'Raw Data'!$C:$C,0)),"-")</f>
        <v>Dumper</v>
      </c>
      <c r="B58" s="7" t="s">
        <v>168</v>
      </c>
      <c r="C58" s="8">
        <f>IFERROR(INDEX('Raw Data'!W:W,MATCH($B58,'Raw Data'!$C:$C,0)),"-")</f>
        <v>9210.2000000000007</v>
      </c>
      <c r="D58" s="17">
        <f>IFERROR(INDEX('Raw Data'!X:X,MATCH($B58,'Raw Data'!$C:$C,0)),"-")</f>
        <v>17.456206439999999</v>
      </c>
      <c r="E58" s="17">
        <f>IFERROR(INDEX('Raw Data'!Y:Y,MATCH($B58,'Raw Data'!$C:$C,0)),"-")</f>
        <v>8134.6096559999996</v>
      </c>
      <c r="F58" s="10">
        <f>IFERROR(INDEX('Raw Data'!F:F,MATCH($B58,'Raw Data'!$C:$C,0)),"-")</f>
        <v>468.71449999999902</v>
      </c>
      <c r="G58" s="8">
        <f>IFERROR(INDEX('Raw Data'!U:U,MATCH($B58,'Raw Data'!$C:$C,0)),"-")</f>
        <v>0</v>
      </c>
      <c r="H58" s="8">
        <f>IFERROR(INDEX('Raw Data'!R:R,MATCH($B58,'Raw Data'!$C:$C,0)),"-")</f>
        <v>30121.26</v>
      </c>
    </row>
    <row r="59" spans="1:8" ht="15" customHeight="1" x14ac:dyDescent="0.35">
      <c r="A59" s="16" t="str">
        <f>IFERROR(INDEX('Raw Data'!AC:AC,MATCH($B59,'Raw Data'!$C:$C,0)),"-")</f>
        <v>Excavator</v>
      </c>
      <c r="B59" s="11" t="s">
        <v>218</v>
      </c>
      <c r="C59" s="12">
        <f>IFERROR(INDEX('Raw Data'!W:W,MATCH($B59,'Raw Data'!$C:$C,0)),"-")</f>
        <v>9186.32</v>
      </c>
      <c r="D59" s="18">
        <f>IFERROR(INDEX('Raw Data'!X:X,MATCH($B59,'Raw Data'!$C:$C,0)),"-")</f>
        <v>51.39516278</v>
      </c>
      <c r="E59" s="18">
        <f>IFERROR(INDEX('Raw Data'!Y:Y,MATCH($B59,'Raw Data'!$C:$C,0)),"-")</f>
        <v>9186.32</v>
      </c>
      <c r="F59" s="14">
        <f>IFERROR(INDEX('Raw Data'!F:F,MATCH($B59,'Raw Data'!$C:$C,0)),"-")</f>
        <v>181.71420000000001</v>
      </c>
      <c r="G59" s="12">
        <f>IFERROR(INDEX('Raw Data'!U:U,MATCH($B59,'Raw Data'!$C:$C,0)),"-")</f>
        <v>0</v>
      </c>
      <c r="H59" s="12">
        <f>IFERROR(INDEX('Raw Data'!R:R,MATCH($B59,'Raw Data'!$C:$C,0)),"-")</f>
        <v>0</v>
      </c>
    </row>
    <row r="60" spans="1:8" ht="15" customHeight="1" x14ac:dyDescent="0.35">
      <c r="A60" s="15" t="str">
        <f>IFERROR(INDEX('Raw Data'!AC:AC,MATCH($B60,'Raw Data'!$C:$C,0)),"-")</f>
        <v>Excavator</v>
      </c>
      <c r="B60" s="7" t="s">
        <v>203</v>
      </c>
      <c r="C60" s="8">
        <f>IFERROR(INDEX('Raw Data'!W:W,MATCH($B60,'Raw Data'!$C:$C,0)),"-")</f>
        <v>9107.4699999999993</v>
      </c>
      <c r="D60" s="17">
        <f>IFERROR(INDEX('Raw Data'!X:X,MATCH($B60,'Raw Data'!$C:$C,0)),"-")</f>
        <v>30.057051659999999</v>
      </c>
      <c r="E60" s="17">
        <f>IFERROR(INDEX('Raw Data'!Y:Y,MATCH($B60,'Raw Data'!$C:$C,0)),"-")</f>
        <v>9107.4699999999993</v>
      </c>
      <c r="F60" s="10">
        <f>IFERROR(INDEX('Raw Data'!F:F,MATCH($B60,'Raw Data'!$C:$C,0)),"-")</f>
        <v>317.87759999999901</v>
      </c>
      <c r="G60" s="8">
        <f>IFERROR(INDEX('Raw Data'!U:U,MATCH($B60,'Raw Data'!$C:$C,0)),"-")</f>
        <v>0</v>
      </c>
      <c r="H60" s="8">
        <f>IFERROR(INDEX('Raw Data'!R:R,MATCH($B60,'Raw Data'!$C:$C,0)),"-")</f>
        <v>0</v>
      </c>
    </row>
    <row r="61" spans="1:8" ht="15" customHeight="1" x14ac:dyDescent="0.35">
      <c r="A61" s="16" t="str">
        <f>IFERROR(INDEX('Raw Data'!AC:AC,MATCH($B61,'Raw Data'!$C:$C,0)),"-")</f>
        <v>Dumper</v>
      </c>
      <c r="B61" s="11" t="s">
        <v>158</v>
      </c>
      <c r="C61" s="12">
        <f>IFERROR(INDEX('Raw Data'!W:W,MATCH($B61,'Raw Data'!$C:$C,0)),"-")</f>
        <v>8273.6200000000008</v>
      </c>
      <c r="D61" s="18">
        <f>IFERROR(INDEX('Raw Data'!X:X,MATCH($B61,'Raw Data'!$C:$C,0)),"-")</f>
        <v>14.77189989</v>
      </c>
      <c r="E61" s="18">
        <f>IFERROR(INDEX('Raw Data'!Y:Y,MATCH($B61,'Raw Data'!$C:$C,0)),"-")</f>
        <v>7118.2934603470303</v>
      </c>
      <c r="F61" s="14">
        <f>IFERROR(INDEX('Raw Data'!F:F,MATCH($B61,'Raw Data'!$C:$C,0)),"-")</f>
        <v>505.722299999999</v>
      </c>
      <c r="G61" s="12">
        <f>IFERROR(INDEX('Raw Data'!U:U,MATCH($B61,'Raw Data'!$C:$C,0)),"-")</f>
        <v>26936</v>
      </c>
      <c r="H61" s="12">
        <f>IFERROR(INDEX('Raw Data'!R:R,MATCH($B61,'Raw Data'!$C:$C,0)),"-")</f>
        <v>0</v>
      </c>
    </row>
    <row r="62" spans="1:8" ht="15" customHeight="1" x14ac:dyDescent="0.35">
      <c r="A62" s="15" t="str">
        <f>IFERROR(INDEX('Raw Data'!AC:AC,MATCH($B62,'Raw Data'!$C:$C,0)),"-")</f>
        <v>Dumper</v>
      </c>
      <c r="B62" s="7" t="s">
        <v>167</v>
      </c>
      <c r="C62" s="8">
        <f>IFERROR(INDEX('Raw Data'!W:W,MATCH($B62,'Raw Data'!$C:$C,0)),"-")</f>
        <v>8155.7</v>
      </c>
      <c r="D62" s="17">
        <f>IFERROR(INDEX('Raw Data'!X:X,MATCH($B62,'Raw Data'!$C:$C,0)),"-")</f>
        <v>15.69972611</v>
      </c>
      <c r="E62" s="17">
        <f>IFERROR(INDEX('Raw Data'!Y:Y,MATCH($B62,'Raw Data'!$C:$C,0)),"-")</f>
        <v>7482.9164970000002</v>
      </c>
      <c r="F62" s="10">
        <f>IFERROR(INDEX('Raw Data'!F:F,MATCH($B62,'Raw Data'!$C:$C,0)),"-")</f>
        <v>487.744699999999</v>
      </c>
      <c r="G62" s="8">
        <f>IFERROR(INDEX('Raw Data'!U:U,MATCH($B62,'Raw Data'!$C:$C,0)),"-")</f>
        <v>29092</v>
      </c>
      <c r="H62" s="8">
        <f>IFERROR(INDEX('Raw Data'!R:R,MATCH($B62,'Raw Data'!$C:$C,0)),"-")</f>
        <v>0</v>
      </c>
    </row>
    <row r="63" spans="1:8" ht="15" customHeight="1" x14ac:dyDescent="0.35">
      <c r="A63" s="16" t="str">
        <f>IFERROR(INDEX('Raw Data'!AC:AC,MATCH($B63,'Raw Data'!$C:$C,0)),"-")</f>
        <v>Dumper</v>
      </c>
      <c r="B63" s="11" t="s">
        <v>163</v>
      </c>
      <c r="C63" s="12">
        <f>IFERROR(INDEX('Raw Data'!W:W,MATCH($B63,'Raw Data'!$C:$C,0)),"-")</f>
        <v>7929.88</v>
      </c>
      <c r="D63" s="18">
        <f>IFERROR(INDEX('Raw Data'!X:X,MATCH($B63,'Raw Data'!$C:$C,0)),"-")</f>
        <v>15.98069229</v>
      </c>
      <c r="E63" s="18">
        <f>IFERROR(INDEX('Raw Data'!Y:Y,MATCH($B63,'Raw Data'!$C:$C,0)),"-")</f>
        <v>7208.5211380000001</v>
      </c>
      <c r="F63" s="14">
        <f>IFERROR(INDEX('Raw Data'!F:F,MATCH($B63,'Raw Data'!$C:$C,0)),"-")</f>
        <v>460.642799999999</v>
      </c>
      <c r="G63" s="12">
        <f>IFERROR(INDEX('Raw Data'!U:U,MATCH($B63,'Raw Data'!$C:$C,0)),"-")</f>
        <v>28784</v>
      </c>
      <c r="H63" s="12">
        <f>IFERROR(INDEX('Raw Data'!R:R,MATCH($B63,'Raw Data'!$C:$C,0)),"-")</f>
        <v>0</v>
      </c>
    </row>
    <row r="64" spans="1:8" ht="15" customHeight="1" x14ac:dyDescent="0.35">
      <c r="A64" s="15" t="str">
        <f>IFERROR(INDEX('Raw Data'!AC:AC,MATCH($B64,'Raw Data'!$C:$C,0)),"-")</f>
        <v>Dumper</v>
      </c>
      <c r="B64" s="7" t="s">
        <v>164</v>
      </c>
      <c r="C64" s="8">
        <f>IFERROR(INDEX('Raw Data'!W:W,MATCH($B64,'Raw Data'!$C:$C,0)),"-")</f>
        <v>7901.3599999999897</v>
      </c>
      <c r="D64" s="17">
        <f>IFERROR(INDEX('Raw Data'!X:X,MATCH($B64,'Raw Data'!$C:$C,0)),"-")</f>
        <v>14.790530070000001</v>
      </c>
      <c r="E64" s="17">
        <f>IFERROR(INDEX('Raw Data'!Y:Y,MATCH($B64,'Raw Data'!$C:$C,0)),"-")</f>
        <v>7017.301915</v>
      </c>
      <c r="F64" s="10">
        <f>IFERROR(INDEX('Raw Data'!F:F,MATCH($B64,'Raw Data'!$C:$C,0)),"-")</f>
        <v>497.81299999999999</v>
      </c>
      <c r="G64" s="8">
        <f>IFERROR(INDEX('Raw Data'!U:U,MATCH($B64,'Raw Data'!$C:$C,0)),"-")</f>
        <v>27552</v>
      </c>
      <c r="H64" s="8">
        <f>IFERROR(INDEX('Raw Data'!R:R,MATCH($B64,'Raw Data'!$C:$C,0)),"-")</f>
        <v>0</v>
      </c>
    </row>
    <row r="65" spans="1:8" ht="15" customHeight="1" x14ac:dyDescent="0.35">
      <c r="A65" s="16" t="str">
        <f>IFERROR(INDEX('Raw Data'!AC:AC,MATCH($B65,'Raw Data'!$C:$C,0)),"-")</f>
        <v>Dumper</v>
      </c>
      <c r="B65" s="11" t="s">
        <v>159</v>
      </c>
      <c r="C65" s="12">
        <f>IFERROR(INDEX('Raw Data'!W:W,MATCH($B65,'Raw Data'!$C:$C,0)),"-")</f>
        <v>7792.98</v>
      </c>
      <c r="D65" s="18">
        <f>IFERROR(INDEX('Raw Data'!X:X,MATCH($B65,'Raw Data'!$C:$C,0)),"-")</f>
        <v>15.658811050000001</v>
      </c>
      <c r="E65" s="18">
        <f>IFERROR(INDEX('Raw Data'!Y:Y,MATCH($B65,'Raw Data'!$C:$C,0)),"-")</f>
        <v>7250.3207709999997</v>
      </c>
      <c r="F65" s="14">
        <f>IFERROR(INDEX('Raw Data'!F:F,MATCH($B65,'Raw Data'!$C:$C,0)),"-")</f>
        <v>470.94409999999999</v>
      </c>
      <c r="G65" s="12">
        <f>IFERROR(INDEX('Raw Data'!U:U,MATCH($B65,'Raw Data'!$C:$C,0)),"-")</f>
        <v>29904</v>
      </c>
      <c r="H65" s="12">
        <f>IFERROR(INDEX('Raw Data'!R:R,MATCH($B65,'Raw Data'!$C:$C,0)),"-")</f>
        <v>0</v>
      </c>
    </row>
    <row r="66" spans="1:8" ht="15" customHeight="1" x14ac:dyDescent="0.35">
      <c r="A66" s="15" t="str">
        <f>IFERROR(INDEX('Raw Data'!AC:AC,MATCH($B66,'Raw Data'!$C:$C,0)),"-")</f>
        <v>Dumper</v>
      </c>
      <c r="B66" s="7" t="s">
        <v>160</v>
      </c>
      <c r="C66" s="8">
        <f>IFERROR(INDEX('Raw Data'!W:W,MATCH($B66,'Raw Data'!$C:$C,0)),"-")</f>
        <v>7706.59</v>
      </c>
      <c r="D66" s="17">
        <f>IFERROR(INDEX('Raw Data'!X:X,MATCH($B66,'Raw Data'!$C:$C,0)),"-")</f>
        <v>13.531604919999999</v>
      </c>
      <c r="E66" s="17">
        <f>IFERROR(INDEX('Raw Data'!Y:Y,MATCH($B66,'Raw Data'!$C:$C,0)),"-")</f>
        <v>6314.4381880000001</v>
      </c>
      <c r="F66" s="10">
        <f>IFERROR(INDEX('Raw Data'!F:F,MATCH($B66,'Raw Data'!$C:$C,0)),"-")</f>
        <v>488.35680000000002</v>
      </c>
      <c r="G66" s="8">
        <f>IFERROR(INDEX('Raw Data'!U:U,MATCH($B66,'Raw Data'!$C:$C,0)),"-")</f>
        <v>27132</v>
      </c>
      <c r="H66" s="8">
        <f>IFERROR(INDEX('Raw Data'!R:R,MATCH($B66,'Raw Data'!$C:$C,0)),"-")</f>
        <v>0</v>
      </c>
    </row>
    <row r="67" spans="1:8" ht="15" customHeight="1" x14ac:dyDescent="0.35">
      <c r="A67" s="16" t="str">
        <f>IFERROR(INDEX('Raw Data'!AC:AC,MATCH($B67,'Raw Data'!$C:$C,0)),"-")</f>
        <v>Dumper</v>
      </c>
      <c r="B67" s="11" t="s">
        <v>166</v>
      </c>
      <c r="C67" s="12">
        <f>IFERROR(INDEX('Raw Data'!W:W,MATCH($B67,'Raw Data'!$C:$C,0)),"-")</f>
        <v>7563.0899999999901</v>
      </c>
      <c r="D67" s="18">
        <f>IFERROR(INDEX('Raw Data'!X:X,MATCH($B67,'Raw Data'!$C:$C,0)),"-")</f>
        <v>17.96393574</v>
      </c>
      <c r="E67" s="18">
        <f>IFERROR(INDEX('Raw Data'!Y:Y,MATCH($B67,'Raw Data'!$C:$C,0)),"-")</f>
        <v>6731.2915119999998</v>
      </c>
      <c r="F67" s="14">
        <f>IFERROR(INDEX('Raw Data'!F:F,MATCH($B67,'Raw Data'!$C:$C,0)),"-")</f>
        <v>379.30119999999903</v>
      </c>
      <c r="G67" s="12">
        <f>IFERROR(INDEX('Raw Data'!U:U,MATCH($B67,'Raw Data'!$C:$C,0)),"-")</f>
        <v>25508</v>
      </c>
      <c r="H67" s="12">
        <f>IFERROR(INDEX('Raw Data'!R:R,MATCH($B67,'Raw Data'!$C:$C,0)),"-")</f>
        <v>0</v>
      </c>
    </row>
    <row r="68" spans="1:8" ht="15" customHeight="1" x14ac:dyDescent="0.35">
      <c r="A68" s="15" t="str">
        <f>IFERROR(INDEX('Raw Data'!AC:AC,MATCH($B68,'Raw Data'!$C:$C,0)),"-")</f>
        <v>Excavator</v>
      </c>
      <c r="B68" s="7" t="s">
        <v>210</v>
      </c>
      <c r="C68" s="8">
        <f>IFERROR(INDEX('Raw Data'!W:W,MATCH($B68,'Raw Data'!$C:$C,0)),"-")</f>
        <v>7523.78</v>
      </c>
      <c r="D68" s="17">
        <f>IFERROR(INDEX('Raw Data'!X:X,MATCH($B68,'Raw Data'!$C:$C,0)),"-")</f>
        <v>51.560886320000002</v>
      </c>
      <c r="E68" s="17">
        <f>IFERROR(INDEX('Raw Data'!Y:Y,MATCH($B68,'Raw Data'!$C:$C,0)),"-")</f>
        <v>7523.78</v>
      </c>
      <c r="F68" s="10">
        <f>IFERROR(INDEX('Raw Data'!F:F,MATCH($B68,'Raw Data'!$C:$C,0)),"-")</f>
        <v>151.917699999999</v>
      </c>
      <c r="G68" s="8">
        <f>IFERROR(INDEX('Raw Data'!U:U,MATCH($B68,'Raw Data'!$C:$C,0)),"-")</f>
        <v>0</v>
      </c>
      <c r="H68" s="8">
        <f>IFERROR(INDEX('Raw Data'!R:R,MATCH($B68,'Raw Data'!$C:$C,0)),"-")</f>
        <v>0</v>
      </c>
    </row>
    <row r="69" spans="1:8" ht="15" customHeight="1" x14ac:dyDescent="0.35">
      <c r="A69" s="16" t="str">
        <f>IFERROR(INDEX('Raw Data'!AC:AC,MATCH($B69,'Raw Data'!$C:$C,0)),"-")</f>
        <v>Dumper</v>
      </c>
      <c r="B69" s="11" t="s">
        <v>107</v>
      </c>
      <c r="C69" s="12">
        <f>IFERROR(INDEX('Raw Data'!W:W,MATCH($B69,'Raw Data'!$C:$C,0)),"-")</f>
        <v>7478.0599999999904</v>
      </c>
      <c r="D69" s="18">
        <f>IFERROR(INDEX('Raw Data'!X:X,MATCH($B69,'Raw Data'!$C:$C,0)),"-")</f>
        <v>17.358211839999999</v>
      </c>
      <c r="E69" s="18">
        <f>IFERROR(INDEX('Raw Data'!Y:Y,MATCH($B69,'Raw Data'!$C:$C,0)),"-")</f>
        <v>6867.3009009999996</v>
      </c>
      <c r="F69" s="14">
        <f>IFERROR(INDEX('Raw Data'!F:F,MATCH($B69,'Raw Data'!$C:$C,0)),"-")</f>
        <v>422.81229999999999</v>
      </c>
      <c r="G69" s="12">
        <f>IFERROR(INDEX('Raw Data'!U:U,MATCH($B69,'Raw Data'!$C:$C,0)),"-")</f>
        <v>10000</v>
      </c>
      <c r="H69" s="12">
        <f>IFERROR(INDEX('Raw Data'!R:R,MATCH($B69,'Raw Data'!$C:$C,0)),"-")</f>
        <v>23165.62</v>
      </c>
    </row>
    <row r="70" spans="1:8" ht="15" customHeight="1" x14ac:dyDescent="0.35">
      <c r="A70" s="15" t="str">
        <f>IFERROR(INDEX('Raw Data'!AC:AC,MATCH($B70,'Raw Data'!$C:$C,0)),"-")</f>
        <v>Dumper</v>
      </c>
      <c r="B70" s="7" t="s">
        <v>129</v>
      </c>
      <c r="C70" s="8">
        <f>IFERROR(INDEX('Raw Data'!W:W,MATCH($B70,'Raw Data'!$C:$C,0)),"-")</f>
        <v>7447.74999999999</v>
      </c>
      <c r="D70" s="17">
        <f>IFERROR(INDEX('Raw Data'!X:X,MATCH($B70,'Raw Data'!$C:$C,0)),"-")</f>
        <v>17.775119060000002</v>
      </c>
      <c r="E70" s="17">
        <f>IFERROR(INDEX('Raw Data'!Y:Y,MATCH($B70,'Raw Data'!$C:$C,0)),"-")</f>
        <v>6979.1534240000001</v>
      </c>
      <c r="F70" s="10">
        <f>IFERROR(INDEX('Raw Data'!F:F,MATCH($B70,'Raw Data'!$C:$C,0)),"-")</f>
        <v>419.67320000000001</v>
      </c>
      <c r="G70" s="8">
        <f>IFERROR(INDEX('Raw Data'!U:U,MATCH($B70,'Raw Data'!$C:$C,0)),"-")</f>
        <v>9150</v>
      </c>
      <c r="H70" s="8">
        <f>IFERROR(INDEX('Raw Data'!R:R,MATCH($B70,'Raw Data'!$C:$C,0)),"-")</f>
        <v>23173.68</v>
      </c>
    </row>
    <row r="71" spans="1:8" ht="15" customHeight="1" x14ac:dyDescent="0.35">
      <c r="A71" s="16" t="str">
        <f>IFERROR(INDEX('Raw Data'!AC:AC,MATCH($B71,'Raw Data'!$C:$C,0)),"-")</f>
        <v>Dumper</v>
      </c>
      <c r="B71" s="11" t="s">
        <v>162</v>
      </c>
      <c r="C71" s="12">
        <f>IFERROR(INDEX('Raw Data'!W:W,MATCH($B71,'Raw Data'!$C:$C,0)),"-")</f>
        <v>7252.97</v>
      </c>
      <c r="D71" s="18">
        <f>IFERROR(INDEX('Raw Data'!X:X,MATCH($B71,'Raw Data'!$C:$C,0)),"-")</f>
        <v>13.96092234</v>
      </c>
      <c r="E71" s="18">
        <f>IFERROR(INDEX('Raw Data'!Y:Y,MATCH($B71,'Raw Data'!$C:$C,0)),"-")</f>
        <v>6172.9139569999998</v>
      </c>
      <c r="F71" s="14">
        <f>IFERROR(INDEX('Raw Data'!F:F,MATCH($B71,'Raw Data'!$C:$C,0)),"-")</f>
        <v>446.04729999999898</v>
      </c>
      <c r="G71" s="12">
        <f>IFERROR(INDEX('Raw Data'!U:U,MATCH($B71,'Raw Data'!$C:$C,0)),"-")</f>
        <v>23940</v>
      </c>
      <c r="H71" s="12">
        <f>IFERROR(INDEX('Raw Data'!R:R,MATCH($B71,'Raw Data'!$C:$C,0)),"-")</f>
        <v>0</v>
      </c>
    </row>
    <row r="72" spans="1:8" ht="15" customHeight="1" x14ac:dyDescent="0.35">
      <c r="A72" s="15" t="str">
        <f>IFERROR(INDEX('Raw Data'!AC:AC,MATCH($B72,'Raw Data'!$C:$C,0)),"-")</f>
        <v>Dumper</v>
      </c>
      <c r="B72" s="7" t="s">
        <v>165</v>
      </c>
      <c r="C72" s="8">
        <f>IFERROR(INDEX('Raw Data'!W:W,MATCH($B72,'Raw Data'!$C:$C,0)),"-")</f>
        <v>7240.9199999999901</v>
      </c>
      <c r="D72" s="17">
        <f>IFERROR(INDEX('Raw Data'!X:X,MATCH($B72,'Raw Data'!$C:$C,0)),"-")</f>
        <v>25.076405789999999</v>
      </c>
      <c r="E72" s="17">
        <f>IFERROR(INDEX('Raw Data'!Y:Y,MATCH($B72,'Raw Data'!$C:$C,0)),"-")</f>
        <v>6761.2434640000001</v>
      </c>
      <c r="F72" s="10">
        <f>IFERROR(INDEX('Raw Data'!F:F,MATCH($B72,'Raw Data'!$C:$C,0)),"-")</f>
        <v>274.06359999999898</v>
      </c>
      <c r="G72" s="8">
        <f>IFERROR(INDEX('Raw Data'!U:U,MATCH($B72,'Raw Data'!$C:$C,0)),"-")</f>
        <v>27832</v>
      </c>
      <c r="H72" s="8">
        <f>IFERROR(INDEX('Raw Data'!R:R,MATCH($B72,'Raw Data'!$C:$C,0)),"-")</f>
        <v>0</v>
      </c>
    </row>
    <row r="73" spans="1:8" ht="15" customHeight="1" x14ac:dyDescent="0.35">
      <c r="A73" s="16" t="str">
        <f>IFERROR(INDEX('Raw Data'!AC:AC,MATCH($B73,'Raw Data'!$C:$C,0)),"-")</f>
        <v>Dumper</v>
      </c>
      <c r="B73" s="11" t="s">
        <v>144</v>
      </c>
      <c r="C73" s="12">
        <f>IFERROR(INDEX('Raw Data'!W:W,MATCH($B73,'Raw Data'!$C:$C,0)),"-")</f>
        <v>6959.2</v>
      </c>
      <c r="D73" s="18">
        <f>IFERROR(INDEX('Raw Data'!X:X,MATCH($B73,'Raw Data'!$C:$C,0)),"-")</f>
        <v>16.099126500000001</v>
      </c>
      <c r="E73" s="18">
        <f>IFERROR(INDEX('Raw Data'!Y:Y,MATCH($B73,'Raw Data'!$C:$C,0)),"-")</f>
        <v>6132.9284319999997</v>
      </c>
      <c r="F73" s="14">
        <f>IFERROR(INDEX('Raw Data'!F:F,MATCH($B73,'Raw Data'!$C:$C,0)),"-")</f>
        <v>381.43310000000002</v>
      </c>
      <c r="G73" s="12">
        <f>IFERROR(INDEX('Raw Data'!U:U,MATCH($B73,'Raw Data'!$C:$C,0)),"-")</f>
        <v>22550</v>
      </c>
      <c r="H73" s="12">
        <f>IFERROR(INDEX('Raw Data'!R:R,MATCH($B73,'Raw Data'!$C:$C,0)),"-")</f>
        <v>0</v>
      </c>
    </row>
    <row r="74" spans="1:8" ht="15" customHeight="1" x14ac:dyDescent="0.35">
      <c r="A74" s="15" t="str">
        <f>IFERROR(INDEX('Raw Data'!AC:AC,MATCH($B74,'Raw Data'!$C:$C,0)),"-")</f>
        <v>Dumper</v>
      </c>
      <c r="B74" s="7" t="s">
        <v>133</v>
      </c>
      <c r="C74" s="8">
        <f>IFERROR(INDEX('Raw Data'!W:W,MATCH($B74,'Raw Data'!$C:$C,0)),"-")</f>
        <v>6705.11</v>
      </c>
      <c r="D74" s="17">
        <f>IFERROR(INDEX('Raw Data'!X:X,MATCH($B74,'Raw Data'!$C:$C,0)),"-")</f>
        <v>16.024536619999999</v>
      </c>
      <c r="E74" s="17">
        <f>IFERROR(INDEX('Raw Data'!Y:Y,MATCH($B74,'Raw Data'!$C:$C,0)),"-")</f>
        <v>6297.5227059999997</v>
      </c>
      <c r="F74" s="10">
        <f>IFERROR(INDEX('Raw Data'!F:F,MATCH($B74,'Raw Data'!$C:$C,0)),"-")</f>
        <v>397.65260000000001</v>
      </c>
      <c r="G74" s="8">
        <f>IFERROR(INDEX('Raw Data'!U:U,MATCH($B74,'Raw Data'!$C:$C,0)),"-")</f>
        <v>6275</v>
      </c>
      <c r="H74" s="8">
        <f>IFERROR(INDEX('Raw Data'!R:R,MATCH($B74,'Raw Data'!$C:$C,0)),"-")</f>
        <v>18626.88</v>
      </c>
    </row>
    <row r="75" spans="1:8" ht="15" customHeight="1" x14ac:dyDescent="0.35">
      <c r="A75" s="16" t="str">
        <f>IFERROR(INDEX('Raw Data'!AC:AC,MATCH($B75,'Raw Data'!$C:$C,0)),"-")</f>
        <v>Dumper</v>
      </c>
      <c r="B75" s="11" t="s">
        <v>150</v>
      </c>
      <c r="C75" s="12">
        <f>IFERROR(INDEX('Raw Data'!W:W,MATCH($B75,'Raw Data'!$C:$C,0)),"-")</f>
        <v>6638.17</v>
      </c>
      <c r="D75" s="18">
        <f>IFERROR(INDEX('Raw Data'!X:X,MATCH($B75,'Raw Data'!$C:$C,0)),"-")</f>
        <v>12.982963959999999</v>
      </c>
      <c r="E75" s="18">
        <f>IFERROR(INDEX('Raw Data'!Y:Y,MATCH($B75,'Raw Data'!$C:$C,0)),"-")</f>
        <v>6293.811162</v>
      </c>
      <c r="F75" s="14">
        <f>IFERROR(INDEX('Raw Data'!F:F,MATCH($B75,'Raw Data'!$C:$C,0)),"-")</f>
        <v>491.50049999999999</v>
      </c>
      <c r="G75" s="12">
        <f>IFERROR(INDEX('Raw Data'!U:U,MATCH($B75,'Raw Data'!$C:$C,0)),"-")</f>
        <v>17400</v>
      </c>
      <c r="H75" s="12">
        <f>IFERROR(INDEX('Raw Data'!R:R,MATCH($B75,'Raw Data'!$C:$C,0)),"-")</f>
        <v>0</v>
      </c>
    </row>
    <row r="76" spans="1:8" ht="15" customHeight="1" x14ac:dyDescent="0.35">
      <c r="A76" s="15" t="str">
        <f>IFERROR(INDEX('Raw Data'!AC:AC,MATCH($B76,'Raw Data'!$C:$C,0)),"-")</f>
        <v>Excavator</v>
      </c>
      <c r="B76" s="7" t="s">
        <v>202</v>
      </c>
      <c r="C76" s="8">
        <f>IFERROR(INDEX('Raw Data'!W:W,MATCH($B76,'Raw Data'!$C:$C,0)),"-")</f>
        <v>6627.92</v>
      </c>
      <c r="D76" s="17">
        <f>IFERROR(INDEX('Raw Data'!X:X,MATCH($B76,'Raw Data'!$C:$C,0)),"-")</f>
        <v>32.735108629999999</v>
      </c>
      <c r="E76" s="17">
        <f>IFERROR(INDEX('Raw Data'!Y:Y,MATCH($B76,'Raw Data'!$C:$C,0)),"-")</f>
        <v>6627.92</v>
      </c>
      <c r="F76" s="10">
        <f>IFERROR(INDEX('Raw Data'!F:F,MATCH($B76,'Raw Data'!$C:$C,0)),"-")</f>
        <v>267.49259999999902</v>
      </c>
      <c r="G76" s="8">
        <f>IFERROR(INDEX('Raw Data'!U:U,MATCH($B76,'Raw Data'!$C:$C,0)),"-")</f>
        <v>0</v>
      </c>
      <c r="H76" s="8">
        <f>IFERROR(INDEX('Raw Data'!R:R,MATCH($B76,'Raw Data'!$C:$C,0)),"-")</f>
        <v>0</v>
      </c>
    </row>
    <row r="77" spans="1:8" ht="15" customHeight="1" x14ac:dyDescent="0.35">
      <c r="A77" s="16" t="str">
        <f>IFERROR(INDEX('Raw Data'!AC:AC,MATCH($B77,'Raw Data'!$C:$C,0)),"-")</f>
        <v>Dumper</v>
      </c>
      <c r="B77" s="11" t="s">
        <v>146</v>
      </c>
      <c r="C77" s="12">
        <f>IFERROR(INDEX('Raw Data'!W:W,MATCH($B77,'Raw Data'!$C:$C,0)),"-")</f>
        <v>6617.91</v>
      </c>
      <c r="D77" s="18">
        <f>IFERROR(INDEX('Raw Data'!X:X,MATCH($B77,'Raw Data'!$C:$C,0)),"-")</f>
        <v>14.772638239999999</v>
      </c>
      <c r="E77" s="18">
        <f>IFERROR(INDEX('Raw Data'!Y:Y,MATCH($B77,'Raw Data'!$C:$C,0)),"-")</f>
        <v>6277.2175079999997</v>
      </c>
      <c r="F77" s="14">
        <f>IFERROR(INDEX('Raw Data'!F:F,MATCH($B77,'Raw Data'!$C:$C,0)),"-")</f>
        <v>431.01729999999901</v>
      </c>
      <c r="G77" s="12">
        <f>IFERROR(INDEX('Raw Data'!U:U,MATCH($B77,'Raw Data'!$C:$C,0)),"-")</f>
        <v>18500</v>
      </c>
      <c r="H77" s="12">
        <f>IFERROR(INDEX('Raw Data'!R:R,MATCH($B77,'Raw Data'!$C:$C,0)),"-")</f>
        <v>10688.38</v>
      </c>
    </row>
    <row r="78" spans="1:8" ht="15" customHeight="1" x14ac:dyDescent="0.35">
      <c r="A78" s="15" t="str">
        <f>IFERROR(INDEX('Raw Data'!AC:AC,MATCH($B78,'Raw Data'!$C:$C,0)),"-")</f>
        <v>Dumper</v>
      </c>
      <c r="B78" s="7" t="s">
        <v>156</v>
      </c>
      <c r="C78" s="8">
        <f>IFERROR(INDEX('Raw Data'!W:W,MATCH($B78,'Raw Data'!$C:$C,0)),"-")</f>
        <v>6607.28999999999</v>
      </c>
      <c r="D78" s="17">
        <f>IFERROR(INDEX('Raw Data'!X:X,MATCH($B78,'Raw Data'!$C:$C,0)),"-")</f>
        <v>14.1823982</v>
      </c>
      <c r="E78" s="17">
        <f>IFERROR(INDEX('Raw Data'!Y:Y,MATCH($B78,'Raw Data'!$C:$C,0)),"-")</f>
        <v>6294.9099159999996</v>
      </c>
      <c r="F78" s="10">
        <f>IFERROR(INDEX('Raw Data'!F:F,MATCH($B78,'Raw Data'!$C:$C,0)),"-")</f>
        <v>453.1071</v>
      </c>
      <c r="G78" s="8">
        <f>IFERROR(INDEX('Raw Data'!U:U,MATCH($B78,'Raw Data'!$C:$C,0)),"-")</f>
        <v>21850</v>
      </c>
      <c r="H78" s="8">
        <f>IFERROR(INDEX('Raw Data'!R:R,MATCH($B78,'Raw Data'!$C:$C,0)),"-")</f>
        <v>0</v>
      </c>
    </row>
    <row r="79" spans="1:8" ht="15" customHeight="1" x14ac:dyDescent="0.35">
      <c r="A79" s="16" t="str">
        <f>IFERROR(INDEX('Raw Data'!AC:AC,MATCH($B79,'Raw Data'!$C:$C,0)),"-")</f>
        <v>Dumper</v>
      </c>
      <c r="B79" s="11" t="s">
        <v>143</v>
      </c>
      <c r="C79" s="12">
        <f>IFERROR(INDEX('Raw Data'!W:W,MATCH($B79,'Raw Data'!$C:$C,0)),"-")</f>
        <v>6605.11</v>
      </c>
      <c r="D79" s="18">
        <f>IFERROR(INDEX('Raw Data'!X:X,MATCH($B79,'Raw Data'!$C:$C,0)),"-")</f>
        <v>13.65497905</v>
      </c>
      <c r="E79" s="18">
        <f>IFERROR(INDEX('Raw Data'!Y:Y,MATCH($B79,'Raw Data'!$C:$C,0)),"-")</f>
        <v>6207.2366819999997</v>
      </c>
      <c r="F79" s="14">
        <f>IFERROR(INDEX('Raw Data'!F:F,MATCH($B79,'Raw Data'!$C:$C,0)),"-")</f>
        <v>485.94380000000001</v>
      </c>
      <c r="G79" s="12">
        <f>IFERROR(INDEX('Raw Data'!U:U,MATCH($B79,'Raw Data'!$C:$C,0)),"-")</f>
        <v>21950</v>
      </c>
      <c r="H79" s="12">
        <f>IFERROR(INDEX('Raw Data'!R:R,MATCH($B79,'Raw Data'!$C:$C,0)),"-")</f>
        <v>0</v>
      </c>
    </row>
    <row r="80" spans="1:8" ht="15" customHeight="1" x14ac:dyDescent="0.35">
      <c r="A80" s="15" t="str">
        <f>IFERROR(INDEX('Raw Data'!AC:AC,MATCH($B80,'Raw Data'!$C:$C,0)),"-")</f>
        <v>Dumper</v>
      </c>
      <c r="B80" s="7" t="s">
        <v>152</v>
      </c>
      <c r="C80" s="8">
        <f>IFERROR(INDEX('Raw Data'!W:W,MATCH($B80,'Raw Data'!$C:$C,0)),"-")</f>
        <v>6603.2299999999896</v>
      </c>
      <c r="D80" s="17">
        <f>IFERROR(INDEX('Raw Data'!X:X,MATCH($B80,'Raw Data'!$C:$C,0)),"-")</f>
        <v>13.54830542</v>
      </c>
      <c r="E80" s="17">
        <f>IFERROR(INDEX('Raw Data'!Y:Y,MATCH($B80,'Raw Data'!$C:$C,0)),"-")</f>
        <v>6245.7579610000003</v>
      </c>
      <c r="F80" s="10">
        <f>IFERROR(INDEX('Raw Data'!F:F,MATCH($B80,'Raw Data'!$C:$C,0)),"-")</f>
        <v>468.469999999999</v>
      </c>
      <c r="G80" s="8">
        <f>IFERROR(INDEX('Raw Data'!U:U,MATCH($B80,'Raw Data'!$C:$C,0)),"-")</f>
        <v>22975</v>
      </c>
      <c r="H80" s="8">
        <f>IFERROR(INDEX('Raw Data'!R:R,MATCH($B80,'Raw Data'!$C:$C,0)),"-")</f>
        <v>0</v>
      </c>
    </row>
    <row r="81" spans="1:8" ht="15" customHeight="1" x14ac:dyDescent="0.35">
      <c r="A81" s="16" t="str">
        <f>IFERROR(INDEX('Raw Data'!AC:AC,MATCH($B81,'Raw Data'!$C:$C,0)),"-")</f>
        <v>Dumper</v>
      </c>
      <c r="B81" s="11" t="s">
        <v>139</v>
      </c>
      <c r="C81" s="12">
        <f>IFERROR(INDEX('Raw Data'!W:W,MATCH($B81,'Raw Data'!$C:$C,0)),"-")</f>
        <v>6599.6699999999901</v>
      </c>
      <c r="D81" s="18">
        <f>IFERROR(INDEX('Raw Data'!X:X,MATCH($B81,'Raw Data'!$C:$C,0)),"-")</f>
        <v>15.73753346</v>
      </c>
      <c r="E81" s="18">
        <f>IFERROR(INDEX('Raw Data'!Y:Y,MATCH($B81,'Raw Data'!$C:$C,0)),"-")</f>
        <v>6156.7859070000004</v>
      </c>
      <c r="F81" s="14">
        <f>IFERROR(INDEX('Raw Data'!F:F,MATCH($B81,'Raw Data'!$C:$C,0)),"-")</f>
        <v>395.79999999999899</v>
      </c>
      <c r="G81" s="12">
        <f>IFERROR(INDEX('Raw Data'!U:U,MATCH($B81,'Raw Data'!$C:$C,0)),"-")</f>
        <v>9025</v>
      </c>
      <c r="H81" s="12">
        <f>IFERROR(INDEX('Raw Data'!R:R,MATCH($B81,'Raw Data'!$C:$C,0)),"-")</f>
        <v>21542.080000000002</v>
      </c>
    </row>
    <row r="82" spans="1:8" ht="15" customHeight="1" x14ac:dyDescent="0.35">
      <c r="A82" s="15" t="str">
        <f>IFERROR(INDEX('Raw Data'!AC:AC,MATCH($B82,'Raw Data'!$C:$C,0)),"-")</f>
        <v>Dumper</v>
      </c>
      <c r="B82" s="7" t="s">
        <v>148</v>
      </c>
      <c r="C82" s="8">
        <f>IFERROR(INDEX('Raw Data'!W:W,MATCH($B82,'Raw Data'!$C:$C,0)),"-")</f>
        <v>6580.93</v>
      </c>
      <c r="D82" s="17">
        <f>IFERROR(INDEX('Raw Data'!X:X,MATCH($B82,'Raw Data'!$C:$C,0)),"-")</f>
        <v>13.3814768</v>
      </c>
      <c r="E82" s="17">
        <f>IFERROR(INDEX('Raw Data'!Y:Y,MATCH($B82,'Raw Data'!$C:$C,0)),"-")</f>
        <v>6258.3721779999996</v>
      </c>
      <c r="F82" s="10">
        <f>IFERROR(INDEX('Raw Data'!F:F,MATCH($B82,'Raw Data'!$C:$C,0)),"-")</f>
        <v>478.25319999999903</v>
      </c>
      <c r="G82" s="8">
        <f>IFERROR(INDEX('Raw Data'!U:U,MATCH($B82,'Raw Data'!$C:$C,0)),"-")</f>
        <v>17100</v>
      </c>
      <c r="H82" s="8">
        <f>IFERROR(INDEX('Raw Data'!R:R,MATCH($B82,'Raw Data'!$C:$C,0)),"-")</f>
        <v>0</v>
      </c>
    </row>
    <row r="83" spans="1:8" ht="15" customHeight="1" x14ac:dyDescent="0.35">
      <c r="A83" s="16" t="str">
        <f>IFERROR(INDEX('Raw Data'!AC:AC,MATCH($B83,'Raw Data'!$C:$C,0)),"-")</f>
        <v>Dumper</v>
      </c>
      <c r="B83" s="11" t="s">
        <v>135</v>
      </c>
      <c r="C83" s="12">
        <f>IFERROR(INDEX('Raw Data'!W:W,MATCH($B83,'Raw Data'!$C:$C,0)),"-")</f>
        <v>6537.0999999999904</v>
      </c>
      <c r="D83" s="18">
        <f>IFERROR(INDEX('Raw Data'!X:X,MATCH($B83,'Raw Data'!$C:$C,0)),"-")</f>
        <v>14.047171730000001</v>
      </c>
      <c r="E83" s="18">
        <f>IFERROR(INDEX('Raw Data'!Y:Y,MATCH($B83,'Raw Data'!$C:$C,0)),"-")</f>
        <v>6180.7260630000001</v>
      </c>
      <c r="F83" s="14">
        <f>IFERROR(INDEX('Raw Data'!F:F,MATCH($B83,'Raw Data'!$C:$C,0)),"-")</f>
        <v>481.16129999999998</v>
      </c>
      <c r="G83" s="12">
        <f>IFERROR(INDEX('Raw Data'!U:U,MATCH($B83,'Raw Data'!$C:$C,0)),"-")</f>
        <v>23075</v>
      </c>
      <c r="H83" s="12">
        <f>IFERROR(INDEX('Raw Data'!R:R,MATCH($B83,'Raw Data'!$C:$C,0)),"-")</f>
        <v>0</v>
      </c>
    </row>
    <row r="84" spans="1:8" ht="15" customHeight="1" x14ac:dyDescent="0.35">
      <c r="A84" s="15" t="str">
        <f>IFERROR(INDEX('Raw Data'!AC:AC,MATCH($B84,'Raw Data'!$C:$C,0)),"-")</f>
        <v>Dumper</v>
      </c>
      <c r="B84" s="7" t="s">
        <v>142</v>
      </c>
      <c r="C84" s="8">
        <f>IFERROR(INDEX('Raw Data'!W:W,MATCH($B84,'Raw Data'!$C:$C,0)),"-")</f>
        <v>6412.7199999999903</v>
      </c>
      <c r="D84" s="17">
        <f>IFERROR(INDEX('Raw Data'!X:X,MATCH($B84,'Raw Data'!$C:$C,0)),"-")</f>
        <v>13.44179186</v>
      </c>
      <c r="E84" s="17">
        <f>IFERROR(INDEX('Raw Data'!Y:Y,MATCH($B84,'Raw Data'!$C:$C,0)),"-")</f>
        <v>6016.8310019999999</v>
      </c>
      <c r="F84" s="10">
        <f>IFERROR(INDEX('Raw Data'!F:F,MATCH($B84,'Raw Data'!$C:$C,0)),"-")</f>
        <v>452.41109999999901</v>
      </c>
      <c r="G84" s="8">
        <f>IFERROR(INDEX('Raw Data'!U:U,MATCH($B84,'Raw Data'!$C:$C,0)),"-")</f>
        <v>22525</v>
      </c>
      <c r="H84" s="8">
        <f>IFERROR(INDEX('Raw Data'!R:R,MATCH($B84,'Raw Data'!$C:$C,0)),"-")</f>
        <v>0</v>
      </c>
    </row>
    <row r="85" spans="1:8" ht="15" customHeight="1" x14ac:dyDescent="0.35">
      <c r="A85" s="16" t="str">
        <f>IFERROR(INDEX('Raw Data'!AC:AC,MATCH($B85,'Raw Data'!$C:$C,0)),"-")</f>
        <v>Dumper</v>
      </c>
      <c r="B85" s="11" t="s">
        <v>110</v>
      </c>
      <c r="C85" s="12">
        <f>IFERROR(INDEX('Raw Data'!W:W,MATCH($B85,'Raw Data'!$C:$C,0)),"-")</f>
        <v>6373.69</v>
      </c>
      <c r="D85" s="18">
        <f>IFERROR(INDEX('Raw Data'!X:X,MATCH($B85,'Raw Data'!$C:$C,0)),"-")</f>
        <v>13.085686880000001</v>
      </c>
      <c r="E85" s="18">
        <f>IFERROR(INDEX('Raw Data'!Y:Y,MATCH($B85,'Raw Data'!$C:$C,0)),"-")</f>
        <v>5901.5440230000004</v>
      </c>
      <c r="F85" s="14">
        <f>IFERROR(INDEX('Raw Data'!F:F,MATCH($B85,'Raw Data'!$C:$C,0)),"-")</f>
        <v>457.16570000000002</v>
      </c>
      <c r="G85" s="12">
        <f>IFERROR(INDEX('Raw Data'!U:U,MATCH($B85,'Raw Data'!$C:$C,0)),"-")</f>
        <v>23975</v>
      </c>
      <c r="H85" s="12">
        <f>IFERROR(INDEX('Raw Data'!R:R,MATCH($B85,'Raw Data'!$C:$C,0)),"-")</f>
        <v>0</v>
      </c>
    </row>
    <row r="86" spans="1:8" ht="15" customHeight="1" x14ac:dyDescent="0.35">
      <c r="A86" s="15" t="str">
        <f>IFERROR(INDEX('Raw Data'!AC:AC,MATCH($B86,'Raw Data'!$C:$C,0)),"-")</f>
        <v>Dumper</v>
      </c>
      <c r="B86" s="7" t="s">
        <v>155</v>
      </c>
      <c r="C86" s="8">
        <f>IFERROR(INDEX('Raw Data'!W:W,MATCH($B86,'Raw Data'!$C:$C,0)),"-")</f>
        <v>6367.26</v>
      </c>
      <c r="D86" s="17">
        <f>IFERROR(INDEX('Raw Data'!X:X,MATCH($B86,'Raw Data'!$C:$C,0)),"-")</f>
        <v>13.56810647</v>
      </c>
      <c r="E86" s="17">
        <f>IFERROR(INDEX('Raw Data'!Y:Y,MATCH($B86,'Raw Data'!$C:$C,0)),"-")</f>
        <v>5848.254148</v>
      </c>
      <c r="F86" s="10">
        <f>IFERROR(INDEX('Raw Data'!F:F,MATCH($B86,'Raw Data'!$C:$C,0)),"-")</f>
        <v>438.79730000000001</v>
      </c>
      <c r="G86" s="8">
        <f>IFERROR(INDEX('Raw Data'!U:U,MATCH($B86,'Raw Data'!$C:$C,0)),"-")</f>
        <v>23800</v>
      </c>
      <c r="H86" s="8">
        <f>IFERROR(INDEX('Raw Data'!R:R,MATCH($B86,'Raw Data'!$C:$C,0)),"-")</f>
        <v>0</v>
      </c>
    </row>
    <row r="87" spans="1:8" ht="15" customHeight="1" x14ac:dyDescent="0.35">
      <c r="A87" s="16" t="str">
        <f>IFERROR(INDEX('Raw Data'!AC:AC,MATCH($B87,'Raw Data'!$C:$C,0)),"-")</f>
        <v>Dumper</v>
      </c>
      <c r="B87" s="11" t="s">
        <v>136</v>
      </c>
      <c r="C87" s="12">
        <f>IFERROR(INDEX('Raw Data'!W:W,MATCH($B87,'Raw Data'!$C:$C,0)),"-")</f>
        <v>6339.12</v>
      </c>
      <c r="D87" s="18">
        <f>IFERROR(INDEX('Raw Data'!X:X,MATCH($B87,'Raw Data'!$C:$C,0)),"-")</f>
        <v>12.965808669999999</v>
      </c>
      <c r="E87" s="18">
        <f>IFERROR(INDEX('Raw Data'!Y:Y,MATCH($B87,'Raw Data'!$C:$C,0)),"-")</f>
        <v>5620.8440209999999</v>
      </c>
      <c r="F87" s="14">
        <f>IFERROR(INDEX('Raw Data'!F:F,MATCH($B87,'Raw Data'!$C:$C,0)),"-")</f>
        <v>439.87549999999999</v>
      </c>
      <c r="G87" s="12">
        <f>IFERROR(INDEX('Raw Data'!U:U,MATCH($B87,'Raw Data'!$C:$C,0)),"-")</f>
        <v>21450</v>
      </c>
      <c r="H87" s="12">
        <f>IFERROR(INDEX('Raw Data'!R:R,MATCH($B87,'Raw Data'!$C:$C,0)),"-")</f>
        <v>0</v>
      </c>
    </row>
    <row r="88" spans="1:8" ht="15" customHeight="1" x14ac:dyDescent="0.35">
      <c r="A88" s="15" t="str">
        <f>IFERROR(INDEX('Raw Data'!AC:AC,MATCH($B88,'Raw Data'!$C:$C,0)),"-")</f>
        <v>Dumper</v>
      </c>
      <c r="B88" s="7" t="s">
        <v>151</v>
      </c>
      <c r="C88" s="8">
        <f>IFERROR(INDEX('Raw Data'!W:W,MATCH($B88,'Raw Data'!$C:$C,0)),"-")</f>
        <v>6287.83</v>
      </c>
      <c r="D88" s="17">
        <f>IFERROR(INDEX('Raw Data'!X:X,MATCH($B88,'Raw Data'!$C:$C,0)),"-")</f>
        <v>13.93440062</v>
      </c>
      <c r="E88" s="17">
        <f>IFERROR(INDEX('Raw Data'!Y:Y,MATCH($B88,'Raw Data'!$C:$C,0)),"-")</f>
        <v>5950.6746359999997</v>
      </c>
      <c r="F88" s="10">
        <f>IFERROR(INDEX('Raw Data'!F:F,MATCH($B88,'Raw Data'!$C:$C,0)),"-")</f>
        <v>458.21109999999902</v>
      </c>
      <c r="G88" s="8">
        <f>IFERROR(INDEX('Raw Data'!U:U,MATCH($B88,'Raw Data'!$C:$C,0)),"-")</f>
        <v>22700</v>
      </c>
      <c r="H88" s="8">
        <f>IFERROR(INDEX('Raw Data'!R:R,MATCH($B88,'Raw Data'!$C:$C,0)),"-")</f>
        <v>0</v>
      </c>
    </row>
    <row r="89" spans="1:8" ht="15" customHeight="1" x14ac:dyDescent="0.35">
      <c r="A89" s="16" t="str">
        <f>IFERROR(INDEX('Raw Data'!AC:AC,MATCH($B89,'Raw Data'!$C:$C,0)),"-")</f>
        <v>Tipper</v>
      </c>
      <c r="B89" s="11" t="s">
        <v>82</v>
      </c>
      <c r="C89" s="12">
        <f>IFERROR(INDEX('Raw Data'!W:W,MATCH($B89,'Raw Data'!$C:$C,0)),"-")</f>
        <v>6280.49999999999</v>
      </c>
      <c r="D89" s="18">
        <f>IFERROR(INDEX('Raw Data'!X:X,MATCH($B89,'Raw Data'!$C:$C,0)),"-")</f>
        <v>13.468750699999999</v>
      </c>
      <c r="E89" s="18">
        <f>IFERROR(INDEX('Raw Data'!Y:Y,MATCH($B89,'Raw Data'!$C:$C,0)),"-")</f>
        <v>5912.0704059999998</v>
      </c>
      <c r="F89" s="14">
        <f>IFERROR(INDEX('Raw Data'!F:F,MATCH($B89,'Raw Data'!$C:$C,0)),"-")</f>
        <v>441.82889999999901</v>
      </c>
      <c r="G89" s="12">
        <f>IFERROR(INDEX('Raw Data'!U:U,MATCH($B89,'Raw Data'!$C:$C,0)),"-")</f>
        <v>13</v>
      </c>
      <c r="H89" s="12">
        <f>IFERROR(INDEX('Raw Data'!R:R,MATCH($B89,'Raw Data'!$C:$C,0)),"-")</f>
        <v>30256.57</v>
      </c>
    </row>
    <row r="90" spans="1:8" ht="15" customHeight="1" x14ac:dyDescent="0.35">
      <c r="A90" s="15" t="str">
        <f>IFERROR(INDEX('Raw Data'!AC:AC,MATCH($B90,'Raw Data'!$C:$C,0)),"-")</f>
        <v>Tipper</v>
      </c>
      <c r="B90" s="7" t="s">
        <v>85</v>
      </c>
      <c r="C90" s="8">
        <f>IFERROR(INDEX('Raw Data'!W:W,MATCH($B90,'Raw Data'!$C:$C,0)),"-")</f>
        <v>6127.6699999999901</v>
      </c>
      <c r="D90" s="17">
        <f>IFERROR(INDEX('Raw Data'!X:X,MATCH($B90,'Raw Data'!$C:$C,0)),"-")</f>
        <v>12.90934008</v>
      </c>
      <c r="E90" s="17">
        <f>IFERROR(INDEX('Raw Data'!Y:Y,MATCH($B90,'Raw Data'!$C:$C,0)),"-")</f>
        <v>5847.1022759999996</v>
      </c>
      <c r="F90" s="10">
        <f>IFERROR(INDEX('Raw Data'!F:F,MATCH($B90,'Raw Data'!$C:$C,0)),"-")</f>
        <v>456.73169999999999</v>
      </c>
      <c r="G90" s="8">
        <f>IFERROR(INDEX('Raw Data'!U:U,MATCH($B90,'Raw Data'!$C:$C,0)),"-")</f>
        <v>273</v>
      </c>
      <c r="H90" s="8">
        <f>IFERROR(INDEX('Raw Data'!R:R,MATCH($B90,'Raw Data'!$C:$C,0)),"-")</f>
        <v>32578.25</v>
      </c>
    </row>
    <row r="91" spans="1:8" ht="15" customHeight="1" x14ac:dyDescent="0.35">
      <c r="A91" s="16" t="str">
        <f>IFERROR(INDEX('Raw Data'!AC:AC,MATCH($B91,'Raw Data'!$C:$C,0)),"-")</f>
        <v>Tipper</v>
      </c>
      <c r="B91" s="11" t="s">
        <v>97</v>
      </c>
      <c r="C91" s="12">
        <f>IFERROR(INDEX('Raw Data'!W:W,MATCH($B91,'Raw Data'!$C:$C,0)),"-")</f>
        <v>6099.24</v>
      </c>
      <c r="D91" s="18">
        <f>IFERROR(INDEX('Raw Data'!X:X,MATCH($B91,'Raw Data'!$C:$C,0)),"-")</f>
        <v>13.36334984</v>
      </c>
      <c r="E91" s="18">
        <f>IFERROR(INDEX('Raw Data'!Y:Y,MATCH($B91,'Raw Data'!$C:$C,0)),"-")</f>
        <v>5531.3577670000004</v>
      </c>
      <c r="F91" s="14">
        <f>IFERROR(INDEX('Raw Data'!F:F,MATCH($B91,'Raw Data'!$C:$C,0)),"-")</f>
        <v>416.9787</v>
      </c>
      <c r="G91" s="12">
        <f>IFERROR(INDEX('Raw Data'!U:U,MATCH($B91,'Raw Data'!$C:$C,0)),"-")</f>
        <v>26</v>
      </c>
      <c r="H91" s="12">
        <f>IFERROR(INDEX('Raw Data'!R:R,MATCH($B91,'Raw Data'!$C:$C,0)),"-")</f>
        <v>36578.75</v>
      </c>
    </row>
    <row r="92" spans="1:8" ht="15" customHeight="1" x14ac:dyDescent="0.35">
      <c r="A92" s="15" t="str">
        <f>IFERROR(INDEX('Raw Data'!AC:AC,MATCH($B92,'Raw Data'!$C:$C,0)),"-")</f>
        <v>Dumper</v>
      </c>
      <c r="B92" s="7" t="s">
        <v>145</v>
      </c>
      <c r="C92" s="8">
        <f>IFERROR(INDEX('Raw Data'!W:W,MATCH($B92,'Raw Data'!$C:$C,0)),"-")</f>
        <v>6082.4099999999899</v>
      </c>
      <c r="D92" s="17">
        <f>IFERROR(INDEX('Raw Data'!X:X,MATCH($B92,'Raw Data'!$C:$C,0)),"-")</f>
        <v>12.62734448</v>
      </c>
      <c r="E92" s="17">
        <f>IFERROR(INDEX('Raw Data'!Y:Y,MATCH($B92,'Raw Data'!$C:$C,0)),"-")</f>
        <v>5730.1714890000003</v>
      </c>
      <c r="F92" s="10">
        <f>IFERROR(INDEX('Raw Data'!F:F,MATCH($B92,'Raw Data'!$C:$C,0)),"-")</f>
        <v>460.83159999999998</v>
      </c>
      <c r="G92" s="8">
        <f>IFERROR(INDEX('Raw Data'!U:U,MATCH($B92,'Raw Data'!$C:$C,0)),"-")</f>
        <v>24375</v>
      </c>
      <c r="H92" s="8">
        <f>IFERROR(INDEX('Raw Data'!R:R,MATCH($B92,'Raw Data'!$C:$C,0)),"-")</f>
        <v>0</v>
      </c>
    </row>
    <row r="93" spans="1:8" ht="15" customHeight="1" x14ac:dyDescent="0.35">
      <c r="A93" s="16" t="str">
        <f>IFERROR(INDEX('Raw Data'!AC:AC,MATCH($B93,'Raw Data'!$C:$C,0)),"-")</f>
        <v>Tipper</v>
      </c>
      <c r="B93" s="11" t="s">
        <v>93</v>
      </c>
      <c r="C93" s="12">
        <f>IFERROR(INDEX('Raw Data'!W:W,MATCH($B93,'Raw Data'!$C:$C,0)),"-")</f>
        <v>6079.6199999999899</v>
      </c>
      <c r="D93" s="18">
        <f>IFERROR(INDEX('Raw Data'!X:X,MATCH($B93,'Raw Data'!$C:$C,0)),"-")</f>
        <v>12.719418449999999</v>
      </c>
      <c r="E93" s="18">
        <f>IFERROR(INDEX('Raw Data'!Y:Y,MATCH($B93,'Raw Data'!$C:$C,0)),"-")</f>
        <v>5397.5093870000001</v>
      </c>
      <c r="F93" s="14">
        <f>IFERROR(INDEX('Raw Data'!F:F,MATCH($B93,'Raw Data'!$C:$C,0)),"-")</f>
        <v>428.54209999999898</v>
      </c>
      <c r="G93" s="12">
        <f>IFERROR(INDEX('Raw Data'!U:U,MATCH($B93,'Raw Data'!$C:$C,0)),"-")</f>
        <v>351</v>
      </c>
      <c r="H93" s="12">
        <f>IFERROR(INDEX('Raw Data'!R:R,MATCH($B93,'Raw Data'!$C:$C,0)),"-")</f>
        <v>35832.550000000003</v>
      </c>
    </row>
    <row r="94" spans="1:8" ht="15" customHeight="1" x14ac:dyDescent="0.35">
      <c r="A94" s="15" t="str">
        <f>IFERROR(INDEX('Raw Data'!AC:AC,MATCH($B94,'Raw Data'!$C:$C,0)),"-")</f>
        <v>Dumper</v>
      </c>
      <c r="B94" s="7" t="s">
        <v>153</v>
      </c>
      <c r="C94" s="8">
        <f>IFERROR(INDEX('Raw Data'!W:W,MATCH($B94,'Raw Data'!$C:$C,0)),"-")</f>
        <v>6078.9199999999901</v>
      </c>
      <c r="D94" s="17">
        <f>IFERROR(INDEX('Raw Data'!X:X,MATCH($B94,'Raw Data'!$C:$C,0)),"-")</f>
        <v>12.66340623</v>
      </c>
      <c r="E94" s="17">
        <f>IFERROR(INDEX('Raw Data'!Y:Y,MATCH($B94,'Raw Data'!$C:$C,0)),"-")</f>
        <v>5702.7370549999996</v>
      </c>
      <c r="F94" s="10">
        <f>IFERROR(INDEX('Raw Data'!F:F,MATCH($B94,'Raw Data'!$C:$C,0)),"-")</f>
        <v>459.65359999999998</v>
      </c>
      <c r="G94" s="8">
        <f>IFERROR(INDEX('Raw Data'!U:U,MATCH($B94,'Raw Data'!$C:$C,0)),"-")</f>
        <v>22375</v>
      </c>
      <c r="H94" s="8">
        <f>IFERROR(INDEX('Raw Data'!R:R,MATCH($B94,'Raw Data'!$C:$C,0)),"-")</f>
        <v>0</v>
      </c>
    </row>
    <row r="95" spans="1:8" ht="15" customHeight="1" x14ac:dyDescent="0.35">
      <c r="A95" s="16" t="str">
        <f>IFERROR(INDEX('Raw Data'!AC:AC,MATCH($B95,'Raw Data'!$C:$C,0)),"-")</f>
        <v>Dumper</v>
      </c>
      <c r="B95" s="11" t="s">
        <v>130</v>
      </c>
      <c r="C95" s="12">
        <f>IFERROR(INDEX('Raw Data'!W:W,MATCH($B95,'Raw Data'!$C:$C,0)),"-")</f>
        <v>6074.69</v>
      </c>
      <c r="D95" s="18">
        <f>IFERROR(INDEX('Raw Data'!X:X,MATCH($B95,'Raw Data'!$C:$C,0)),"-")</f>
        <v>15.22017514</v>
      </c>
      <c r="E95" s="18">
        <f>IFERROR(INDEX('Raw Data'!Y:Y,MATCH($B95,'Raw Data'!$C:$C,0)),"-")</f>
        <v>5730.672947</v>
      </c>
      <c r="F95" s="14">
        <f>IFERROR(INDEX('Raw Data'!F:F,MATCH($B95,'Raw Data'!$C:$C,0)),"-")</f>
        <v>381.89859999999902</v>
      </c>
      <c r="G95" s="12">
        <f>IFERROR(INDEX('Raw Data'!U:U,MATCH($B95,'Raw Data'!$C:$C,0)),"-")</f>
        <v>10325</v>
      </c>
      <c r="H95" s="12">
        <f>IFERROR(INDEX('Raw Data'!R:R,MATCH($B95,'Raw Data'!$C:$C,0)),"-")</f>
        <v>11647.86</v>
      </c>
    </row>
    <row r="96" spans="1:8" ht="15" customHeight="1" x14ac:dyDescent="0.35">
      <c r="A96" s="15" t="str">
        <f>IFERROR(INDEX('Raw Data'!AC:AC,MATCH($B96,'Raw Data'!$C:$C,0)),"-")</f>
        <v>Dumper</v>
      </c>
      <c r="B96" s="7" t="s">
        <v>137</v>
      </c>
      <c r="C96" s="8">
        <f>IFERROR(INDEX('Raw Data'!W:W,MATCH($B96,'Raw Data'!$C:$C,0)),"-")</f>
        <v>6023.4</v>
      </c>
      <c r="D96" s="17">
        <f>IFERROR(INDEX('Raw Data'!X:X,MATCH($B96,'Raw Data'!$C:$C,0)),"-")</f>
        <v>14.37901257</v>
      </c>
      <c r="E96" s="17">
        <f>IFERROR(INDEX('Raw Data'!Y:Y,MATCH($B96,'Raw Data'!$C:$C,0)),"-")</f>
        <v>5663.5623349999996</v>
      </c>
      <c r="F96" s="10">
        <f>IFERROR(INDEX('Raw Data'!F:F,MATCH($B96,'Raw Data'!$C:$C,0)),"-")</f>
        <v>400.41039999999902</v>
      </c>
      <c r="G96" s="8">
        <f>IFERROR(INDEX('Raw Data'!U:U,MATCH($B96,'Raw Data'!$C:$C,0)),"-")</f>
        <v>21175</v>
      </c>
      <c r="H96" s="8">
        <f>IFERROR(INDEX('Raw Data'!R:R,MATCH($B96,'Raw Data'!$C:$C,0)),"-")</f>
        <v>1636.62</v>
      </c>
    </row>
    <row r="97" spans="1:8" ht="15" customHeight="1" x14ac:dyDescent="0.35">
      <c r="A97" s="16" t="str">
        <f>IFERROR(INDEX('Raw Data'!AC:AC,MATCH($B97,'Raw Data'!$C:$C,0)),"-")</f>
        <v>Dumper</v>
      </c>
      <c r="B97" s="11" t="s">
        <v>128</v>
      </c>
      <c r="C97" s="12">
        <f>IFERROR(INDEX('Raw Data'!W:W,MATCH($B97,'Raw Data'!$C:$C,0)),"-")</f>
        <v>6004.5899999999901</v>
      </c>
      <c r="D97" s="18">
        <f>IFERROR(INDEX('Raw Data'!X:X,MATCH($B97,'Raw Data'!$C:$C,0)),"-")</f>
        <v>17.40538059</v>
      </c>
      <c r="E97" s="18">
        <f>IFERROR(INDEX('Raw Data'!Y:Y,MATCH($B97,'Raw Data'!$C:$C,0)),"-")</f>
        <v>5027.3196529999996</v>
      </c>
      <c r="F97" s="14">
        <f>IFERROR(INDEX('Raw Data'!F:F,MATCH($B97,'Raw Data'!$C:$C,0)),"-")</f>
        <v>361.54899999999901</v>
      </c>
      <c r="G97" s="12">
        <f>IFERROR(INDEX('Raw Data'!U:U,MATCH($B97,'Raw Data'!$C:$C,0)),"-")</f>
        <v>14150</v>
      </c>
      <c r="H97" s="12">
        <f>IFERROR(INDEX('Raw Data'!R:R,MATCH($B97,'Raw Data'!$C:$C,0)),"-")</f>
        <v>4345.66</v>
      </c>
    </row>
    <row r="98" spans="1:8" ht="15" customHeight="1" x14ac:dyDescent="0.35">
      <c r="A98" s="15" t="str">
        <f>IFERROR(INDEX('Raw Data'!AC:AC,MATCH($B98,'Raw Data'!$C:$C,0)),"-")</f>
        <v>Dumper</v>
      </c>
      <c r="B98" s="7" t="s">
        <v>157</v>
      </c>
      <c r="C98" s="8">
        <f>IFERROR(INDEX('Raw Data'!W:W,MATCH($B98,'Raw Data'!$C:$C,0)),"-")</f>
        <v>5999.6499999999896</v>
      </c>
      <c r="D98" s="17">
        <f>IFERROR(INDEX('Raw Data'!X:X,MATCH($B98,'Raw Data'!$C:$C,0)),"-")</f>
        <v>12.32580566</v>
      </c>
      <c r="E98" s="17">
        <f>IFERROR(INDEX('Raw Data'!Y:Y,MATCH($B98,'Raw Data'!$C:$C,0)),"-")</f>
        <v>5581.098919</v>
      </c>
      <c r="F98" s="10">
        <f>IFERROR(INDEX('Raw Data'!F:F,MATCH($B98,'Raw Data'!$C:$C,0)),"-")</f>
        <v>460.72629999999998</v>
      </c>
      <c r="G98" s="8">
        <f>IFERROR(INDEX('Raw Data'!U:U,MATCH($B98,'Raw Data'!$C:$C,0)),"-")</f>
        <v>24000</v>
      </c>
      <c r="H98" s="8">
        <f>IFERROR(INDEX('Raw Data'!R:R,MATCH($B98,'Raw Data'!$C:$C,0)),"-")</f>
        <v>0</v>
      </c>
    </row>
    <row r="99" spans="1:8" ht="15" customHeight="1" x14ac:dyDescent="0.35">
      <c r="A99" s="16" t="str">
        <f>IFERROR(INDEX('Raw Data'!AC:AC,MATCH($B99,'Raw Data'!$C:$C,0)),"-")</f>
        <v>Tipper</v>
      </c>
      <c r="B99" s="11" t="s">
        <v>94</v>
      </c>
      <c r="C99" s="12">
        <f>IFERROR(INDEX('Raw Data'!W:W,MATCH($B99,'Raw Data'!$C:$C,0)),"-")</f>
        <v>5975.69</v>
      </c>
      <c r="D99" s="18">
        <f>IFERROR(INDEX('Raw Data'!X:X,MATCH($B99,'Raw Data'!$C:$C,0)),"-")</f>
        <v>11.77952614</v>
      </c>
      <c r="E99" s="18">
        <f>IFERROR(INDEX('Raw Data'!Y:Y,MATCH($B99,'Raw Data'!$C:$C,0)),"-")</f>
        <v>5554.5212890000003</v>
      </c>
      <c r="F99" s="14">
        <f>IFERROR(INDEX('Raw Data'!F:F,MATCH($B99,'Raw Data'!$C:$C,0)),"-")</f>
        <v>475.92559999999997</v>
      </c>
      <c r="G99" s="12">
        <f>IFERROR(INDEX('Raw Data'!U:U,MATCH($B99,'Raw Data'!$C:$C,0)),"-")</f>
        <v>273</v>
      </c>
      <c r="H99" s="12">
        <f>IFERROR(INDEX('Raw Data'!R:R,MATCH($B99,'Raw Data'!$C:$C,0)),"-")</f>
        <v>37290.03</v>
      </c>
    </row>
    <row r="100" spans="1:8" ht="15" customHeight="1" x14ac:dyDescent="0.35">
      <c r="A100" s="15" t="str">
        <f>IFERROR(INDEX('Raw Data'!AC:AC,MATCH($B100,'Raw Data'!$C:$C,0)),"-")</f>
        <v>Tipper</v>
      </c>
      <c r="B100" s="7" t="s">
        <v>91</v>
      </c>
      <c r="C100" s="8">
        <f>IFERROR(INDEX('Raw Data'!W:W,MATCH($B100,'Raw Data'!$C:$C,0)),"-")</f>
        <v>5952.5199999999904</v>
      </c>
      <c r="D100" s="17">
        <f>IFERROR(INDEX('Raw Data'!X:X,MATCH($B100,'Raw Data'!$C:$C,0)),"-")</f>
        <v>12.0424516</v>
      </c>
      <c r="E100" s="17">
        <f>IFERROR(INDEX('Raw Data'!Y:Y,MATCH($B100,'Raw Data'!$C:$C,0)),"-")</f>
        <v>5388.7815303137904</v>
      </c>
      <c r="F100" s="10">
        <f>IFERROR(INDEX('Raw Data'!F:F,MATCH($B100,'Raw Data'!$C:$C,0)),"-")</f>
        <v>451.2921</v>
      </c>
      <c r="G100" s="8">
        <f>IFERROR(INDEX('Raw Data'!U:U,MATCH($B100,'Raw Data'!$C:$C,0)),"-")</f>
        <v>273</v>
      </c>
      <c r="H100" s="8">
        <f>IFERROR(INDEX('Raw Data'!R:R,MATCH($B100,'Raw Data'!$C:$C,0)),"-")</f>
        <v>35361.550000000003</v>
      </c>
    </row>
    <row r="101" spans="1:8" ht="15" customHeight="1" x14ac:dyDescent="0.35">
      <c r="A101" s="16" t="str">
        <f>IFERROR(INDEX('Raw Data'!AC:AC,MATCH($B101,'Raw Data'!$C:$C,0)),"-")</f>
        <v>Tipper</v>
      </c>
      <c r="B101" s="11" t="s">
        <v>99</v>
      </c>
      <c r="C101" s="12">
        <f>IFERROR(INDEX('Raw Data'!W:W,MATCH($B101,'Raw Data'!$C:$C,0)),"-")</f>
        <v>5926.25</v>
      </c>
      <c r="D101" s="18">
        <f>IFERROR(INDEX('Raw Data'!X:X,MATCH($B101,'Raw Data'!$C:$C,0)),"-")</f>
        <v>11.67022968</v>
      </c>
      <c r="E101" s="18">
        <f>IFERROR(INDEX('Raw Data'!Y:Y,MATCH($B101,'Raw Data'!$C:$C,0)),"-")</f>
        <v>5548.8324380000004</v>
      </c>
      <c r="F101" s="14">
        <f>IFERROR(INDEX('Raw Data'!F:F,MATCH($B101,'Raw Data'!$C:$C,0)),"-")</f>
        <v>481.81939999999997</v>
      </c>
      <c r="G101" s="12">
        <f>IFERROR(INDEX('Raw Data'!U:U,MATCH($B101,'Raw Data'!$C:$C,0)),"-")</f>
        <v>377</v>
      </c>
      <c r="H101" s="12">
        <f>IFERROR(INDEX('Raw Data'!R:R,MATCH($B101,'Raw Data'!$C:$C,0)),"-")</f>
        <v>38315.21</v>
      </c>
    </row>
    <row r="102" spans="1:8" ht="15" customHeight="1" x14ac:dyDescent="0.35">
      <c r="A102" s="15" t="str">
        <f>IFERROR(INDEX('Raw Data'!AC:AC,MATCH($B102,'Raw Data'!$C:$C,0)),"-")</f>
        <v>Tipper</v>
      </c>
      <c r="B102" s="7" t="s">
        <v>95</v>
      </c>
      <c r="C102" s="8">
        <f>IFERROR(INDEX('Raw Data'!W:W,MATCH($B102,'Raw Data'!$C:$C,0)),"-")</f>
        <v>5917.1999999999898</v>
      </c>
      <c r="D102" s="17">
        <f>IFERROR(INDEX('Raw Data'!X:X,MATCH($B102,'Raw Data'!$C:$C,0)),"-")</f>
        <v>11.581175289999999</v>
      </c>
      <c r="E102" s="17">
        <f>IFERROR(INDEX('Raw Data'!Y:Y,MATCH($B102,'Raw Data'!$C:$C,0)),"-")</f>
        <v>5362.7604979999996</v>
      </c>
      <c r="F102" s="10">
        <f>IFERROR(INDEX('Raw Data'!F:F,MATCH($B102,'Raw Data'!$C:$C,0)),"-")</f>
        <v>482.307199999999</v>
      </c>
      <c r="G102" s="8">
        <f>IFERROR(INDEX('Raw Data'!U:U,MATCH($B102,'Raw Data'!$C:$C,0)),"-")</f>
        <v>273</v>
      </c>
      <c r="H102" s="8">
        <f>IFERROR(INDEX('Raw Data'!R:R,MATCH($B102,'Raw Data'!$C:$C,0)),"-")</f>
        <v>36408.57</v>
      </c>
    </row>
    <row r="103" spans="1:8" ht="15" customHeight="1" x14ac:dyDescent="0.35">
      <c r="A103" s="16" t="str">
        <f>IFERROR(INDEX('Raw Data'!AC:AC,MATCH($B103,'Raw Data'!$C:$C,0)),"-")</f>
        <v>Dumper</v>
      </c>
      <c r="B103" s="11" t="s">
        <v>154</v>
      </c>
      <c r="C103" s="12">
        <f>IFERROR(INDEX('Raw Data'!W:W,MATCH($B103,'Raw Data'!$C:$C,0)),"-")</f>
        <v>5865.65</v>
      </c>
      <c r="D103" s="18">
        <f>IFERROR(INDEX('Raw Data'!X:X,MATCH($B103,'Raw Data'!$C:$C,0)),"-")</f>
        <v>16.482915869999999</v>
      </c>
      <c r="E103" s="18">
        <f>IFERROR(INDEX('Raw Data'!Y:Y,MATCH($B103,'Raw Data'!$C:$C,0)),"-")</f>
        <v>5470.2792419999996</v>
      </c>
      <c r="F103" s="14">
        <f>IFERROR(INDEX('Raw Data'!F:F,MATCH($B103,'Raw Data'!$C:$C,0)),"-")</f>
        <v>337.52280000000002</v>
      </c>
      <c r="G103" s="12">
        <f>IFERROR(INDEX('Raw Data'!U:U,MATCH($B103,'Raw Data'!$C:$C,0)),"-")</f>
        <v>21800</v>
      </c>
      <c r="H103" s="12">
        <f>IFERROR(INDEX('Raw Data'!R:R,MATCH($B103,'Raw Data'!$C:$C,0)),"-")</f>
        <v>0</v>
      </c>
    </row>
    <row r="104" spans="1:8" ht="15" customHeight="1" x14ac:dyDescent="0.35">
      <c r="A104" s="15" t="str">
        <f>IFERROR(INDEX('Raw Data'!AC:AC,MATCH($B104,'Raw Data'!$C:$C,0)),"-")</f>
        <v>Tipper</v>
      </c>
      <c r="B104" s="7" t="s">
        <v>72</v>
      </c>
      <c r="C104" s="8">
        <f>IFERROR(INDEX('Raw Data'!W:W,MATCH($B104,'Raw Data'!$C:$C,0)),"-")</f>
        <v>5811.6399999999903</v>
      </c>
      <c r="D104" s="17">
        <f>IFERROR(INDEX('Raw Data'!X:X,MATCH($B104,'Raw Data'!$C:$C,0)),"-")</f>
        <v>12.89939667</v>
      </c>
      <c r="E104" s="17">
        <f>IFERROR(INDEX('Raw Data'!Y:Y,MATCH($B104,'Raw Data'!$C:$C,0)),"-")</f>
        <v>5470.9746729999997</v>
      </c>
      <c r="F104" s="10">
        <f>IFERROR(INDEX('Raw Data'!F:F,MATCH($B104,'Raw Data'!$C:$C,0)),"-")</f>
        <v>427.98119999999898</v>
      </c>
      <c r="G104" s="8">
        <f>IFERROR(INDEX('Raw Data'!U:U,MATCH($B104,'Raw Data'!$C:$C,0)),"-")</f>
        <v>260</v>
      </c>
      <c r="H104" s="8">
        <f>IFERROR(INDEX('Raw Data'!R:R,MATCH($B104,'Raw Data'!$C:$C,0)),"-")</f>
        <v>32054.68</v>
      </c>
    </row>
    <row r="105" spans="1:8" ht="15" customHeight="1" x14ac:dyDescent="0.35">
      <c r="A105" s="16" t="str">
        <f>IFERROR(INDEX('Raw Data'!AC:AC,MATCH($B105,'Raw Data'!$C:$C,0)),"-")</f>
        <v>Tipper</v>
      </c>
      <c r="B105" s="11" t="s">
        <v>79</v>
      </c>
      <c r="C105" s="12">
        <f>IFERROR(INDEX('Raw Data'!W:W,MATCH($B105,'Raw Data'!$C:$C,0)),"-")</f>
        <v>5803.2999999999902</v>
      </c>
      <c r="D105" s="18">
        <f>IFERROR(INDEX('Raw Data'!X:X,MATCH($B105,'Raw Data'!$C:$C,0)),"-")</f>
        <v>13.2975847</v>
      </c>
      <c r="E105" s="18">
        <f>IFERROR(INDEX('Raw Data'!Y:Y,MATCH($B105,'Raw Data'!$C:$C,0)),"-")</f>
        <v>5533.6209930000005</v>
      </c>
      <c r="F105" s="14">
        <f>IFERROR(INDEX('Raw Data'!F:F,MATCH($B105,'Raw Data'!$C:$C,0)),"-")</f>
        <v>420.902099999999</v>
      </c>
      <c r="G105" s="12">
        <f>IFERROR(INDEX('Raw Data'!U:U,MATCH($B105,'Raw Data'!$C:$C,0)),"-")</f>
        <v>416</v>
      </c>
      <c r="H105" s="12">
        <f>IFERROR(INDEX('Raw Data'!R:R,MATCH($B105,'Raw Data'!$C:$C,0)),"-")</f>
        <v>31078.67</v>
      </c>
    </row>
    <row r="106" spans="1:8" ht="15" customHeight="1" x14ac:dyDescent="0.35">
      <c r="A106" s="15" t="str">
        <f>IFERROR(INDEX('Raw Data'!AC:AC,MATCH($B106,'Raw Data'!$C:$C,0)),"-")</f>
        <v>Dumper</v>
      </c>
      <c r="B106" s="7" t="s">
        <v>115</v>
      </c>
      <c r="C106" s="8">
        <f>IFERROR(INDEX('Raw Data'!W:W,MATCH($B106,'Raw Data'!$C:$C,0)),"-")</f>
        <v>5750.8</v>
      </c>
      <c r="D106" s="17">
        <f>IFERROR(INDEX('Raw Data'!X:X,MATCH($B106,'Raw Data'!$C:$C,0)),"-")</f>
        <v>16.449604990000001</v>
      </c>
      <c r="E106" s="17">
        <f>IFERROR(INDEX('Raw Data'!Y:Y,MATCH($B106,'Raw Data'!$C:$C,0)),"-")</f>
        <v>5074.7409740000003</v>
      </c>
      <c r="F106" s="10">
        <f>IFERROR(INDEX('Raw Data'!F:F,MATCH($B106,'Raw Data'!$C:$C,0)),"-")</f>
        <v>312.892</v>
      </c>
      <c r="G106" s="8">
        <f>IFERROR(INDEX('Raw Data'!U:U,MATCH($B106,'Raw Data'!$C:$C,0)),"-")</f>
        <v>7600</v>
      </c>
      <c r="H106" s="8">
        <f>IFERROR(INDEX('Raw Data'!R:R,MATCH($B106,'Raw Data'!$C:$C,0)),"-")</f>
        <v>6032.18</v>
      </c>
    </row>
    <row r="107" spans="1:8" ht="15" customHeight="1" x14ac:dyDescent="0.35">
      <c r="A107" s="16" t="str">
        <f>IFERROR(INDEX('Raw Data'!AC:AC,MATCH($B107,'Raw Data'!$C:$C,0)),"-")</f>
        <v>Dumper</v>
      </c>
      <c r="B107" s="11" t="s">
        <v>140</v>
      </c>
      <c r="C107" s="12">
        <f>IFERROR(INDEX('Raw Data'!W:W,MATCH($B107,'Raw Data'!$C:$C,0)),"-")</f>
        <v>5716.53999999999</v>
      </c>
      <c r="D107" s="18">
        <f>IFERROR(INDEX('Raw Data'!X:X,MATCH($B107,'Raw Data'!$C:$C,0)),"-")</f>
        <v>13.74365173</v>
      </c>
      <c r="E107" s="18">
        <f>IFERROR(INDEX('Raw Data'!Y:Y,MATCH($B107,'Raw Data'!$C:$C,0)),"-")</f>
        <v>5245.5986549999998</v>
      </c>
      <c r="F107" s="14">
        <f>IFERROR(INDEX('Raw Data'!F:F,MATCH($B107,'Raw Data'!$C:$C,0)),"-")</f>
        <v>412.81169999999997</v>
      </c>
      <c r="G107" s="12">
        <f>IFERROR(INDEX('Raw Data'!U:U,MATCH($B107,'Raw Data'!$C:$C,0)),"-")</f>
        <v>14775</v>
      </c>
      <c r="H107" s="12">
        <f>IFERROR(INDEX('Raw Data'!R:R,MATCH($B107,'Raw Data'!$C:$C,0)),"-")</f>
        <v>0</v>
      </c>
    </row>
    <row r="108" spans="1:8" ht="15" customHeight="1" x14ac:dyDescent="0.35">
      <c r="A108" s="15" t="str">
        <f>IFERROR(INDEX('Raw Data'!AC:AC,MATCH($B108,'Raw Data'!$C:$C,0)),"-")</f>
        <v>Dumper</v>
      </c>
      <c r="B108" s="7" t="s">
        <v>109</v>
      </c>
      <c r="C108" s="8">
        <f>IFERROR(INDEX('Raw Data'!W:W,MATCH($B108,'Raw Data'!$C:$C,0)),"-")</f>
        <v>5706.5199999999904</v>
      </c>
      <c r="D108" s="17">
        <f>IFERROR(INDEX('Raw Data'!X:X,MATCH($B108,'Raw Data'!$C:$C,0)),"-")</f>
        <v>13.859263820000001</v>
      </c>
      <c r="E108" s="17">
        <f>IFERROR(INDEX('Raw Data'!Y:Y,MATCH($B108,'Raw Data'!$C:$C,0)),"-")</f>
        <v>5291.9021059999995</v>
      </c>
      <c r="F108" s="10">
        <f>IFERROR(INDEX('Raw Data'!F:F,MATCH($B108,'Raw Data'!$C:$C,0)),"-")</f>
        <v>388.46319999999997</v>
      </c>
      <c r="G108" s="8">
        <f>IFERROR(INDEX('Raw Data'!U:U,MATCH($B108,'Raw Data'!$C:$C,0)),"-")</f>
        <v>17525</v>
      </c>
      <c r="H108" s="8">
        <f>IFERROR(INDEX('Raw Data'!R:R,MATCH($B108,'Raw Data'!$C:$C,0)),"-")</f>
        <v>0</v>
      </c>
    </row>
    <row r="109" spans="1:8" ht="15" customHeight="1" x14ac:dyDescent="0.35">
      <c r="A109" s="16" t="str">
        <f>IFERROR(INDEX('Raw Data'!AC:AC,MATCH($B109,'Raw Data'!$C:$C,0)),"-")</f>
        <v>Tipper</v>
      </c>
      <c r="B109" s="11" t="s">
        <v>62</v>
      </c>
      <c r="C109" s="12">
        <f>IFERROR(INDEX('Raw Data'!W:W,MATCH($B109,'Raw Data'!$C:$C,0)),"-")</f>
        <v>5693.21</v>
      </c>
      <c r="D109" s="18">
        <f>IFERROR(INDEX('Raw Data'!X:X,MATCH($B109,'Raw Data'!$C:$C,0)),"-")</f>
        <v>12.7452497</v>
      </c>
      <c r="E109" s="18">
        <f>IFERROR(INDEX('Raw Data'!Y:Y,MATCH($B109,'Raw Data'!$C:$C,0)),"-")</f>
        <v>5260.634951</v>
      </c>
      <c r="F109" s="14">
        <f>IFERROR(INDEX('Raw Data'!F:F,MATCH($B109,'Raw Data'!$C:$C,0)),"-")</f>
        <v>415.351</v>
      </c>
      <c r="G109" s="12">
        <f>IFERROR(INDEX('Raw Data'!U:U,MATCH($B109,'Raw Data'!$C:$C,0)),"-")</f>
        <v>195</v>
      </c>
      <c r="H109" s="12">
        <f>IFERROR(INDEX('Raw Data'!R:R,MATCH($B109,'Raw Data'!$C:$C,0)),"-")</f>
        <v>31975.759999999998</v>
      </c>
    </row>
    <row r="110" spans="1:8" ht="15" customHeight="1" x14ac:dyDescent="0.35">
      <c r="A110" s="15" t="str">
        <f>IFERROR(INDEX('Raw Data'!AC:AC,MATCH($B110,'Raw Data'!$C:$C,0)),"-")</f>
        <v>Dumper</v>
      </c>
      <c r="B110" s="7" t="s">
        <v>134</v>
      </c>
      <c r="C110" s="8">
        <f>IFERROR(INDEX('Raw Data'!W:W,MATCH($B110,'Raw Data'!$C:$C,0)),"-")</f>
        <v>5689.92</v>
      </c>
      <c r="D110" s="17">
        <f>IFERROR(INDEX('Raw Data'!X:X,MATCH($B110,'Raw Data'!$C:$C,0)),"-")</f>
        <v>15.158192209999999</v>
      </c>
      <c r="E110" s="17">
        <f>IFERROR(INDEX('Raw Data'!Y:Y,MATCH($B110,'Raw Data'!$C:$C,0)),"-")</f>
        <v>5232.7807549999998</v>
      </c>
      <c r="F110" s="10">
        <f>IFERROR(INDEX('Raw Data'!F:F,MATCH($B110,'Raw Data'!$C:$C,0)),"-")</f>
        <v>375.91739999999999</v>
      </c>
      <c r="G110" s="8">
        <f>IFERROR(INDEX('Raw Data'!U:U,MATCH($B110,'Raw Data'!$C:$C,0)),"-")</f>
        <v>11500</v>
      </c>
      <c r="H110" s="8">
        <f>IFERROR(INDEX('Raw Data'!R:R,MATCH($B110,'Raw Data'!$C:$C,0)),"-")</f>
        <v>5596.48</v>
      </c>
    </row>
    <row r="111" spans="1:8" ht="15" customHeight="1" x14ac:dyDescent="0.35">
      <c r="A111" s="16" t="str">
        <f>IFERROR(INDEX('Raw Data'!AC:AC,MATCH($B111,'Raw Data'!$C:$C,0)),"-")</f>
        <v>Tipper</v>
      </c>
      <c r="B111" s="11" t="s">
        <v>92</v>
      </c>
      <c r="C111" s="12">
        <f>IFERROR(INDEX('Raw Data'!W:W,MATCH($B111,'Raw Data'!$C:$C,0)),"-")</f>
        <v>5664.1799999999903</v>
      </c>
      <c r="D111" s="18">
        <f>IFERROR(INDEX('Raw Data'!X:X,MATCH($B111,'Raw Data'!$C:$C,0)),"-")</f>
        <v>11.454533980000001</v>
      </c>
      <c r="E111" s="18">
        <f>IFERROR(INDEX('Raw Data'!Y:Y,MATCH($B111,'Raw Data'!$C:$C,0)),"-")</f>
        <v>5053.3635389999999</v>
      </c>
      <c r="F111" s="14">
        <f>IFERROR(INDEX('Raw Data'!F:F,MATCH($B111,'Raw Data'!$C:$C,0)),"-")</f>
        <v>445.94719999999899</v>
      </c>
      <c r="G111" s="12">
        <f>IFERROR(INDEX('Raw Data'!U:U,MATCH($B111,'Raw Data'!$C:$C,0)),"-")</f>
        <v>390</v>
      </c>
      <c r="H111" s="12">
        <f>IFERROR(INDEX('Raw Data'!R:R,MATCH($B111,'Raw Data'!$C:$C,0)),"-")</f>
        <v>35805.86</v>
      </c>
    </row>
    <row r="112" spans="1:8" ht="15" customHeight="1" x14ac:dyDescent="0.35">
      <c r="A112" s="15" t="str">
        <f>IFERROR(INDEX('Raw Data'!AC:AC,MATCH($B112,'Raw Data'!$C:$C,0)),"-")</f>
        <v>Tipper</v>
      </c>
      <c r="B112" s="7" t="s">
        <v>73</v>
      </c>
      <c r="C112" s="8">
        <f>IFERROR(INDEX('Raw Data'!W:W,MATCH($B112,'Raw Data'!$C:$C,0)),"-")</f>
        <v>5607.7199999999903</v>
      </c>
      <c r="D112" s="17">
        <f>IFERROR(INDEX('Raw Data'!X:X,MATCH($B112,'Raw Data'!$C:$C,0)),"-")</f>
        <v>11.019660310000001</v>
      </c>
      <c r="E112" s="17">
        <f>IFERROR(INDEX('Raw Data'!Y:Y,MATCH($B112,'Raw Data'!$C:$C,0)),"-")</f>
        <v>5272.7223270000004</v>
      </c>
      <c r="F112" s="10">
        <f>IFERROR(INDEX('Raw Data'!F:F,MATCH($B112,'Raw Data'!$C:$C,0)),"-")</f>
        <v>483.8562</v>
      </c>
      <c r="G112" s="8">
        <f>IFERROR(INDEX('Raw Data'!U:U,MATCH($B112,'Raw Data'!$C:$C,0)),"-")</f>
        <v>195</v>
      </c>
      <c r="H112" s="8">
        <f>IFERROR(INDEX('Raw Data'!R:R,MATCH($B112,'Raw Data'!$C:$C,0)),"-")</f>
        <v>35317.760000000002</v>
      </c>
    </row>
    <row r="113" spans="1:8" ht="15" customHeight="1" x14ac:dyDescent="0.35">
      <c r="A113" s="16" t="str">
        <f>IFERROR(INDEX('Raw Data'!AC:AC,MATCH($B113,'Raw Data'!$C:$C,0)),"-")</f>
        <v>Tipper</v>
      </c>
      <c r="B113" s="11" t="s">
        <v>90</v>
      </c>
      <c r="C113" s="12">
        <f>IFERROR(INDEX('Raw Data'!W:W,MATCH($B113,'Raw Data'!$C:$C,0)),"-")</f>
        <v>5447.62</v>
      </c>
      <c r="D113" s="18">
        <f>IFERROR(INDEX('Raw Data'!X:X,MATCH($B113,'Raw Data'!$C:$C,0)),"-")</f>
        <v>12.080155919999999</v>
      </c>
      <c r="E113" s="18">
        <f>IFERROR(INDEX('Raw Data'!Y:Y,MATCH($B113,'Raw Data'!$C:$C,0)),"-")</f>
        <v>4832.4646359999997</v>
      </c>
      <c r="F113" s="14">
        <f>IFERROR(INDEX('Raw Data'!F:F,MATCH($B113,'Raw Data'!$C:$C,0)),"-")</f>
        <v>408.00899999999899</v>
      </c>
      <c r="G113" s="12">
        <f>IFERROR(INDEX('Raw Data'!U:U,MATCH($B113,'Raw Data'!$C:$C,0)),"-")</f>
        <v>26</v>
      </c>
      <c r="H113" s="12">
        <f>IFERROR(INDEX('Raw Data'!R:R,MATCH($B113,'Raw Data'!$C:$C,0)),"-")</f>
        <v>33020.449999999997</v>
      </c>
    </row>
    <row r="114" spans="1:8" ht="15" customHeight="1" x14ac:dyDescent="0.35">
      <c r="A114" s="15" t="str">
        <f>IFERROR(INDEX('Raw Data'!AC:AC,MATCH($B114,'Raw Data'!$C:$C,0)),"-")</f>
        <v>Tipper</v>
      </c>
      <c r="B114" s="7" t="s">
        <v>48</v>
      </c>
      <c r="C114" s="8">
        <f>IFERROR(INDEX('Raw Data'!W:W,MATCH($B114,'Raw Data'!$C:$C,0)),"-")</f>
        <v>5351.7199999999903</v>
      </c>
      <c r="D114" s="17">
        <f>IFERROR(INDEX('Raw Data'!X:X,MATCH($B114,'Raw Data'!$C:$C,0)),"-")</f>
        <v>13.17869717</v>
      </c>
      <c r="E114" s="17">
        <f>IFERROR(INDEX('Raw Data'!Y:Y,MATCH($B114,'Raw Data'!$C:$C,0)),"-")</f>
        <v>4952.6163349999997</v>
      </c>
      <c r="F114" s="10">
        <f>IFERROR(INDEX('Raw Data'!F:F,MATCH($B114,'Raw Data'!$C:$C,0)),"-")</f>
        <v>378.3587</v>
      </c>
      <c r="G114" s="8">
        <f>IFERROR(INDEX('Raw Data'!U:U,MATCH($B114,'Raw Data'!$C:$C,0)),"-")</f>
        <v>169</v>
      </c>
      <c r="H114" s="8">
        <f>IFERROR(INDEX('Raw Data'!R:R,MATCH($B114,'Raw Data'!$C:$C,0)),"-")</f>
        <v>29887.89</v>
      </c>
    </row>
    <row r="115" spans="1:8" ht="15" customHeight="1" x14ac:dyDescent="0.35">
      <c r="A115" s="16" t="str">
        <f>IFERROR(INDEX('Raw Data'!AC:AC,MATCH($B115,'Raw Data'!$C:$C,0)),"-")</f>
        <v>Dumper</v>
      </c>
      <c r="B115" s="11" t="s">
        <v>161</v>
      </c>
      <c r="C115" s="12">
        <f>IFERROR(INDEX('Raw Data'!W:W,MATCH($B115,'Raw Data'!$C:$C,0)),"-")</f>
        <v>5324.21</v>
      </c>
      <c r="D115" s="18">
        <f>IFERROR(INDEX('Raw Data'!X:X,MATCH($B115,'Raw Data'!$C:$C,0)),"-")</f>
        <v>14.866820990000001</v>
      </c>
      <c r="E115" s="18">
        <f>IFERROR(INDEX('Raw Data'!Y:Y,MATCH($B115,'Raw Data'!$C:$C,0)),"-")</f>
        <v>4944.7358809999996</v>
      </c>
      <c r="F115" s="14">
        <f>IFERROR(INDEX('Raw Data'!F:F,MATCH($B115,'Raw Data'!$C:$C,0)),"-")</f>
        <v>338.84350000000001</v>
      </c>
      <c r="G115" s="12">
        <f>IFERROR(INDEX('Raw Data'!U:U,MATCH($B115,'Raw Data'!$C:$C,0)),"-")</f>
        <v>21028</v>
      </c>
      <c r="H115" s="12">
        <f>IFERROR(INDEX('Raw Data'!R:R,MATCH($B115,'Raw Data'!$C:$C,0)),"-")</f>
        <v>0</v>
      </c>
    </row>
    <row r="116" spans="1:8" ht="15" customHeight="1" x14ac:dyDescent="0.35">
      <c r="A116" s="15" t="str">
        <f>IFERROR(INDEX('Raw Data'!AC:AC,MATCH($B116,'Raw Data'!$C:$C,0)),"-")</f>
        <v>Dumper</v>
      </c>
      <c r="B116" s="7" t="s">
        <v>111</v>
      </c>
      <c r="C116" s="8">
        <f>IFERROR(INDEX('Raw Data'!W:W,MATCH($B116,'Raw Data'!$C:$C,0)),"-")</f>
        <v>5283.88</v>
      </c>
      <c r="D116" s="17">
        <f>IFERROR(INDEX('Raw Data'!X:X,MATCH($B116,'Raw Data'!$C:$C,0)),"-")</f>
        <v>13.312787569999999</v>
      </c>
      <c r="E116" s="17">
        <f>IFERROR(INDEX('Raw Data'!Y:Y,MATCH($B116,'Raw Data'!$C:$C,0)),"-")</f>
        <v>4565.2850150000004</v>
      </c>
      <c r="F116" s="10">
        <f>IFERROR(INDEX('Raw Data'!F:F,MATCH($B116,'Raw Data'!$C:$C,0)),"-")</f>
        <v>347.3741</v>
      </c>
      <c r="G116" s="8">
        <f>IFERROR(INDEX('Raw Data'!U:U,MATCH($B116,'Raw Data'!$C:$C,0)),"-")</f>
        <v>18225</v>
      </c>
      <c r="H116" s="8">
        <f>IFERROR(INDEX('Raw Data'!R:R,MATCH($B116,'Raw Data'!$C:$C,0)),"-")</f>
        <v>0</v>
      </c>
    </row>
    <row r="117" spans="1:8" ht="15" customHeight="1" x14ac:dyDescent="0.35">
      <c r="A117" s="16" t="str">
        <f>IFERROR(INDEX('Raw Data'!AC:AC,MATCH($B117,'Raw Data'!$C:$C,0)),"-")</f>
        <v>Tipper</v>
      </c>
      <c r="B117" s="11" t="s">
        <v>98</v>
      </c>
      <c r="C117" s="12">
        <f>IFERROR(INDEX('Raw Data'!W:W,MATCH($B117,'Raw Data'!$C:$C,0)),"-")</f>
        <v>5174.9299999999903</v>
      </c>
      <c r="D117" s="18">
        <f>IFERROR(INDEX('Raw Data'!X:X,MATCH($B117,'Raw Data'!$C:$C,0)),"-")</f>
        <v>15.232057279999999</v>
      </c>
      <c r="E117" s="18">
        <f>IFERROR(INDEX('Raw Data'!Y:Y,MATCH($B117,'Raw Data'!$C:$C,0)),"-")</f>
        <v>4886.1210549999996</v>
      </c>
      <c r="F117" s="14">
        <f>IFERROR(INDEX('Raw Data'!F:F,MATCH($B117,'Raw Data'!$C:$C,0)),"-")</f>
        <v>329.812199999999</v>
      </c>
      <c r="G117" s="12">
        <f>IFERROR(INDEX('Raw Data'!U:U,MATCH($B117,'Raw Data'!$C:$C,0)),"-")</f>
        <v>299</v>
      </c>
      <c r="H117" s="12">
        <f>IFERROR(INDEX('Raw Data'!R:R,MATCH($B117,'Raw Data'!$C:$C,0)),"-")</f>
        <v>35980.239999999998</v>
      </c>
    </row>
    <row r="118" spans="1:8" ht="15" customHeight="1" x14ac:dyDescent="0.35">
      <c r="A118" s="15" t="str">
        <f>IFERROR(INDEX('Raw Data'!AC:AC,MATCH($B118,'Raw Data'!$C:$C,0)),"-")</f>
        <v>Tipper</v>
      </c>
      <c r="B118" s="7" t="s">
        <v>75</v>
      </c>
      <c r="C118" s="8">
        <f>IFERROR(INDEX('Raw Data'!W:W,MATCH($B118,'Raw Data'!$C:$C,0)),"-")</f>
        <v>5149.63</v>
      </c>
      <c r="D118" s="17">
        <f>IFERROR(INDEX('Raw Data'!X:X,MATCH($B118,'Raw Data'!$C:$C,0)),"-")</f>
        <v>10.37709862</v>
      </c>
      <c r="E118" s="17">
        <f>IFERROR(INDEX('Raw Data'!Y:Y,MATCH($B118,'Raw Data'!$C:$C,0)),"-")</f>
        <v>4935.1965959999998</v>
      </c>
      <c r="F118" s="10">
        <f>IFERROR(INDEX('Raw Data'!F:F,MATCH($B118,'Raw Data'!$C:$C,0)),"-")</f>
        <v>481.1311</v>
      </c>
      <c r="G118" s="8">
        <f>IFERROR(INDEX('Raw Data'!U:U,MATCH($B118,'Raw Data'!$C:$C,0)),"-")</f>
        <v>273</v>
      </c>
      <c r="H118" s="8">
        <f>IFERROR(INDEX('Raw Data'!R:R,MATCH($B118,'Raw Data'!$C:$C,0)),"-")</f>
        <v>30365.1</v>
      </c>
    </row>
    <row r="119" spans="1:8" ht="15" customHeight="1" x14ac:dyDescent="0.35">
      <c r="A119" s="16" t="str">
        <f>IFERROR(INDEX('Raw Data'!AC:AC,MATCH($B119,'Raw Data'!$C:$C,0)),"-")</f>
        <v>Tipper</v>
      </c>
      <c r="B119" s="11" t="s">
        <v>76</v>
      </c>
      <c r="C119" s="12">
        <f>IFERROR(INDEX('Raw Data'!W:W,MATCH($B119,'Raw Data'!$C:$C,0)),"-")</f>
        <v>5141.71</v>
      </c>
      <c r="D119" s="18">
        <f>IFERROR(INDEX('Raw Data'!X:X,MATCH($B119,'Raw Data'!$C:$C,0)),"-")</f>
        <v>9.998632937</v>
      </c>
      <c r="E119" s="18">
        <f>IFERROR(INDEX('Raw Data'!Y:Y,MATCH($B119,'Raw Data'!$C:$C,0)),"-")</f>
        <v>4607.0600999764101</v>
      </c>
      <c r="F119" s="14">
        <f>IFERROR(INDEX('Raw Data'!F:F,MATCH($B119,'Raw Data'!$C:$C,0)),"-")</f>
        <v>465.866299999999</v>
      </c>
      <c r="G119" s="12">
        <f>IFERROR(INDEX('Raw Data'!U:U,MATCH($B119,'Raw Data'!$C:$C,0)),"-")</f>
        <v>338</v>
      </c>
      <c r="H119" s="12">
        <f>IFERROR(INDEX('Raw Data'!R:R,MATCH($B119,'Raw Data'!$C:$C,0)),"-")</f>
        <v>29351.040000000001</v>
      </c>
    </row>
    <row r="120" spans="1:8" ht="15" customHeight="1" x14ac:dyDescent="0.35">
      <c r="A120" s="15" t="str">
        <f>IFERROR(INDEX('Raw Data'!AC:AC,MATCH($B120,'Raw Data'!$C:$C,0)),"-")</f>
        <v>Dumper</v>
      </c>
      <c r="B120" s="7" t="s">
        <v>108</v>
      </c>
      <c r="C120" s="8">
        <f>IFERROR(INDEX('Raw Data'!W:W,MATCH($B120,'Raw Data'!$C:$C,0)),"-")</f>
        <v>5133.2</v>
      </c>
      <c r="D120" s="17">
        <f>IFERROR(INDEX('Raw Data'!X:X,MATCH($B120,'Raw Data'!$C:$C,0)),"-")</f>
        <v>45.633474270000001</v>
      </c>
      <c r="E120" s="17">
        <f>IFERROR(INDEX('Raw Data'!Y:Y,MATCH($B120,'Raw Data'!$C:$C,0)),"-")</f>
        <v>4775.3696749999999</v>
      </c>
      <c r="F120" s="10">
        <f>IFERROR(INDEX('Raw Data'!F:F,MATCH($B120,'Raw Data'!$C:$C,0)),"-")</f>
        <v>107.5102</v>
      </c>
      <c r="G120" s="8">
        <f>IFERROR(INDEX('Raw Data'!U:U,MATCH($B120,'Raw Data'!$C:$C,0)),"-")</f>
        <v>15675</v>
      </c>
      <c r="H120" s="8">
        <f>IFERROR(INDEX('Raw Data'!R:R,MATCH($B120,'Raw Data'!$C:$C,0)),"-")</f>
        <v>0</v>
      </c>
    </row>
    <row r="121" spans="1:8" ht="15" customHeight="1" x14ac:dyDescent="0.35">
      <c r="A121" s="16" t="str">
        <f>IFERROR(INDEX('Raw Data'!AC:AC,MATCH($B121,'Raw Data'!$C:$C,0)),"-")</f>
        <v>Tipper</v>
      </c>
      <c r="B121" s="11" t="s">
        <v>55</v>
      </c>
      <c r="C121" s="12">
        <f>IFERROR(INDEX('Raw Data'!W:W,MATCH($B121,'Raw Data'!$C:$C,0)),"-")</f>
        <v>5125.1000000000004</v>
      </c>
      <c r="D121" s="18">
        <f>IFERROR(INDEX('Raw Data'!X:X,MATCH($B121,'Raw Data'!$C:$C,0)),"-")</f>
        <v>12.4315128</v>
      </c>
      <c r="E121" s="18">
        <f>IFERROR(INDEX('Raw Data'!Y:Y,MATCH($B121,'Raw Data'!$C:$C,0)),"-")</f>
        <v>4767.416784</v>
      </c>
      <c r="F121" s="14">
        <f>IFERROR(INDEX('Raw Data'!F:F,MATCH($B121,'Raw Data'!$C:$C,0)),"-")</f>
        <v>386.93040000000002</v>
      </c>
      <c r="G121" s="12">
        <f>IFERROR(INDEX('Raw Data'!U:U,MATCH($B121,'Raw Data'!$C:$C,0)),"-")</f>
        <v>13</v>
      </c>
      <c r="H121" s="12">
        <f>IFERROR(INDEX('Raw Data'!R:R,MATCH($B121,'Raw Data'!$C:$C,0)),"-")</f>
        <v>26791.13</v>
      </c>
    </row>
    <row r="122" spans="1:8" ht="15" customHeight="1" x14ac:dyDescent="0.35">
      <c r="A122" s="15" t="str">
        <f>IFERROR(INDEX('Raw Data'!AC:AC,MATCH($B122,'Raw Data'!$C:$C,0)),"-")</f>
        <v>Dumper</v>
      </c>
      <c r="B122" s="7" t="s">
        <v>147</v>
      </c>
      <c r="C122" s="8">
        <f>IFERROR(INDEX('Raw Data'!W:W,MATCH($B122,'Raw Data'!$C:$C,0)),"-")</f>
        <v>5119.8999999999996</v>
      </c>
      <c r="D122" s="17">
        <f>IFERROR(INDEX('Raw Data'!X:X,MATCH($B122,'Raw Data'!$C:$C,0)),"-")</f>
        <v>14.65717291</v>
      </c>
      <c r="E122" s="17">
        <f>IFERROR(INDEX('Raw Data'!Y:Y,MATCH($B122,'Raw Data'!$C:$C,0)),"-")</f>
        <v>4816.4056460000002</v>
      </c>
      <c r="F122" s="10">
        <f>IFERROR(INDEX('Raw Data'!F:F,MATCH($B122,'Raw Data'!$C:$C,0)),"-")</f>
        <v>331.72359999999901</v>
      </c>
      <c r="G122" s="8">
        <f>IFERROR(INDEX('Raw Data'!U:U,MATCH($B122,'Raw Data'!$C:$C,0)),"-")</f>
        <v>6775</v>
      </c>
      <c r="H122" s="8">
        <f>IFERROR(INDEX('Raw Data'!R:R,MATCH($B122,'Raw Data'!$C:$C,0)),"-")</f>
        <v>18135.36</v>
      </c>
    </row>
    <row r="123" spans="1:8" ht="15" customHeight="1" x14ac:dyDescent="0.35">
      <c r="A123" s="16" t="str">
        <f>IFERROR(INDEX('Raw Data'!AC:AC,MATCH($B123,'Raw Data'!$C:$C,0)),"-")</f>
        <v>Tipper</v>
      </c>
      <c r="B123" s="11" t="s">
        <v>65</v>
      </c>
      <c r="C123" s="12">
        <f>IFERROR(INDEX('Raw Data'!W:W,MATCH($B123,'Raw Data'!$C:$C,0)),"-")</f>
        <v>5087.5200000000004</v>
      </c>
      <c r="D123" s="18">
        <f>IFERROR(INDEX('Raw Data'!X:X,MATCH($B123,'Raw Data'!$C:$C,0)),"-")</f>
        <v>11.59975695</v>
      </c>
      <c r="E123" s="18">
        <f>IFERROR(INDEX('Raw Data'!Y:Y,MATCH($B123,'Raw Data'!$C:$C,0)),"-")</f>
        <v>4801.1915995061399</v>
      </c>
      <c r="F123" s="14">
        <f>IFERROR(INDEX('Raw Data'!F:F,MATCH($B123,'Raw Data'!$C:$C,0)),"-")</f>
        <v>417.73809999999997</v>
      </c>
      <c r="G123" s="12">
        <f>IFERROR(INDEX('Raw Data'!U:U,MATCH($B123,'Raw Data'!$C:$C,0)),"-")</f>
        <v>234</v>
      </c>
      <c r="H123" s="12">
        <f>IFERROR(INDEX('Raw Data'!R:R,MATCH($B123,'Raw Data'!$C:$C,0)),"-")</f>
        <v>26356.36</v>
      </c>
    </row>
    <row r="124" spans="1:8" ht="15" customHeight="1" x14ac:dyDescent="0.35">
      <c r="A124" s="15" t="str">
        <f>IFERROR(INDEX('Raw Data'!AC:AC,MATCH($B124,'Raw Data'!$C:$C,0)),"-")</f>
        <v>Tipper</v>
      </c>
      <c r="B124" s="7" t="s">
        <v>57</v>
      </c>
      <c r="C124" s="8">
        <f>IFERROR(INDEX('Raw Data'!W:W,MATCH($B124,'Raw Data'!$C:$C,0)),"-")</f>
        <v>5075.87</v>
      </c>
      <c r="D124" s="17">
        <f>IFERROR(INDEX('Raw Data'!X:X,MATCH($B124,'Raw Data'!$C:$C,0)),"-")</f>
        <v>11.667465050000001</v>
      </c>
      <c r="E124" s="17">
        <f>IFERROR(INDEX('Raw Data'!Y:Y,MATCH($B124,'Raw Data'!$C:$C,0)),"-")</f>
        <v>4718.8315679999996</v>
      </c>
      <c r="F124" s="10">
        <f>IFERROR(INDEX('Raw Data'!F:F,MATCH($B124,'Raw Data'!$C:$C,0)),"-")</f>
        <v>407.02699999999999</v>
      </c>
      <c r="G124" s="8">
        <f>IFERROR(INDEX('Raw Data'!U:U,MATCH($B124,'Raw Data'!$C:$C,0)),"-")</f>
        <v>208</v>
      </c>
      <c r="H124" s="8">
        <f>IFERROR(INDEX('Raw Data'!R:R,MATCH($B124,'Raw Data'!$C:$C,0)),"-")</f>
        <v>28054.12</v>
      </c>
    </row>
    <row r="125" spans="1:8" ht="15" customHeight="1" x14ac:dyDescent="0.35">
      <c r="A125" s="16" t="str">
        <f>IFERROR(INDEX('Raw Data'!AC:AC,MATCH($B125,'Raw Data'!$C:$C,0)),"-")</f>
        <v>Tipper</v>
      </c>
      <c r="B125" s="11" t="s">
        <v>66</v>
      </c>
      <c r="C125" s="12">
        <f>IFERROR(INDEX('Raw Data'!W:W,MATCH($B125,'Raw Data'!$C:$C,0)),"-")</f>
        <v>5050.7299999999996</v>
      </c>
      <c r="D125" s="18">
        <f>IFERROR(INDEX('Raw Data'!X:X,MATCH($B125,'Raw Data'!$C:$C,0)),"-")</f>
        <v>11.190841410000001</v>
      </c>
      <c r="E125" s="18">
        <f>IFERROR(INDEX('Raw Data'!Y:Y,MATCH($B125,'Raw Data'!$C:$C,0)),"-")</f>
        <v>4667.500755</v>
      </c>
      <c r="F125" s="14">
        <f>IFERROR(INDEX('Raw Data'!F:F,MATCH($B125,'Raw Data'!$C:$C,0)),"-")</f>
        <v>420.1748</v>
      </c>
      <c r="G125" s="12">
        <f>IFERROR(INDEX('Raw Data'!U:U,MATCH($B125,'Raw Data'!$C:$C,0)),"-")</f>
        <v>273</v>
      </c>
      <c r="H125" s="12">
        <f>IFERROR(INDEX('Raw Data'!R:R,MATCH($B125,'Raw Data'!$C:$C,0)),"-")</f>
        <v>28507.45</v>
      </c>
    </row>
    <row r="126" spans="1:8" ht="15" customHeight="1" x14ac:dyDescent="0.35">
      <c r="A126" s="15" t="str">
        <f>IFERROR(INDEX('Raw Data'!AC:AC,MATCH($B126,'Raw Data'!$C:$C,0)),"-")</f>
        <v>Excavator</v>
      </c>
      <c r="B126" s="7" t="s">
        <v>221</v>
      </c>
      <c r="C126" s="8">
        <f>IFERROR(INDEX('Raw Data'!W:W,MATCH($B126,'Raw Data'!$C:$C,0)),"-")</f>
        <v>5018.4799999999896</v>
      </c>
      <c r="D126" s="17">
        <f>IFERROR(INDEX('Raw Data'!X:X,MATCH($B126,'Raw Data'!$C:$C,0)),"-")</f>
        <v>27.881048530000001</v>
      </c>
      <c r="E126" s="17">
        <f>IFERROR(INDEX('Raw Data'!Y:Y,MATCH($B126,'Raw Data'!$C:$C,0)),"-")</f>
        <v>5018.4799999999896</v>
      </c>
      <c r="F126" s="10">
        <f>IFERROR(INDEX('Raw Data'!F:F,MATCH($B126,'Raw Data'!$C:$C,0)),"-")</f>
        <v>186.123999999999</v>
      </c>
      <c r="G126" s="8">
        <f>IFERROR(INDEX('Raw Data'!U:U,MATCH($B126,'Raw Data'!$C:$C,0)),"-")</f>
        <v>0</v>
      </c>
      <c r="H126" s="8">
        <f>IFERROR(INDEX('Raw Data'!R:R,MATCH($B126,'Raw Data'!$C:$C,0)),"-")</f>
        <v>0</v>
      </c>
    </row>
    <row r="127" spans="1:8" ht="15" customHeight="1" x14ac:dyDescent="0.35">
      <c r="A127" s="16" t="str">
        <f>IFERROR(INDEX('Raw Data'!AC:AC,MATCH($B127,'Raw Data'!$C:$C,0)),"-")</f>
        <v>Tipper</v>
      </c>
      <c r="B127" s="11" t="s">
        <v>84</v>
      </c>
      <c r="C127" s="12">
        <f>IFERROR(INDEX('Raw Data'!W:W,MATCH($B127,'Raw Data'!$C:$C,0)),"-")</f>
        <v>4985.8099999999904</v>
      </c>
      <c r="D127" s="18">
        <f>IFERROR(INDEX('Raw Data'!X:X,MATCH($B127,'Raw Data'!$C:$C,0)),"-")</f>
        <v>12.343539789999999</v>
      </c>
      <c r="E127" s="18">
        <f>IFERROR(INDEX('Raw Data'!Y:Y,MATCH($B127,'Raw Data'!$C:$C,0)),"-")</f>
        <v>4694.8937509999996</v>
      </c>
      <c r="F127" s="14">
        <f>IFERROR(INDEX('Raw Data'!F:F,MATCH($B127,'Raw Data'!$C:$C,0)),"-")</f>
        <v>383.14729999999997</v>
      </c>
      <c r="G127" s="12">
        <f>IFERROR(INDEX('Raw Data'!U:U,MATCH($B127,'Raw Data'!$C:$C,0)),"-")</f>
        <v>39</v>
      </c>
      <c r="H127" s="12">
        <f>IFERROR(INDEX('Raw Data'!R:R,MATCH($B127,'Raw Data'!$C:$C,0)),"-")</f>
        <v>26207.47</v>
      </c>
    </row>
    <row r="128" spans="1:8" ht="15" customHeight="1" x14ac:dyDescent="0.35">
      <c r="A128" s="15" t="str">
        <f>IFERROR(INDEX('Raw Data'!AC:AC,MATCH($B128,'Raw Data'!$C:$C,0)),"-")</f>
        <v>Dumper</v>
      </c>
      <c r="B128" s="7" t="s">
        <v>127</v>
      </c>
      <c r="C128" s="8">
        <f>IFERROR(INDEX('Raw Data'!W:W,MATCH($B128,'Raw Data'!$C:$C,0)),"-")</f>
        <v>4953.9799999999996</v>
      </c>
      <c r="D128" s="17">
        <f>IFERROR(INDEX('Raw Data'!X:X,MATCH($B128,'Raw Data'!$C:$C,0)),"-")</f>
        <v>14.08211206</v>
      </c>
      <c r="E128" s="17">
        <f>IFERROR(INDEX('Raw Data'!Y:Y,MATCH($B128,'Raw Data'!$C:$C,0)),"-")</f>
        <v>4563.2126559999997</v>
      </c>
      <c r="F128" s="10">
        <f>IFERROR(INDEX('Raw Data'!F:F,MATCH($B128,'Raw Data'!$C:$C,0)),"-")</f>
        <v>328.99400000000003</v>
      </c>
      <c r="G128" s="8">
        <f>IFERROR(INDEX('Raw Data'!U:U,MATCH($B128,'Raw Data'!$C:$C,0)),"-")</f>
        <v>11700</v>
      </c>
      <c r="H128" s="8">
        <f>IFERROR(INDEX('Raw Data'!R:R,MATCH($B128,'Raw Data'!$C:$C,0)),"-")</f>
        <v>0</v>
      </c>
    </row>
    <row r="129" spans="1:8" ht="15" customHeight="1" x14ac:dyDescent="0.35">
      <c r="A129" s="16" t="str">
        <f>IFERROR(INDEX('Raw Data'!AC:AC,MATCH($B129,'Raw Data'!$C:$C,0)),"-")</f>
        <v>Dumper</v>
      </c>
      <c r="B129" s="11" t="s">
        <v>106</v>
      </c>
      <c r="C129" s="12">
        <f>IFERROR(INDEX('Raw Data'!W:W,MATCH($B129,'Raw Data'!$C:$C,0)),"-")</f>
        <v>4924.08</v>
      </c>
      <c r="D129" s="18">
        <f>IFERROR(INDEX('Raw Data'!X:X,MATCH($B129,'Raw Data'!$C:$C,0)),"-")</f>
        <v>13.22021339</v>
      </c>
      <c r="E129" s="18">
        <f>IFERROR(INDEX('Raw Data'!Y:Y,MATCH($B129,'Raw Data'!$C:$C,0)),"-")</f>
        <v>4230.7128579999999</v>
      </c>
      <c r="F129" s="14">
        <f>IFERROR(INDEX('Raw Data'!F:F,MATCH($B129,'Raw Data'!$C:$C,0)),"-")</f>
        <v>324.69979999999902</v>
      </c>
      <c r="G129" s="12">
        <f>IFERROR(INDEX('Raw Data'!U:U,MATCH($B129,'Raw Data'!$C:$C,0)),"-")</f>
        <v>16025</v>
      </c>
      <c r="H129" s="12">
        <f>IFERROR(INDEX('Raw Data'!R:R,MATCH($B129,'Raw Data'!$C:$C,0)),"-")</f>
        <v>0</v>
      </c>
    </row>
    <row r="130" spans="1:8" ht="15" customHeight="1" x14ac:dyDescent="0.35">
      <c r="A130" s="15" t="str">
        <f>IFERROR(INDEX('Raw Data'!AC:AC,MATCH($B130,'Raw Data'!$C:$C,0)),"-")</f>
        <v>Tipper</v>
      </c>
      <c r="B130" s="7" t="s">
        <v>60</v>
      </c>
      <c r="C130" s="8">
        <f>IFERROR(INDEX('Raw Data'!W:W,MATCH($B130,'Raw Data'!$C:$C,0)),"-")</f>
        <v>4872.5</v>
      </c>
      <c r="D130" s="17">
        <f>IFERROR(INDEX('Raw Data'!X:X,MATCH($B130,'Raw Data'!$C:$C,0)),"-")</f>
        <v>11.73259272</v>
      </c>
      <c r="E130" s="17">
        <f>IFERROR(INDEX('Raw Data'!Y:Y,MATCH($B130,'Raw Data'!$C:$C,0)),"-")</f>
        <v>4564.397422</v>
      </c>
      <c r="F130" s="10">
        <f>IFERROR(INDEX('Raw Data'!F:F,MATCH($B130,'Raw Data'!$C:$C,0)),"-")</f>
        <v>392.62689999999998</v>
      </c>
      <c r="G130" s="8">
        <f>IFERROR(INDEX('Raw Data'!U:U,MATCH($B130,'Raw Data'!$C:$C,0)),"-")</f>
        <v>221</v>
      </c>
      <c r="H130" s="8">
        <f>IFERROR(INDEX('Raw Data'!R:R,MATCH($B130,'Raw Data'!$C:$C,0)),"-")</f>
        <v>27129.200000000001</v>
      </c>
    </row>
    <row r="131" spans="1:8" ht="15" customHeight="1" x14ac:dyDescent="0.35">
      <c r="A131" s="16" t="str">
        <f>IFERROR(INDEX('Raw Data'!AC:AC,MATCH($B131,'Raw Data'!$C:$C,0)),"-")</f>
        <v>Dumper</v>
      </c>
      <c r="B131" s="11" t="s">
        <v>105</v>
      </c>
      <c r="C131" s="12">
        <f>IFERROR(INDEX('Raw Data'!W:W,MATCH($B131,'Raw Data'!$C:$C,0)),"-")</f>
        <v>4868.84</v>
      </c>
      <c r="D131" s="18">
        <f>IFERROR(INDEX('Raw Data'!X:X,MATCH($B131,'Raw Data'!$C:$C,0)),"-")</f>
        <v>13.40806184</v>
      </c>
      <c r="E131" s="18">
        <f>IFERROR(INDEX('Raw Data'!Y:Y,MATCH($B131,'Raw Data'!$C:$C,0)),"-")</f>
        <v>4309.761364</v>
      </c>
      <c r="F131" s="14">
        <f>IFERROR(INDEX('Raw Data'!F:F,MATCH($B131,'Raw Data'!$C:$C,0)),"-")</f>
        <v>351.22909999999899</v>
      </c>
      <c r="G131" s="12">
        <f>IFERROR(INDEX('Raw Data'!U:U,MATCH($B131,'Raw Data'!$C:$C,0)),"-")</f>
        <v>14625</v>
      </c>
      <c r="H131" s="12">
        <f>IFERROR(INDEX('Raw Data'!R:R,MATCH($B131,'Raw Data'!$C:$C,0)),"-")</f>
        <v>0</v>
      </c>
    </row>
    <row r="132" spans="1:8" ht="15" customHeight="1" x14ac:dyDescent="0.35">
      <c r="A132" s="15" t="str">
        <f>IFERROR(INDEX('Raw Data'!AC:AC,MATCH($B132,'Raw Data'!$C:$C,0)),"-")</f>
        <v>Tipper</v>
      </c>
      <c r="B132" s="7" t="s">
        <v>46</v>
      </c>
      <c r="C132" s="8">
        <f>IFERROR(INDEX('Raw Data'!W:W,MATCH($B132,'Raw Data'!$C:$C,0)),"-")</f>
        <v>4859.03</v>
      </c>
      <c r="D132" s="17">
        <f>IFERROR(INDEX('Raw Data'!X:X,MATCH($B132,'Raw Data'!$C:$C,0)),"-")</f>
        <v>13.2148276</v>
      </c>
      <c r="E132" s="17">
        <f>IFERROR(INDEX('Raw Data'!Y:Y,MATCH($B132,'Raw Data'!$C:$C,0)),"-")</f>
        <v>4552.6653660000002</v>
      </c>
      <c r="F132" s="10">
        <f>IFERROR(INDEX('Raw Data'!F:F,MATCH($B132,'Raw Data'!$C:$C,0)),"-")</f>
        <v>349.68949999999899</v>
      </c>
      <c r="G132" s="8">
        <f>IFERROR(INDEX('Raw Data'!U:U,MATCH($B132,'Raw Data'!$C:$C,0)),"-")</f>
        <v>338</v>
      </c>
      <c r="H132" s="8">
        <f>IFERROR(INDEX('Raw Data'!R:R,MATCH($B132,'Raw Data'!$C:$C,0)),"-")</f>
        <v>25848.05</v>
      </c>
    </row>
    <row r="133" spans="1:8" ht="15" customHeight="1" x14ac:dyDescent="0.35">
      <c r="A133" s="16" t="str">
        <f>IFERROR(INDEX('Raw Data'!AC:AC,MATCH($B133,'Raw Data'!$C:$C,0)),"-")</f>
        <v>Tipper</v>
      </c>
      <c r="B133" s="11" t="s">
        <v>88</v>
      </c>
      <c r="C133" s="12">
        <f>IFERROR(INDEX('Raw Data'!W:W,MATCH($B133,'Raw Data'!$C:$C,0)),"-")</f>
        <v>4788.42</v>
      </c>
      <c r="D133" s="18">
        <f>IFERROR(INDEX('Raw Data'!X:X,MATCH($B133,'Raw Data'!$C:$C,0)),"-")</f>
        <v>13.653280990000001</v>
      </c>
      <c r="E133" s="18">
        <f>IFERROR(INDEX('Raw Data'!Y:Y,MATCH($B133,'Raw Data'!$C:$C,0)),"-")</f>
        <v>4284.8733439999996</v>
      </c>
      <c r="F133" s="14">
        <f>IFERROR(INDEX('Raw Data'!F:F,MATCH($B133,'Raw Data'!$C:$C,0)),"-")</f>
        <v>316.88709999999998</v>
      </c>
      <c r="G133" s="12">
        <f>IFERROR(INDEX('Raw Data'!U:U,MATCH($B133,'Raw Data'!$C:$C,0)),"-")</f>
        <v>52</v>
      </c>
      <c r="H133" s="12">
        <f>IFERROR(INDEX('Raw Data'!R:R,MATCH($B133,'Raw Data'!$C:$C,0)),"-")</f>
        <v>23656.97</v>
      </c>
    </row>
    <row r="134" spans="1:8" ht="15" customHeight="1" x14ac:dyDescent="0.35">
      <c r="A134" s="15" t="str">
        <f>IFERROR(INDEX('Raw Data'!AC:AC,MATCH($B134,'Raw Data'!$C:$C,0)),"-")</f>
        <v>Dumper</v>
      </c>
      <c r="B134" s="7" t="s">
        <v>112</v>
      </c>
      <c r="C134" s="8">
        <f>IFERROR(INDEX('Raw Data'!W:W,MATCH($B134,'Raw Data'!$C:$C,0)),"-")</f>
        <v>4780.41</v>
      </c>
      <c r="D134" s="17">
        <f>IFERROR(INDEX('Raw Data'!X:X,MATCH($B134,'Raw Data'!$C:$C,0)),"-")</f>
        <v>15.70305894</v>
      </c>
      <c r="E134" s="17">
        <f>IFERROR(INDEX('Raw Data'!Y:Y,MATCH($B134,'Raw Data'!$C:$C,0)),"-")</f>
        <v>4238.8853010000003</v>
      </c>
      <c r="F134" s="10">
        <f>IFERROR(INDEX('Raw Data'!F:F,MATCH($B134,'Raw Data'!$C:$C,0)),"-")</f>
        <v>273.12349999999901</v>
      </c>
      <c r="G134" s="8">
        <f>IFERROR(INDEX('Raw Data'!U:U,MATCH($B134,'Raw Data'!$C:$C,0)),"-")</f>
        <v>11300</v>
      </c>
      <c r="H134" s="8">
        <f>IFERROR(INDEX('Raw Data'!R:R,MATCH($B134,'Raw Data'!$C:$C,0)),"-")</f>
        <v>7972.8</v>
      </c>
    </row>
    <row r="135" spans="1:8" ht="15" customHeight="1" x14ac:dyDescent="0.35">
      <c r="A135" s="16" t="str">
        <f>IFERROR(INDEX('Raw Data'!AC:AC,MATCH($B135,'Raw Data'!$C:$C,0)),"-")</f>
        <v>Dumper</v>
      </c>
      <c r="B135" s="11" t="s">
        <v>102</v>
      </c>
      <c r="C135" s="12">
        <f>IFERROR(INDEX('Raw Data'!W:W,MATCH($B135,'Raw Data'!$C:$C,0)),"-")</f>
        <v>4774.25</v>
      </c>
      <c r="D135" s="18">
        <f>IFERROR(INDEX('Raw Data'!X:X,MATCH($B135,'Raw Data'!$C:$C,0)),"-")</f>
        <v>14.81623432</v>
      </c>
      <c r="E135" s="18">
        <f>IFERROR(INDEX('Raw Data'!Y:Y,MATCH($B135,'Raw Data'!$C:$C,0)),"-")</f>
        <v>4430.0407260000002</v>
      </c>
      <c r="F135" s="14">
        <f>IFERROR(INDEX('Raw Data'!F:F,MATCH($B135,'Raw Data'!$C:$C,0)),"-")</f>
        <v>302.988799999999</v>
      </c>
      <c r="G135" s="12">
        <f>IFERROR(INDEX('Raw Data'!U:U,MATCH($B135,'Raw Data'!$C:$C,0)),"-")</f>
        <v>5900</v>
      </c>
      <c r="H135" s="12">
        <f>IFERROR(INDEX('Raw Data'!R:R,MATCH($B135,'Raw Data'!$C:$C,0)),"-")</f>
        <v>5167.7</v>
      </c>
    </row>
    <row r="136" spans="1:8" ht="15" customHeight="1" x14ac:dyDescent="0.35">
      <c r="A136" s="15" t="str">
        <f>IFERROR(INDEX('Raw Data'!AC:AC,MATCH($B136,'Raw Data'!$C:$C,0)),"-")</f>
        <v>Front End Loader</v>
      </c>
      <c r="B136" s="7" t="s">
        <v>187</v>
      </c>
      <c r="C136" s="8">
        <f>IFERROR(INDEX('Raw Data'!W:W,MATCH($B136,'Raw Data'!$C:$C,0)),"-")</f>
        <v>4677.07</v>
      </c>
      <c r="D136" s="17">
        <f>IFERROR(INDEX('Raw Data'!X:X,MATCH($B136,'Raw Data'!$C:$C,0)),"-")</f>
        <v>23.08542417</v>
      </c>
      <c r="E136" s="17">
        <f>IFERROR(INDEX('Raw Data'!Y:Y,MATCH($B136,'Raw Data'!$C:$C,0)),"-")</f>
        <v>4523.1387001822304</v>
      </c>
      <c r="F136" s="10">
        <f>IFERROR(INDEX('Raw Data'!F:F,MATCH($B136,'Raw Data'!$C:$C,0)),"-")</f>
        <v>197.72040000000001</v>
      </c>
      <c r="G136" s="8">
        <f>IFERROR(INDEX('Raw Data'!U:U,MATCH($B136,'Raw Data'!$C:$C,0)),"-")</f>
        <v>0</v>
      </c>
      <c r="H136" s="8">
        <f>IFERROR(INDEX('Raw Data'!R:R,MATCH($B136,'Raw Data'!$C:$C,0)),"-")</f>
        <v>0</v>
      </c>
    </row>
    <row r="137" spans="1:8" ht="15" customHeight="1" x14ac:dyDescent="0.35">
      <c r="A137" s="16" t="str">
        <f>IFERROR(INDEX('Raw Data'!AC:AC,MATCH($B137,'Raw Data'!$C:$C,0)),"-")</f>
        <v>Tipper</v>
      </c>
      <c r="B137" s="11" t="s">
        <v>59</v>
      </c>
      <c r="C137" s="12">
        <f>IFERROR(INDEX('Raw Data'!W:W,MATCH($B137,'Raw Data'!$C:$C,0)),"-")</f>
        <v>4627.8999999999896</v>
      </c>
      <c r="D137" s="18">
        <f>IFERROR(INDEX('Raw Data'!X:X,MATCH($B137,'Raw Data'!$C:$C,0)),"-")</f>
        <v>10.51333823</v>
      </c>
      <c r="E137" s="18">
        <f>IFERROR(INDEX('Raw Data'!Y:Y,MATCH($B137,'Raw Data'!$C:$C,0)),"-")</f>
        <v>4236.1320150000001</v>
      </c>
      <c r="F137" s="14">
        <f>IFERROR(INDEX('Raw Data'!F:F,MATCH($B137,'Raw Data'!$C:$C,0)),"-")</f>
        <v>406.77600000000001</v>
      </c>
      <c r="G137" s="12">
        <f>IFERROR(INDEX('Raw Data'!U:U,MATCH($B137,'Raw Data'!$C:$C,0)),"-")</f>
        <v>221</v>
      </c>
      <c r="H137" s="12">
        <f>IFERROR(INDEX('Raw Data'!R:R,MATCH($B137,'Raw Data'!$C:$C,0)),"-")</f>
        <v>27052.400000000001</v>
      </c>
    </row>
    <row r="138" spans="1:8" ht="15" customHeight="1" x14ac:dyDescent="0.35">
      <c r="A138" s="15" t="str">
        <f>IFERROR(INDEX('Raw Data'!AC:AC,MATCH($B138,'Raw Data'!$C:$C,0)),"-")</f>
        <v>Dumper</v>
      </c>
      <c r="B138" s="7" t="s">
        <v>116</v>
      </c>
      <c r="C138" s="8">
        <f>IFERROR(INDEX('Raw Data'!W:W,MATCH($B138,'Raw Data'!$C:$C,0)),"-")</f>
        <v>4572.28</v>
      </c>
      <c r="D138" s="17">
        <f>IFERROR(INDEX('Raw Data'!X:X,MATCH($B138,'Raw Data'!$C:$C,0)),"-")</f>
        <v>13.513458399999999</v>
      </c>
      <c r="E138" s="17">
        <f>IFERROR(INDEX('Raw Data'!Y:Y,MATCH($B138,'Raw Data'!$C:$C,0)),"-")</f>
        <v>4227.1030289999999</v>
      </c>
      <c r="F138" s="10">
        <f>IFERROR(INDEX('Raw Data'!F:F,MATCH($B138,'Raw Data'!$C:$C,0)),"-")</f>
        <v>318.24779999999998</v>
      </c>
      <c r="G138" s="8">
        <f>IFERROR(INDEX('Raw Data'!U:U,MATCH($B138,'Raw Data'!$C:$C,0)),"-")</f>
        <v>15600</v>
      </c>
      <c r="H138" s="8">
        <f>IFERROR(INDEX('Raw Data'!R:R,MATCH($B138,'Raw Data'!$C:$C,0)),"-")</f>
        <v>0</v>
      </c>
    </row>
    <row r="139" spans="1:8" ht="15" customHeight="1" x14ac:dyDescent="0.35">
      <c r="A139" s="16" t="str">
        <f>IFERROR(INDEX('Raw Data'!AC:AC,MATCH($B139,'Raw Data'!$C:$C,0)),"-")</f>
        <v>Tipper</v>
      </c>
      <c r="B139" s="11" t="s">
        <v>64</v>
      </c>
      <c r="C139" s="12">
        <f>IFERROR(INDEX('Raw Data'!W:W,MATCH($B139,'Raw Data'!$C:$C,0)),"-")</f>
        <v>4529.63</v>
      </c>
      <c r="D139" s="18">
        <f>IFERROR(INDEX('Raw Data'!X:X,MATCH($B139,'Raw Data'!$C:$C,0)),"-")</f>
        <v>12.936569929999999</v>
      </c>
      <c r="E139" s="18">
        <f>IFERROR(INDEX('Raw Data'!Y:Y,MATCH($B139,'Raw Data'!$C:$C,0)),"-")</f>
        <v>4334.356358</v>
      </c>
      <c r="F139" s="14">
        <f>IFERROR(INDEX('Raw Data'!F:F,MATCH($B139,'Raw Data'!$C:$C,0)),"-")</f>
        <v>340.51679999999902</v>
      </c>
      <c r="G139" s="12">
        <f>IFERROR(INDEX('Raw Data'!U:U,MATCH($B139,'Raw Data'!$C:$C,0)),"-")</f>
        <v>195</v>
      </c>
      <c r="H139" s="12">
        <f>IFERROR(INDEX('Raw Data'!R:R,MATCH($B139,'Raw Data'!$C:$C,0)),"-")</f>
        <v>22021.64</v>
      </c>
    </row>
    <row r="140" spans="1:8" ht="15" customHeight="1" x14ac:dyDescent="0.35">
      <c r="A140" s="15" t="str">
        <f>IFERROR(INDEX('Raw Data'!AC:AC,MATCH($B140,'Raw Data'!$C:$C,0)),"-")</f>
        <v>Excavator</v>
      </c>
      <c r="B140" s="7" t="s">
        <v>204</v>
      </c>
      <c r="C140" s="8">
        <f>IFERROR(INDEX('Raw Data'!W:W,MATCH($B140,'Raw Data'!$C:$C,0)),"-")</f>
        <v>4518.3599999999897</v>
      </c>
      <c r="D140" s="17">
        <f>IFERROR(INDEX('Raw Data'!X:X,MATCH($B140,'Raw Data'!$C:$C,0)),"-")</f>
        <v>33.173669930000003</v>
      </c>
      <c r="E140" s="17">
        <f>IFERROR(INDEX('Raw Data'!Y:Y,MATCH($B140,'Raw Data'!$C:$C,0)),"-")</f>
        <v>4518.3599999999897</v>
      </c>
      <c r="F140" s="10">
        <f>IFERROR(INDEX('Raw Data'!F:F,MATCH($B140,'Raw Data'!$C:$C,0)),"-")</f>
        <v>142.10159999999999</v>
      </c>
      <c r="G140" s="8">
        <f>IFERROR(INDEX('Raw Data'!U:U,MATCH($B140,'Raw Data'!$C:$C,0)),"-")</f>
        <v>0</v>
      </c>
      <c r="H140" s="8">
        <f>IFERROR(INDEX('Raw Data'!R:R,MATCH($B140,'Raw Data'!$C:$C,0)),"-")</f>
        <v>0</v>
      </c>
    </row>
    <row r="141" spans="1:8" ht="15" customHeight="1" x14ac:dyDescent="0.35">
      <c r="A141" s="16" t="str">
        <f>IFERROR(INDEX('Raw Data'!AC:AC,MATCH($B141,'Raw Data'!$C:$C,0)),"-")</f>
        <v>Tipper</v>
      </c>
      <c r="B141" s="11" t="s">
        <v>71</v>
      </c>
      <c r="C141" s="12">
        <f>IFERROR(INDEX('Raw Data'!W:W,MATCH($B141,'Raw Data'!$C:$C,0)),"-")</f>
        <v>4460.2700000000004</v>
      </c>
      <c r="D141" s="18">
        <f>IFERROR(INDEX('Raw Data'!X:X,MATCH($B141,'Raw Data'!$C:$C,0)),"-")</f>
        <v>11.35545357</v>
      </c>
      <c r="E141" s="18">
        <f>IFERROR(INDEX('Raw Data'!Y:Y,MATCH($B141,'Raw Data'!$C:$C,0)),"-")</f>
        <v>4192.4209680000004</v>
      </c>
      <c r="F141" s="14">
        <f>IFERROR(INDEX('Raw Data'!F:F,MATCH($B141,'Raw Data'!$C:$C,0)),"-")</f>
        <v>371.76919999999899</v>
      </c>
      <c r="G141" s="12">
        <f>IFERROR(INDEX('Raw Data'!U:U,MATCH($B141,'Raw Data'!$C:$C,0)),"-")</f>
        <v>65</v>
      </c>
      <c r="H141" s="12">
        <f>IFERROR(INDEX('Raw Data'!R:R,MATCH($B141,'Raw Data'!$C:$C,0)),"-")</f>
        <v>25924.33</v>
      </c>
    </row>
    <row r="142" spans="1:8" ht="15" customHeight="1" x14ac:dyDescent="0.35">
      <c r="A142" s="15" t="str">
        <f>IFERROR(INDEX('Raw Data'!AC:AC,MATCH($B142,'Raw Data'!$C:$C,0)),"-")</f>
        <v>Tipper</v>
      </c>
      <c r="B142" s="7" t="s">
        <v>53</v>
      </c>
      <c r="C142" s="8">
        <f>IFERROR(INDEX('Raw Data'!W:W,MATCH($B142,'Raw Data'!$C:$C,0)),"-")</f>
        <v>4440.8299999999899</v>
      </c>
      <c r="D142" s="17">
        <f>IFERROR(INDEX('Raw Data'!X:X,MATCH($B142,'Raw Data'!$C:$C,0)),"-")</f>
        <v>10.908669740000001</v>
      </c>
      <c r="E142" s="17">
        <f>IFERROR(INDEX('Raw Data'!Y:Y,MATCH($B142,'Raw Data'!$C:$C,0)),"-")</f>
        <v>4213.5064130000001</v>
      </c>
      <c r="F142" s="10">
        <f>IFERROR(INDEX('Raw Data'!F:F,MATCH($B142,'Raw Data'!$C:$C,0)),"-")</f>
        <v>389.5718</v>
      </c>
      <c r="G142" s="8">
        <f>IFERROR(INDEX('Raw Data'!U:U,MATCH($B142,'Raw Data'!$C:$C,0)),"-")</f>
        <v>39</v>
      </c>
      <c r="H142" s="8">
        <f>IFERROR(INDEX('Raw Data'!R:R,MATCH($B142,'Raw Data'!$C:$C,0)),"-")</f>
        <v>26961.75</v>
      </c>
    </row>
    <row r="143" spans="1:8" ht="15" customHeight="1" x14ac:dyDescent="0.35">
      <c r="A143" s="16" t="str">
        <f>IFERROR(INDEX('Raw Data'!AC:AC,MATCH($B143,'Raw Data'!$C:$C,0)),"-")</f>
        <v>Tipper</v>
      </c>
      <c r="B143" s="11" t="s">
        <v>58</v>
      </c>
      <c r="C143" s="12">
        <f>IFERROR(INDEX('Raw Data'!W:W,MATCH($B143,'Raw Data'!$C:$C,0)),"-")</f>
        <v>4422.87</v>
      </c>
      <c r="D143" s="18">
        <f>IFERROR(INDEX('Raw Data'!X:X,MATCH($B143,'Raw Data'!$C:$C,0)),"-")</f>
        <v>10.974958839999999</v>
      </c>
      <c r="E143" s="18">
        <f>IFERROR(INDEX('Raw Data'!Y:Y,MATCH($B143,'Raw Data'!$C:$C,0)),"-")</f>
        <v>4071.5407150000001</v>
      </c>
      <c r="F143" s="14">
        <f>IFERROR(INDEX('Raw Data'!F:F,MATCH($B143,'Raw Data'!$C:$C,0)),"-")</f>
        <v>374.626699999999</v>
      </c>
      <c r="G143" s="12">
        <f>IFERROR(INDEX('Raw Data'!U:U,MATCH($B143,'Raw Data'!$C:$C,0)),"-")</f>
        <v>208</v>
      </c>
      <c r="H143" s="12">
        <f>IFERROR(INDEX('Raw Data'!R:R,MATCH($B143,'Raw Data'!$C:$C,0)),"-")</f>
        <v>25008.01</v>
      </c>
    </row>
    <row r="144" spans="1:8" ht="15" customHeight="1" x14ac:dyDescent="0.35">
      <c r="A144" s="15" t="str">
        <f>IFERROR(INDEX('Raw Data'!AC:AC,MATCH($B144,'Raw Data'!$C:$C,0)),"-")</f>
        <v>Tipper</v>
      </c>
      <c r="B144" s="7" t="s">
        <v>56</v>
      </c>
      <c r="C144" s="8">
        <f>IFERROR(INDEX('Raw Data'!W:W,MATCH($B144,'Raw Data'!$C:$C,0)),"-")</f>
        <v>4285.6499999999996</v>
      </c>
      <c r="D144" s="17">
        <f>IFERROR(INDEX('Raw Data'!X:X,MATCH($B144,'Raw Data'!$C:$C,0)),"-")</f>
        <v>11.989515730000001</v>
      </c>
      <c r="E144" s="17">
        <f>IFERROR(INDEX('Raw Data'!Y:Y,MATCH($B144,'Raw Data'!$C:$C,0)),"-")</f>
        <v>4077.340557</v>
      </c>
      <c r="F144" s="10">
        <f>IFERROR(INDEX('Raw Data'!F:F,MATCH($B144,'Raw Data'!$C:$C,0)),"-")</f>
        <v>342.9477</v>
      </c>
      <c r="G144" s="8">
        <f>IFERROR(INDEX('Raw Data'!U:U,MATCH($B144,'Raw Data'!$C:$C,0)),"-")</f>
        <v>208</v>
      </c>
      <c r="H144" s="8">
        <f>IFERROR(INDEX('Raw Data'!R:R,MATCH($B144,'Raw Data'!$C:$C,0)),"-")</f>
        <v>22463.279999999999</v>
      </c>
    </row>
    <row r="145" spans="1:8" ht="15" customHeight="1" x14ac:dyDescent="0.35">
      <c r="A145" s="16" t="str">
        <f>IFERROR(INDEX('Raw Data'!AC:AC,MATCH($B145,'Raw Data'!$C:$C,0)),"-")</f>
        <v>Tipper</v>
      </c>
      <c r="B145" s="11" t="s">
        <v>51</v>
      </c>
      <c r="C145" s="12">
        <f>IFERROR(INDEX('Raw Data'!W:W,MATCH($B145,'Raw Data'!$C:$C,0)),"-")</f>
        <v>4245.16</v>
      </c>
      <c r="D145" s="18">
        <f>IFERROR(INDEX('Raw Data'!X:X,MATCH($B145,'Raw Data'!$C:$C,0)),"-")</f>
        <v>13.72418246</v>
      </c>
      <c r="E145" s="18">
        <f>IFERROR(INDEX('Raw Data'!Y:Y,MATCH($B145,'Raw Data'!$C:$C,0)),"-")</f>
        <v>3937.8632029999999</v>
      </c>
      <c r="F145" s="14">
        <f>IFERROR(INDEX('Raw Data'!F:F,MATCH($B145,'Raw Data'!$C:$C,0)),"-")</f>
        <v>290.28219999999902</v>
      </c>
      <c r="G145" s="12">
        <f>IFERROR(INDEX('Raw Data'!U:U,MATCH($B145,'Raw Data'!$C:$C,0)),"-")</f>
        <v>208</v>
      </c>
      <c r="H145" s="12">
        <f>IFERROR(INDEX('Raw Data'!R:R,MATCH($B145,'Raw Data'!$C:$C,0)),"-")</f>
        <v>23067.46</v>
      </c>
    </row>
    <row r="146" spans="1:8" ht="15" customHeight="1" x14ac:dyDescent="0.35">
      <c r="A146" s="15" t="str">
        <f>IFERROR(INDEX('Raw Data'!AC:AC,MATCH($B146,'Raw Data'!$C:$C,0)),"-")</f>
        <v>Tipper</v>
      </c>
      <c r="B146" s="7" t="s">
        <v>80</v>
      </c>
      <c r="C146" s="8">
        <f>IFERROR(INDEX('Raw Data'!W:W,MATCH($B146,'Raw Data'!$C:$C,0)),"-")</f>
        <v>4240.46</v>
      </c>
      <c r="D146" s="17">
        <f>IFERROR(INDEX('Raw Data'!X:X,MATCH($B146,'Raw Data'!$C:$C,0)),"-")</f>
        <v>12.44427097</v>
      </c>
      <c r="E146" s="17">
        <f>IFERROR(INDEX('Raw Data'!Y:Y,MATCH($B146,'Raw Data'!$C:$C,0)),"-")</f>
        <v>3852.758738</v>
      </c>
      <c r="F146" s="10">
        <f>IFERROR(INDEX('Raw Data'!F:F,MATCH($B146,'Raw Data'!$C:$C,0)),"-")</f>
        <v>312.11519999999899</v>
      </c>
      <c r="G146" s="8">
        <f>IFERROR(INDEX('Raw Data'!U:U,MATCH($B146,'Raw Data'!$C:$C,0)),"-")</f>
        <v>208</v>
      </c>
      <c r="H146" s="8">
        <f>IFERROR(INDEX('Raw Data'!R:R,MATCH($B146,'Raw Data'!$C:$C,0)),"-")</f>
        <v>23261.81</v>
      </c>
    </row>
    <row r="147" spans="1:8" ht="15" customHeight="1" x14ac:dyDescent="0.35">
      <c r="A147" s="16" t="str">
        <f>IFERROR(INDEX('Raw Data'!AC:AC,MATCH($B147,'Raw Data'!$C:$C,0)),"-")</f>
        <v>Tipper</v>
      </c>
      <c r="B147" s="11" t="s">
        <v>63</v>
      </c>
      <c r="C147" s="12">
        <f>IFERROR(INDEX('Raw Data'!W:W,MATCH($B147,'Raw Data'!$C:$C,0)),"-")</f>
        <v>4148.93</v>
      </c>
      <c r="D147" s="18">
        <f>IFERROR(INDEX('Raw Data'!X:X,MATCH($B147,'Raw Data'!$C:$C,0)),"-")</f>
        <v>10.77806807</v>
      </c>
      <c r="E147" s="18">
        <f>IFERROR(INDEX('Raw Data'!Y:Y,MATCH($B147,'Raw Data'!$C:$C,0)),"-")</f>
        <v>3889.4512450000002</v>
      </c>
      <c r="F147" s="14">
        <f>IFERROR(INDEX('Raw Data'!F:F,MATCH($B147,'Raw Data'!$C:$C,0)),"-")</f>
        <v>363.47980000000001</v>
      </c>
      <c r="G147" s="12">
        <f>IFERROR(INDEX('Raw Data'!U:U,MATCH($B147,'Raw Data'!$C:$C,0)),"-")</f>
        <v>182</v>
      </c>
      <c r="H147" s="12">
        <f>IFERROR(INDEX('Raw Data'!R:R,MATCH($B147,'Raw Data'!$C:$C,0)),"-")</f>
        <v>24043.69</v>
      </c>
    </row>
    <row r="148" spans="1:8" ht="15" customHeight="1" x14ac:dyDescent="0.35">
      <c r="A148" s="15" t="str">
        <f>IFERROR(INDEX('Raw Data'!AC:AC,MATCH($B148,'Raw Data'!$C:$C,0)),"-")</f>
        <v>Dumper</v>
      </c>
      <c r="B148" s="7" t="s">
        <v>121</v>
      </c>
      <c r="C148" s="8">
        <f>IFERROR(INDEX('Raw Data'!W:W,MATCH($B148,'Raw Data'!$C:$C,0)),"-")</f>
        <v>4115.75</v>
      </c>
      <c r="D148" s="17">
        <f>IFERROR(INDEX('Raw Data'!X:X,MATCH($B148,'Raw Data'!$C:$C,0)),"-")</f>
        <v>14.90655312</v>
      </c>
      <c r="E148" s="17">
        <f>IFERROR(INDEX('Raw Data'!Y:Y,MATCH($B148,'Raw Data'!$C:$C,0)),"-")</f>
        <v>3688.958987</v>
      </c>
      <c r="F148" s="10">
        <f>IFERROR(INDEX('Raw Data'!F:F,MATCH($B148,'Raw Data'!$C:$C,0)),"-")</f>
        <v>252.1198</v>
      </c>
      <c r="G148" s="8">
        <f>IFERROR(INDEX('Raw Data'!U:U,MATCH($B148,'Raw Data'!$C:$C,0)),"-")</f>
        <v>8600</v>
      </c>
      <c r="H148" s="8">
        <f>IFERROR(INDEX('Raw Data'!R:R,MATCH($B148,'Raw Data'!$C:$C,0)),"-")</f>
        <v>0</v>
      </c>
    </row>
    <row r="149" spans="1:8" ht="15" customHeight="1" x14ac:dyDescent="0.35">
      <c r="A149" s="16" t="str">
        <f>IFERROR(INDEX('Raw Data'!AC:AC,MATCH($B149,'Raw Data'!$C:$C,0)),"-")</f>
        <v>Tipper</v>
      </c>
      <c r="B149" s="11" t="s">
        <v>69</v>
      </c>
      <c r="C149" s="12">
        <f>IFERROR(INDEX('Raw Data'!W:W,MATCH($B149,'Raw Data'!$C:$C,0)),"-")</f>
        <v>4001.65</v>
      </c>
      <c r="D149" s="18">
        <f>IFERROR(INDEX('Raw Data'!X:X,MATCH($B149,'Raw Data'!$C:$C,0)),"-")</f>
        <v>11.571773390000001</v>
      </c>
      <c r="E149" s="18">
        <f>IFERROR(INDEX('Raw Data'!Y:Y,MATCH($B149,'Raw Data'!$C:$C,0)),"-")</f>
        <v>3749.8377959999998</v>
      </c>
      <c r="F149" s="14">
        <f>IFERROR(INDEX('Raw Data'!F:F,MATCH($B149,'Raw Data'!$C:$C,0)),"-")</f>
        <v>335.27099999999899</v>
      </c>
      <c r="G149" s="12">
        <f>IFERROR(INDEX('Raw Data'!U:U,MATCH($B149,'Raw Data'!$C:$C,0)),"-")</f>
        <v>26</v>
      </c>
      <c r="H149" s="12">
        <f>IFERROR(INDEX('Raw Data'!R:R,MATCH($B149,'Raw Data'!$C:$C,0)),"-")</f>
        <v>21284.98</v>
      </c>
    </row>
    <row r="150" spans="1:8" ht="15" customHeight="1" x14ac:dyDescent="0.35">
      <c r="A150" s="15" t="str">
        <f>IFERROR(INDEX('Raw Data'!AC:AC,MATCH($B150,'Raw Data'!$C:$C,0)),"-")</f>
        <v>Dumper</v>
      </c>
      <c r="B150" s="7" t="s">
        <v>131</v>
      </c>
      <c r="C150" s="8">
        <f>IFERROR(INDEX('Raw Data'!W:W,MATCH($B150,'Raw Data'!$C:$C,0)),"-")</f>
        <v>3912.6799999999898</v>
      </c>
      <c r="D150" s="17">
        <f>IFERROR(INDEX('Raw Data'!X:X,MATCH($B150,'Raw Data'!$C:$C,0)),"-")</f>
        <v>19.691691370000001</v>
      </c>
      <c r="E150" s="17">
        <f>IFERROR(INDEX('Raw Data'!Y:Y,MATCH($B150,'Raw Data'!$C:$C,0)),"-")</f>
        <v>3520.7286979999999</v>
      </c>
      <c r="F150" s="10">
        <f>IFERROR(INDEX('Raw Data'!F:F,MATCH($B150,'Raw Data'!$C:$C,0)),"-")</f>
        <v>205.92619999999999</v>
      </c>
      <c r="G150" s="8">
        <f>IFERROR(INDEX('Raw Data'!U:U,MATCH($B150,'Raw Data'!$C:$C,0)),"-")</f>
        <v>8775</v>
      </c>
      <c r="H150" s="8">
        <f>IFERROR(INDEX('Raw Data'!R:R,MATCH($B150,'Raw Data'!$C:$C,0)),"-")</f>
        <v>5323.72</v>
      </c>
    </row>
    <row r="151" spans="1:8" ht="15" customHeight="1" x14ac:dyDescent="0.35">
      <c r="A151" s="16" t="str">
        <f>IFERROR(INDEX('Raw Data'!AC:AC,MATCH($B151,'Raw Data'!$C:$C,0)),"-")</f>
        <v>Dumper</v>
      </c>
      <c r="B151" s="11" t="s">
        <v>118</v>
      </c>
      <c r="C151" s="12">
        <f>IFERROR(INDEX('Raw Data'!W:W,MATCH($B151,'Raw Data'!$C:$C,0)),"-")</f>
        <v>3836.37</v>
      </c>
      <c r="D151" s="18">
        <f>IFERROR(INDEX('Raw Data'!X:X,MATCH($B151,'Raw Data'!$C:$C,0)),"-")</f>
        <v>70.388622949999998</v>
      </c>
      <c r="E151" s="18">
        <f>IFERROR(INDEX('Raw Data'!Y:Y,MATCH($B151,'Raw Data'!$C:$C,0)),"-")</f>
        <v>3504.4031759999998</v>
      </c>
      <c r="F151" s="14">
        <f>IFERROR(INDEX('Raw Data'!F:F,MATCH($B151,'Raw Data'!$C:$C,0)),"-")</f>
        <v>51.465899999999998</v>
      </c>
      <c r="G151" s="12">
        <f>IFERROR(INDEX('Raw Data'!U:U,MATCH($B151,'Raw Data'!$C:$C,0)),"-")</f>
        <v>8750</v>
      </c>
      <c r="H151" s="12">
        <f>IFERROR(INDEX('Raw Data'!R:R,MATCH($B151,'Raw Data'!$C:$C,0)),"-")</f>
        <v>0</v>
      </c>
    </row>
    <row r="152" spans="1:8" ht="15" customHeight="1" x14ac:dyDescent="0.35">
      <c r="A152" s="15" t="str">
        <f>IFERROR(INDEX('Raw Data'!AC:AC,MATCH($B152,'Raw Data'!$C:$C,0)),"-")</f>
        <v>Dumper</v>
      </c>
      <c r="B152" s="7" t="s">
        <v>132</v>
      </c>
      <c r="C152" s="8">
        <f>IFERROR(INDEX('Raw Data'!W:W,MATCH($B152,'Raw Data'!$C:$C,0)),"-")</f>
        <v>3804.0499999999902</v>
      </c>
      <c r="D152" s="17">
        <f>IFERROR(INDEX('Raw Data'!X:X,MATCH($B152,'Raw Data'!$C:$C,0)),"-")</f>
        <v>14.953009099999999</v>
      </c>
      <c r="E152" s="17">
        <f>IFERROR(INDEX('Raw Data'!Y:Y,MATCH($B152,'Raw Data'!$C:$C,0)),"-")</f>
        <v>3469.8801530000001</v>
      </c>
      <c r="F152" s="10">
        <f>IFERROR(INDEX('Raw Data'!F:F,MATCH($B152,'Raw Data'!$C:$C,0)),"-")</f>
        <v>262.46440000000001</v>
      </c>
      <c r="G152" s="8">
        <f>IFERROR(INDEX('Raw Data'!U:U,MATCH($B152,'Raw Data'!$C:$C,0)),"-")</f>
        <v>12450</v>
      </c>
      <c r="H152" s="8">
        <f>IFERROR(INDEX('Raw Data'!R:R,MATCH($B152,'Raw Data'!$C:$C,0)),"-")</f>
        <v>0</v>
      </c>
    </row>
    <row r="153" spans="1:8" ht="15" customHeight="1" x14ac:dyDescent="0.35">
      <c r="A153" s="16" t="str">
        <f>IFERROR(INDEX('Raw Data'!AC:AC,MATCH($B153,'Raw Data'!$C:$C,0)),"-")</f>
        <v>Dumper</v>
      </c>
      <c r="B153" s="11" t="s">
        <v>126</v>
      </c>
      <c r="C153" s="12">
        <f>IFERROR(INDEX('Raw Data'!W:W,MATCH($B153,'Raw Data'!$C:$C,0)),"-")</f>
        <v>3751.70999999999</v>
      </c>
      <c r="D153" s="18">
        <f>IFERROR(INDEX('Raw Data'!X:X,MATCH($B153,'Raw Data'!$C:$C,0)),"-")</f>
        <v>13.290188840000001</v>
      </c>
      <c r="E153" s="18">
        <f>IFERROR(INDEX('Raw Data'!Y:Y,MATCH($B153,'Raw Data'!$C:$C,0)),"-")</f>
        <v>3234.8412659999999</v>
      </c>
      <c r="F153" s="14">
        <f>IFERROR(INDEX('Raw Data'!F:F,MATCH($B153,'Raw Data'!$C:$C,0)),"-")</f>
        <v>248.66319999999899</v>
      </c>
      <c r="G153" s="12">
        <f>IFERROR(INDEX('Raw Data'!U:U,MATCH($B153,'Raw Data'!$C:$C,0)),"-")</f>
        <v>9625</v>
      </c>
      <c r="H153" s="12">
        <f>IFERROR(INDEX('Raw Data'!R:R,MATCH($B153,'Raw Data'!$C:$C,0)),"-")</f>
        <v>2358.92</v>
      </c>
    </row>
    <row r="154" spans="1:8" ht="15" customHeight="1" x14ac:dyDescent="0.35">
      <c r="A154" s="15" t="str">
        <f>IFERROR(INDEX('Raw Data'!AC:AC,MATCH($B154,'Raw Data'!$C:$C,0)),"-")</f>
        <v>Tipper</v>
      </c>
      <c r="B154" s="7" t="s">
        <v>89</v>
      </c>
      <c r="C154" s="8">
        <f>IFERROR(INDEX('Raw Data'!W:W,MATCH($B154,'Raw Data'!$C:$C,0)),"-")</f>
        <v>3746.3699999999899</v>
      </c>
      <c r="D154" s="17">
        <f>IFERROR(INDEX('Raw Data'!X:X,MATCH($B154,'Raw Data'!$C:$C,0)),"-")</f>
        <v>12.631409659999999</v>
      </c>
      <c r="E154" s="17">
        <f>IFERROR(INDEX('Raw Data'!Y:Y,MATCH($B154,'Raw Data'!$C:$C,0)),"-")</f>
        <v>3396.9965769999999</v>
      </c>
      <c r="F154" s="10">
        <f>IFERROR(INDEX('Raw Data'!F:F,MATCH($B154,'Raw Data'!$C:$C,0)),"-")</f>
        <v>271.25469999999899</v>
      </c>
      <c r="G154" s="8">
        <f>IFERROR(INDEX('Raw Data'!U:U,MATCH($B154,'Raw Data'!$C:$C,0)),"-")</f>
        <v>208</v>
      </c>
      <c r="H154" s="8">
        <f>IFERROR(INDEX('Raw Data'!R:R,MATCH($B154,'Raw Data'!$C:$C,0)),"-")</f>
        <v>17978.62</v>
      </c>
    </row>
    <row r="155" spans="1:8" ht="15" customHeight="1" x14ac:dyDescent="0.35">
      <c r="A155" s="16" t="str">
        <f>IFERROR(INDEX('Raw Data'!AC:AC,MATCH($B155,'Raw Data'!$C:$C,0)),"-")</f>
        <v>Dumper</v>
      </c>
      <c r="B155" s="11" t="s">
        <v>103</v>
      </c>
      <c r="C155" s="12">
        <f>IFERROR(INDEX('Raw Data'!W:W,MATCH($B155,'Raw Data'!$C:$C,0)),"-")</f>
        <v>3718.28999999999</v>
      </c>
      <c r="D155" s="18">
        <f>IFERROR(INDEX('Raw Data'!X:X,MATCH($B155,'Raw Data'!$C:$C,0)),"-")</f>
        <v>15.25543684</v>
      </c>
      <c r="E155" s="18">
        <f>IFERROR(INDEX('Raw Data'!Y:Y,MATCH($B155,'Raw Data'!$C:$C,0)),"-")</f>
        <v>3412.082872</v>
      </c>
      <c r="F155" s="14">
        <f>IFERROR(INDEX('Raw Data'!F:F,MATCH($B155,'Raw Data'!$C:$C,0)),"-")</f>
        <v>226.72899999999899</v>
      </c>
      <c r="G155" s="12">
        <f>IFERROR(INDEX('Raw Data'!U:U,MATCH($B155,'Raw Data'!$C:$C,0)),"-")</f>
        <v>11850</v>
      </c>
      <c r="H155" s="12">
        <f>IFERROR(INDEX('Raw Data'!R:R,MATCH($B155,'Raw Data'!$C:$C,0)),"-")</f>
        <v>5063.18</v>
      </c>
    </row>
    <row r="156" spans="1:8" ht="15" customHeight="1" x14ac:dyDescent="0.35">
      <c r="A156" s="15" t="str">
        <f>IFERROR(INDEX('Raw Data'!AC:AC,MATCH($B156,'Raw Data'!$C:$C,0)),"-")</f>
        <v>Dumper</v>
      </c>
      <c r="B156" s="7" t="s">
        <v>123</v>
      </c>
      <c r="C156" s="8">
        <f>IFERROR(INDEX('Raw Data'!W:W,MATCH($B156,'Raw Data'!$C:$C,0)),"-")</f>
        <v>3680.97999999999</v>
      </c>
      <c r="D156" s="17">
        <f>IFERROR(INDEX('Raw Data'!X:X,MATCH($B156,'Raw Data'!$C:$C,0)),"-")</f>
        <v>12.942212230000001</v>
      </c>
      <c r="E156" s="17">
        <f>IFERROR(INDEX('Raw Data'!Y:Y,MATCH($B156,'Raw Data'!$C:$C,0)),"-")</f>
        <v>3143.2957929999998</v>
      </c>
      <c r="F156" s="10">
        <f>IFERROR(INDEX('Raw Data'!F:F,MATCH($B156,'Raw Data'!$C:$C,0)),"-")</f>
        <v>273.6182</v>
      </c>
      <c r="G156" s="8">
        <f>IFERROR(INDEX('Raw Data'!U:U,MATCH($B156,'Raw Data'!$C:$C,0)),"-")</f>
        <v>8425</v>
      </c>
      <c r="H156" s="8">
        <f>IFERROR(INDEX('Raw Data'!R:R,MATCH($B156,'Raw Data'!$C:$C,0)),"-")</f>
        <v>0</v>
      </c>
    </row>
    <row r="157" spans="1:8" ht="15" customHeight="1" x14ac:dyDescent="0.35">
      <c r="A157" s="16" t="str">
        <f>IFERROR(INDEX('Raw Data'!AC:AC,MATCH($B157,'Raw Data'!$C:$C,0)),"-")</f>
        <v>Dumper</v>
      </c>
      <c r="B157" s="11" t="s">
        <v>141</v>
      </c>
      <c r="C157" s="12">
        <f>IFERROR(INDEX('Raw Data'!W:W,MATCH($B157,'Raw Data'!$C:$C,0)),"-")</f>
        <v>3544.22</v>
      </c>
      <c r="D157" s="18">
        <f>IFERROR(INDEX('Raw Data'!X:X,MATCH($B157,'Raw Data'!$C:$C,0)),"-")</f>
        <v>22.026553280000002</v>
      </c>
      <c r="E157" s="18">
        <f>IFERROR(INDEX('Raw Data'!Y:Y,MATCH($B157,'Raw Data'!$C:$C,0)),"-")</f>
        <v>3326.2562419999999</v>
      </c>
      <c r="F157" s="14">
        <f>IFERROR(INDEX('Raw Data'!F:F,MATCH($B157,'Raw Data'!$C:$C,0)),"-")</f>
        <v>154.4436</v>
      </c>
      <c r="G157" s="12">
        <f>IFERROR(INDEX('Raw Data'!U:U,MATCH($B157,'Raw Data'!$C:$C,0)),"-")</f>
        <v>7825</v>
      </c>
      <c r="H157" s="12">
        <f>IFERROR(INDEX('Raw Data'!R:R,MATCH($B157,'Raw Data'!$C:$C,0)),"-")</f>
        <v>0</v>
      </c>
    </row>
    <row r="158" spans="1:8" ht="15" customHeight="1" x14ac:dyDescent="0.35">
      <c r="A158" s="15" t="str">
        <f>IFERROR(INDEX('Raw Data'!AC:AC,MATCH($B158,'Raw Data'!$C:$C,0)),"-")</f>
        <v>Dumper</v>
      </c>
      <c r="B158" s="7" t="s">
        <v>149</v>
      </c>
      <c r="C158" s="8">
        <f>IFERROR(INDEX('Raw Data'!W:W,MATCH($B158,'Raw Data'!$C:$C,0)),"-")</f>
        <v>3459.18</v>
      </c>
      <c r="D158" s="17">
        <f>IFERROR(INDEX('Raw Data'!X:X,MATCH($B158,'Raw Data'!$C:$C,0)),"-")</f>
        <v>15.08149206</v>
      </c>
      <c r="E158" s="17">
        <f>IFERROR(INDEX('Raw Data'!Y:Y,MATCH($B158,'Raw Data'!$C:$C,0)),"-")</f>
        <v>3215.2549640000002</v>
      </c>
      <c r="F158" s="10">
        <f>IFERROR(INDEX('Raw Data'!F:F,MATCH($B158,'Raw Data'!$C:$C,0)),"-")</f>
        <v>240.72379999999899</v>
      </c>
      <c r="G158" s="8">
        <f>IFERROR(INDEX('Raw Data'!U:U,MATCH($B158,'Raw Data'!$C:$C,0)),"-")</f>
        <v>18450</v>
      </c>
      <c r="H158" s="8">
        <f>IFERROR(INDEX('Raw Data'!R:R,MATCH($B158,'Raw Data'!$C:$C,0)),"-")</f>
        <v>0</v>
      </c>
    </row>
    <row r="159" spans="1:8" ht="15" customHeight="1" x14ac:dyDescent="0.35">
      <c r="A159" s="16" t="str">
        <f>IFERROR(INDEX('Raw Data'!AC:AC,MATCH($B159,'Raw Data'!$C:$C,0)),"-")</f>
        <v>Dumper</v>
      </c>
      <c r="B159" s="11" t="s">
        <v>104</v>
      </c>
      <c r="C159" s="12">
        <f>IFERROR(INDEX('Raw Data'!W:W,MATCH($B159,'Raw Data'!$C:$C,0)),"-")</f>
        <v>3311.53999999999</v>
      </c>
      <c r="D159" s="18">
        <f>IFERROR(INDEX('Raw Data'!X:X,MATCH($B159,'Raw Data'!$C:$C,0)),"-")</f>
        <v>8.4859865679999995</v>
      </c>
      <c r="E159" s="18">
        <f>IFERROR(INDEX('Raw Data'!Y:Y,MATCH($B159,'Raw Data'!$C:$C,0)),"-")</f>
        <v>1752.334163</v>
      </c>
      <c r="F159" s="14">
        <f>IFERROR(INDEX('Raw Data'!F:F,MATCH($B159,'Raw Data'!$C:$C,0)),"-")</f>
        <v>206.497399999999</v>
      </c>
      <c r="G159" s="12">
        <f>IFERROR(INDEX('Raw Data'!U:U,MATCH($B159,'Raw Data'!$C:$C,0)),"-")</f>
        <v>5775</v>
      </c>
      <c r="H159" s="12">
        <f>IFERROR(INDEX('Raw Data'!R:R,MATCH($B159,'Raw Data'!$C:$C,0)),"-")</f>
        <v>2068.2600000000002</v>
      </c>
    </row>
    <row r="160" spans="1:8" ht="15" customHeight="1" x14ac:dyDescent="0.35">
      <c r="A160" s="15" t="str">
        <f>IFERROR(INDEX('Raw Data'!AC:AC,MATCH($B160,'Raw Data'!$C:$C,0)),"-")</f>
        <v>Tipper</v>
      </c>
      <c r="B160" s="7" t="s">
        <v>50</v>
      </c>
      <c r="C160" s="8">
        <f>IFERROR(INDEX('Raw Data'!W:W,MATCH($B160,'Raw Data'!$C:$C,0)),"-")</f>
        <v>2940.05</v>
      </c>
      <c r="D160" s="17">
        <f>IFERROR(INDEX('Raw Data'!X:X,MATCH($B160,'Raw Data'!$C:$C,0)),"-")</f>
        <v>10.429962570000001</v>
      </c>
      <c r="E160" s="17">
        <f>IFERROR(INDEX('Raw Data'!Y:Y,MATCH($B160,'Raw Data'!$C:$C,0)),"-")</f>
        <v>2552.2838080000001</v>
      </c>
      <c r="F160" s="10">
        <f>IFERROR(INDEX('Raw Data'!F:F,MATCH($B160,'Raw Data'!$C:$C,0)),"-")</f>
        <v>247.193299999999</v>
      </c>
      <c r="G160" s="8">
        <f>IFERROR(INDEX('Raw Data'!U:U,MATCH($B160,'Raw Data'!$C:$C,0)),"-")</f>
        <v>182</v>
      </c>
      <c r="H160" s="8">
        <f>IFERROR(INDEX('Raw Data'!R:R,MATCH($B160,'Raw Data'!$C:$C,0)),"-")</f>
        <v>15455.86</v>
      </c>
    </row>
    <row r="161" spans="1:8" ht="15" customHeight="1" x14ac:dyDescent="0.35">
      <c r="A161" s="16" t="str">
        <f>IFERROR(INDEX('Raw Data'!AC:AC,MATCH($B161,'Raw Data'!$C:$C,0)),"-")</f>
        <v>Tipper</v>
      </c>
      <c r="B161" s="11" t="s">
        <v>74</v>
      </c>
      <c r="C161" s="12">
        <f>IFERROR(INDEX('Raw Data'!W:W,MATCH($B161,'Raw Data'!$C:$C,0)),"-")</f>
        <v>2920.97</v>
      </c>
      <c r="D161" s="18">
        <f>IFERROR(INDEX('Raw Data'!X:X,MATCH($B161,'Raw Data'!$C:$C,0)),"-")</f>
        <v>10.92389174</v>
      </c>
      <c r="E161" s="18">
        <f>IFERROR(INDEX('Raw Data'!Y:Y,MATCH($B161,'Raw Data'!$C:$C,0)),"-")</f>
        <v>2779.7896230000001</v>
      </c>
      <c r="F161" s="14">
        <f>IFERROR(INDEX('Raw Data'!F:F,MATCH($B161,'Raw Data'!$C:$C,0)),"-")</f>
        <v>258.60640000000001</v>
      </c>
      <c r="G161" s="12">
        <f>IFERROR(INDEX('Raw Data'!U:U,MATCH($B161,'Raw Data'!$C:$C,0)),"-")</f>
        <v>247</v>
      </c>
      <c r="H161" s="12">
        <f>IFERROR(INDEX('Raw Data'!R:R,MATCH($B161,'Raw Data'!$C:$C,0)),"-")</f>
        <v>15371.16</v>
      </c>
    </row>
    <row r="162" spans="1:8" ht="15" customHeight="1" x14ac:dyDescent="0.35">
      <c r="A162" s="15" t="str">
        <f>IFERROR(INDEX('Raw Data'!AC:AC,MATCH($B162,'Raw Data'!$C:$C,0)),"-")</f>
        <v>Tipper</v>
      </c>
      <c r="B162" s="7" t="s">
        <v>78</v>
      </c>
      <c r="C162" s="8">
        <f>IFERROR(INDEX('Raw Data'!W:W,MATCH($B162,'Raw Data'!$C:$C,0)),"-")</f>
        <v>2632.5599999999899</v>
      </c>
      <c r="D162" s="17">
        <f>IFERROR(INDEX('Raw Data'!X:X,MATCH($B162,'Raw Data'!$C:$C,0)),"-")</f>
        <v>8.221218661</v>
      </c>
      <c r="E162" s="17">
        <f>IFERROR(INDEX('Raw Data'!Y:Y,MATCH($B162,'Raw Data'!$C:$C,0)),"-")</f>
        <v>2243.7185549999999</v>
      </c>
      <c r="F162" s="10">
        <f>IFERROR(INDEX('Raw Data'!F:F,MATCH($B162,'Raw Data'!$C:$C,0)),"-")</f>
        <v>277.18189999999998</v>
      </c>
      <c r="G162" s="8">
        <f>IFERROR(INDEX('Raw Data'!U:U,MATCH($B162,'Raw Data'!$C:$C,0)),"-")</f>
        <v>13</v>
      </c>
      <c r="H162" s="8">
        <f>IFERROR(INDEX('Raw Data'!R:R,MATCH($B162,'Raw Data'!$C:$C,0)),"-")</f>
        <v>7653.49</v>
      </c>
    </row>
    <row r="163" spans="1:8" ht="15" customHeight="1" x14ac:dyDescent="0.35">
      <c r="A163" s="16" t="str">
        <f>IFERROR(INDEX('Raw Data'!AC:AC,MATCH($B163,'Raw Data'!$C:$C,0)),"-")</f>
        <v>Tipper</v>
      </c>
      <c r="B163" s="11" t="s">
        <v>87</v>
      </c>
      <c r="C163" s="12">
        <f>IFERROR(INDEX('Raw Data'!W:W,MATCH($B163,'Raw Data'!$C:$C,0)),"-")</f>
        <v>2539.96</v>
      </c>
      <c r="D163" s="18">
        <f>IFERROR(INDEX('Raw Data'!X:X,MATCH($B163,'Raw Data'!$C:$C,0)),"-")</f>
        <v>14.092115059999999</v>
      </c>
      <c r="E163" s="18">
        <f>IFERROR(INDEX('Raw Data'!Y:Y,MATCH($B163,'Raw Data'!$C:$C,0)),"-")</f>
        <v>2424.1467710000002</v>
      </c>
      <c r="F163" s="14">
        <f>IFERROR(INDEX('Raw Data'!F:F,MATCH($B163,'Raw Data'!$C:$C,0)),"-")</f>
        <v>173.5307</v>
      </c>
      <c r="G163" s="12">
        <f>IFERROR(INDEX('Raw Data'!U:U,MATCH($B163,'Raw Data'!$C:$C,0)),"-")</f>
        <v>39</v>
      </c>
      <c r="H163" s="12">
        <f>IFERROR(INDEX('Raw Data'!R:R,MATCH($B163,'Raw Data'!$C:$C,0)),"-")</f>
        <v>12936.93</v>
      </c>
    </row>
    <row r="164" spans="1:8" ht="15" customHeight="1" x14ac:dyDescent="0.35">
      <c r="A164" s="15" t="str">
        <f>IFERROR(INDEX('Raw Data'!AC:AC,MATCH($B164,'Raw Data'!$C:$C,0)),"-")</f>
        <v>Dumper</v>
      </c>
      <c r="B164" s="7" t="s">
        <v>124</v>
      </c>
      <c r="C164" s="8">
        <f>IFERROR(INDEX('Raw Data'!W:W,MATCH($B164,'Raw Data'!$C:$C,0)),"-")</f>
        <v>2490.4699999999998</v>
      </c>
      <c r="D164" s="17">
        <f>IFERROR(INDEX('Raw Data'!X:X,MATCH($B164,'Raw Data'!$C:$C,0)),"-")</f>
        <v>14.503567840000001</v>
      </c>
      <c r="E164" s="17">
        <f>IFERROR(INDEX('Raw Data'!Y:Y,MATCH($B164,'Raw Data'!$C:$C,0)),"-")</f>
        <v>2301.2346990000001</v>
      </c>
      <c r="F164" s="10">
        <f>IFERROR(INDEX('Raw Data'!F:F,MATCH($B164,'Raw Data'!$C:$C,0)),"-")</f>
        <v>161.46369999999899</v>
      </c>
      <c r="G164" s="8">
        <f>IFERROR(INDEX('Raw Data'!U:U,MATCH($B164,'Raw Data'!$C:$C,0)),"-")</f>
        <v>6525</v>
      </c>
      <c r="H164" s="8">
        <f>IFERROR(INDEX('Raw Data'!R:R,MATCH($B164,'Raw Data'!$C:$C,0)),"-")</f>
        <v>1280.3</v>
      </c>
    </row>
    <row r="165" spans="1:8" ht="15" customHeight="1" x14ac:dyDescent="0.35">
      <c r="A165" s="16" t="str">
        <f>IFERROR(INDEX('Raw Data'!AC:AC,MATCH($B165,'Raw Data'!$C:$C,0)),"-")</f>
        <v>Tipper</v>
      </c>
      <c r="B165" s="11" t="s">
        <v>49</v>
      </c>
      <c r="C165" s="12">
        <f>IFERROR(INDEX('Raw Data'!W:W,MATCH($B165,'Raw Data'!$C:$C,0)),"-")</f>
        <v>2460.89</v>
      </c>
      <c r="D165" s="18">
        <f>IFERROR(INDEX('Raw Data'!X:X,MATCH($B165,'Raw Data'!$C:$C,0)),"-")</f>
        <v>13.448368200000001</v>
      </c>
      <c r="E165" s="18">
        <f>IFERROR(INDEX('Raw Data'!Y:Y,MATCH($B165,'Raw Data'!$C:$C,0)),"-")</f>
        <v>2344.0882329999999</v>
      </c>
      <c r="F165" s="14">
        <f>IFERROR(INDEX('Raw Data'!F:F,MATCH($B165,'Raw Data'!$C:$C,0)),"-")</f>
        <v>175.77769999999899</v>
      </c>
      <c r="G165" s="12">
        <f>IFERROR(INDEX('Raw Data'!U:U,MATCH($B165,'Raw Data'!$C:$C,0)),"-")</f>
        <v>221</v>
      </c>
      <c r="H165" s="12">
        <f>IFERROR(INDEX('Raw Data'!R:R,MATCH($B165,'Raw Data'!$C:$C,0)),"-")</f>
        <v>12148.92</v>
      </c>
    </row>
    <row r="166" spans="1:8" ht="15" customHeight="1" x14ac:dyDescent="0.35">
      <c r="A166" s="15" t="str">
        <f>IFERROR(INDEX('Raw Data'!AC:AC,MATCH($B166,'Raw Data'!$C:$C,0)),"-")</f>
        <v>Dumper</v>
      </c>
      <c r="B166" s="7" t="s">
        <v>138</v>
      </c>
      <c r="C166" s="8">
        <f>IFERROR(INDEX('Raw Data'!W:W,MATCH($B166,'Raw Data'!$C:$C,0)),"-")</f>
        <v>2387.5299999999902</v>
      </c>
      <c r="D166" s="17">
        <f>IFERROR(INDEX('Raw Data'!X:X,MATCH($B166,'Raw Data'!$C:$C,0)),"-")</f>
        <v>14.72926562</v>
      </c>
      <c r="E166" s="17">
        <f>IFERROR(INDEX('Raw Data'!Y:Y,MATCH($B166,'Raw Data'!$C:$C,0)),"-")</f>
        <v>2252.9295520000001</v>
      </c>
      <c r="F166" s="10">
        <f>IFERROR(INDEX('Raw Data'!F:F,MATCH($B166,'Raw Data'!$C:$C,0)),"-")</f>
        <v>154.95769999999999</v>
      </c>
      <c r="G166" s="8">
        <f>IFERROR(INDEX('Raw Data'!U:U,MATCH($B166,'Raw Data'!$C:$C,0)),"-")</f>
        <v>7400</v>
      </c>
      <c r="H166" s="8">
        <f>IFERROR(INDEX('Raw Data'!R:R,MATCH($B166,'Raw Data'!$C:$C,0)),"-")</f>
        <v>178.48</v>
      </c>
    </row>
    <row r="167" spans="1:8" ht="15" customHeight="1" x14ac:dyDescent="0.35">
      <c r="A167" s="16" t="str">
        <f>IFERROR(INDEX('Raw Data'!AC:AC,MATCH($B167,'Raw Data'!$C:$C,0)),"-")</f>
        <v>Dumper</v>
      </c>
      <c r="B167" s="11" t="s">
        <v>125</v>
      </c>
      <c r="C167" s="12">
        <f>IFERROR(INDEX('Raw Data'!W:W,MATCH($B167,'Raw Data'!$C:$C,0)),"-")</f>
        <v>2249.4399999999901</v>
      </c>
      <c r="D167" s="18">
        <f>IFERROR(INDEX('Raw Data'!X:X,MATCH($B167,'Raw Data'!$C:$C,0)),"-")</f>
        <v>16.66235807</v>
      </c>
      <c r="E167" s="18">
        <f>IFERROR(INDEX('Raw Data'!Y:Y,MATCH($B167,'Raw Data'!$C:$C,0)),"-")</f>
        <v>2073.9887020000001</v>
      </c>
      <c r="F167" s="14">
        <f>IFERROR(INDEX('Raw Data'!F:F,MATCH($B167,'Raw Data'!$C:$C,0)),"-")</f>
        <v>151.11399999999901</v>
      </c>
      <c r="G167" s="12">
        <f>IFERROR(INDEX('Raw Data'!U:U,MATCH($B167,'Raw Data'!$C:$C,0)),"-")</f>
        <v>6225</v>
      </c>
      <c r="H167" s="12">
        <f>IFERROR(INDEX('Raw Data'!R:R,MATCH($B167,'Raw Data'!$C:$C,0)),"-")</f>
        <v>3062.84</v>
      </c>
    </row>
    <row r="168" spans="1:8" ht="15" customHeight="1" x14ac:dyDescent="0.35">
      <c r="A168" s="15" t="str">
        <f>IFERROR(INDEX('Raw Data'!AC:AC,MATCH($B168,'Raw Data'!$C:$C,0)),"-")</f>
        <v>Tipper</v>
      </c>
      <c r="B168" s="7" t="s">
        <v>61</v>
      </c>
      <c r="C168" s="8">
        <f>IFERROR(INDEX('Raw Data'!W:W,MATCH($B168,'Raw Data'!$C:$C,0)),"-")</f>
        <v>2229.5599999999899</v>
      </c>
      <c r="D168" s="17">
        <f>IFERROR(INDEX('Raw Data'!X:X,MATCH($B168,'Raw Data'!$C:$C,0)),"-")</f>
        <v>10.937220229999999</v>
      </c>
      <c r="E168" s="17">
        <f>IFERROR(INDEX('Raw Data'!Y:Y,MATCH($B168,'Raw Data'!$C:$C,0)),"-")</f>
        <v>1999.097458</v>
      </c>
      <c r="F168" s="10">
        <f>IFERROR(INDEX('Raw Data'!F:F,MATCH($B168,'Raw Data'!$C:$C,0)),"-")</f>
        <v>185.388599999999</v>
      </c>
      <c r="G168" s="8">
        <f>IFERROR(INDEX('Raw Data'!U:U,MATCH($B168,'Raw Data'!$C:$C,0)),"-")</f>
        <v>182</v>
      </c>
      <c r="H168" s="8">
        <f>IFERROR(INDEX('Raw Data'!R:R,MATCH($B168,'Raw Data'!$C:$C,0)),"-")</f>
        <v>9582.2900000000009</v>
      </c>
    </row>
    <row r="169" spans="1:8" ht="15" customHeight="1" x14ac:dyDescent="0.35">
      <c r="A169" s="16" t="str">
        <f>IFERROR(INDEX('Raw Data'!AC:AC,MATCH($B169,'Raw Data'!$C:$C,0)),"-")</f>
        <v>Tipper</v>
      </c>
      <c r="B169" s="11" t="s">
        <v>47</v>
      </c>
      <c r="C169" s="12">
        <f>IFERROR(INDEX('Raw Data'!W:W,MATCH($B169,'Raw Data'!$C:$C,0)),"-")</f>
        <v>2166.14</v>
      </c>
      <c r="D169" s="18">
        <f>IFERROR(INDEX('Raw Data'!X:X,MATCH($B169,'Raw Data'!$C:$C,0)),"-")</f>
        <v>12.72934553</v>
      </c>
      <c r="E169" s="18">
        <f>IFERROR(INDEX('Raw Data'!Y:Y,MATCH($B169,'Raw Data'!$C:$C,0)),"-")</f>
        <v>2053.5311179999999</v>
      </c>
      <c r="F169" s="14">
        <f>IFERROR(INDEX('Raw Data'!F:F,MATCH($B169,'Raw Data'!$C:$C,0)),"-")</f>
        <v>277.97889999999899</v>
      </c>
      <c r="G169" s="12">
        <f>IFERROR(INDEX('Raw Data'!U:U,MATCH($B169,'Raw Data'!$C:$C,0)),"-")</f>
        <v>0</v>
      </c>
      <c r="H169" s="12">
        <f>IFERROR(INDEX('Raw Data'!R:R,MATCH($B169,'Raw Data'!$C:$C,0)),"-")</f>
        <v>8734.65</v>
      </c>
    </row>
    <row r="170" spans="1:8" ht="15" customHeight="1" x14ac:dyDescent="0.35">
      <c r="A170" s="15" t="str">
        <f>IFERROR(INDEX('Raw Data'!AC:AC,MATCH($B170,'Raw Data'!$C:$C,0)),"-")</f>
        <v>Tipper</v>
      </c>
      <c r="B170" s="7" t="s">
        <v>67</v>
      </c>
      <c r="C170" s="8">
        <f>IFERROR(INDEX('Raw Data'!W:W,MATCH($B170,'Raw Data'!$C:$C,0)),"-")</f>
        <v>1873.73</v>
      </c>
      <c r="D170" s="17">
        <f>IFERROR(INDEX('Raw Data'!X:X,MATCH($B170,'Raw Data'!$C:$C,0)),"-")</f>
        <v>10.90016073</v>
      </c>
      <c r="E170" s="17">
        <f>IFERROR(INDEX('Raw Data'!Y:Y,MATCH($B170,'Raw Data'!$C:$C,0)),"-")</f>
        <v>1705.111054</v>
      </c>
      <c r="F170" s="10">
        <f>IFERROR(INDEX('Raw Data'!F:F,MATCH($B170,'Raw Data'!$C:$C,0)),"-")</f>
        <v>157.751599999999</v>
      </c>
      <c r="G170" s="8">
        <f>IFERROR(INDEX('Raw Data'!U:U,MATCH($B170,'Raw Data'!$C:$C,0)),"-")</f>
        <v>403</v>
      </c>
      <c r="H170" s="8">
        <f>IFERROR(INDEX('Raw Data'!R:R,MATCH($B170,'Raw Data'!$C:$C,0)),"-")</f>
        <v>9932.67</v>
      </c>
    </row>
    <row r="171" spans="1:8" ht="15" customHeight="1" x14ac:dyDescent="0.35">
      <c r="A171" s="16" t="str">
        <f>IFERROR(INDEX('Raw Data'!AC:AC,MATCH($B171,'Raw Data'!$C:$C,0)),"-")</f>
        <v>Front End Loader</v>
      </c>
      <c r="B171" s="11" t="s">
        <v>182</v>
      </c>
      <c r="C171" s="12">
        <f>IFERROR(INDEX('Raw Data'!W:W,MATCH($B171,'Raw Data'!$C:$C,0)),"-")</f>
        <v>1835.34</v>
      </c>
      <c r="D171" s="18">
        <f>IFERROR(INDEX('Raw Data'!X:X,MATCH($B171,'Raw Data'!$C:$C,0)),"-")</f>
        <v>12.71445168</v>
      </c>
      <c r="E171" s="18">
        <f>IFERROR(INDEX('Raw Data'!Y:Y,MATCH($B171,'Raw Data'!$C:$C,0)),"-")</f>
        <v>1082.152411</v>
      </c>
      <c r="F171" s="14">
        <f>IFERROR(INDEX('Raw Data'!F:F,MATCH($B171,'Raw Data'!$C:$C,0)),"-")</f>
        <v>102.785</v>
      </c>
      <c r="G171" s="12">
        <f>IFERROR(INDEX('Raw Data'!U:U,MATCH($B171,'Raw Data'!$C:$C,0)),"-")</f>
        <v>0</v>
      </c>
      <c r="H171" s="12">
        <f>IFERROR(INDEX('Raw Data'!R:R,MATCH($B171,'Raw Data'!$C:$C,0)),"-")</f>
        <v>0</v>
      </c>
    </row>
    <row r="172" spans="1:8" ht="15" customHeight="1" x14ac:dyDescent="0.35">
      <c r="A172" s="15" t="str">
        <f>IFERROR(INDEX('Raw Data'!AC:AC,MATCH($B172,'Raw Data'!$C:$C,0)),"-")</f>
        <v>Dumper</v>
      </c>
      <c r="B172" s="7" t="s">
        <v>114</v>
      </c>
      <c r="C172" s="8">
        <f>IFERROR(INDEX('Raw Data'!W:W,MATCH($B172,'Raw Data'!$C:$C,0)),"-")</f>
        <v>1816.21</v>
      </c>
      <c r="D172" s="17">
        <f>IFERROR(INDEX('Raw Data'!X:X,MATCH($B172,'Raw Data'!$C:$C,0)),"-")</f>
        <v>13.29469825</v>
      </c>
      <c r="E172" s="17">
        <f>IFERROR(INDEX('Raw Data'!Y:Y,MATCH($B172,'Raw Data'!$C:$C,0)),"-")</f>
        <v>1555.1885420000001</v>
      </c>
      <c r="F172" s="10">
        <f>IFERROR(INDEX('Raw Data'!F:F,MATCH($B172,'Raw Data'!$C:$C,0)),"-")</f>
        <v>120.09</v>
      </c>
      <c r="G172" s="8">
        <f>IFERROR(INDEX('Raw Data'!U:U,MATCH($B172,'Raw Data'!$C:$C,0)),"-")</f>
        <v>4100</v>
      </c>
      <c r="H172" s="8">
        <f>IFERROR(INDEX('Raw Data'!R:R,MATCH($B172,'Raw Data'!$C:$C,0)),"-")</f>
        <v>0</v>
      </c>
    </row>
    <row r="173" spans="1:8" ht="15" customHeight="1" x14ac:dyDescent="0.35">
      <c r="A173" s="16" t="str">
        <f>IFERROR(INDEX('Raw Data'!AC:AC,MATCH($B173,'Raw Data'!$C:$C,0)),"-")</f>
        <v>Dumper</v>
      </c>
      <c r="B173" s="11" t="s">
        <v>120</v>
      </c>
      <c r="C173" s="12">
        <f>IFERROR(INDEX('Raw Data'!W:W,MATCH($B173,'Raw Data'!$C:$C,0)),"-")</f>
        <v>1525.22</v>
      </c>
      <c r="D173" s="18">
        <f>IFERROR(INDEX('Raw Data'!X:X,MATCH($B173,'Raw Data'!$C:$C,0)),"-")</f>
        <v>19.765056529999999</v>
      </c>
      <c r="E173" s="18">
        <f>IFERROR(INDEX('Raw Data'!Y:Y,MATCH($B173,'Raw Data'!$C:$C,0)),"-")</f>
        <v>1170.7396409999999</v>
      </c>
      <c r="F173" s="14">
        <f>IFERROR(INDEX('Raw Data'!F:F,MATCH($B173,'Raw Data'!$C:$C,0)),"-")</f>
        <v>62.331699999999998</v>
      </c>
      <c r="G173" s="12">
        <f>IFERROR(INDEX('Raw Data'!U:U,MATCH($B173,'Raw Data'!$C:$C,0)),"-")</f>
        <v>2625</v>
      </c>
      <c r="H173" s="12">
        <f>IFERROR(INDEX('Raw Data'!R:R,MATCH($B173,'Raw Data'!$C:$C,0)),"-")</f>
        <v>0</v>
      </c>
    </row>
    <row r="174" spans="1:8" ht="15" customHeight="1" x14ac:dyDescent="0.35">
      <c r="A174" s="15" t="str">
        <f>IFERROR(INDEX('Raw Data'!AC:AC,MATCH($B174,'Raw Data'!$C:$C,0)),"-")</f>
        <v>Diesel Bowser</v>
      </c>
      <c r="B174" s="7" t="s">
        <v>241</v>
      </c>
      <c r="C174" s="8">
        <f>IFERROR(INDEX('Raw Data'!W:W,MATCH($B174,'Raw Data'!$C:$C,0)),"-")</f>
        <v>1510.04</v>
      </c>
      <c r="D174" s="17">
        <f>IFERROR(INDEX('Raw Data'!X:X,MATCH($B174,'Raw Data'!$C:$C,0)),"-")</f>
        <v>8.7824732070000007</v>
      </c>
      <c r="E174" s="17">
        <f>IFERROR(INDEX('Raw Data'!Y:Y,MATCH($B174,'Raw Data'!$C:$C,0)),"-")</f>
        <v>789.00861039999995</v>
      </c>
      <c r="F174" s="10">
        <f>IFERROR(INDEX('Raw Data'!F:F,MATCH($B174,'Raw Data'!$C:$C,0)),"-")</f>
        <v>107.1005</v>
      </c>
      <c r="G174" s="8">
        <f>IFERROR(INDEX('Raw Data'!U:U,MATCH($B174,'Raw Data'!$C:$C,0)),"-")</f>
        <v>0</v>
      </c>
      <c r="H174" s="8">
        <f>IFERROR(INDEX('Raw Data'!R:R,MATCH($B174,'Raw Data'!$C:$C,0)),"-")</f>
        <v>0</v>
      </c>
    </row>
    <row r="175" spans="1:8" ht="15" customHeight="1" x14ac:dyDescent="0.35">
      <c r="A175" s="16" t="str">
        <f>IFERROR(INDEX('Raw Data'!AC:AC,MATCH($B175,'Raw Data'!$C:$C,0)),"-")</f>
        <v>Tipper</v>
      </c>
      <c r="B175" s="11" t="s">
        <v>86</v>
      </c>
      <c r="C175" s="12">
        <f>IFERROR(INDEX('Raw Data'!W:W,MATCH($B175,'Raw Data'!$C:$C,0)),"-")</f>
        <v>1334.3299999999899</v>
      </c>
      <c r="D175" s="18">
        <f>IFERROR(INDEX('Raw Data'!X:X,MATCH($B175,'Raw Data'!$C:$C,0)),"-")</f>
        <v>0</v>
      </c>
      <c r="E175" s="18">
        <f>IFERROR(INDEX('Raw Data'!Y:Y,MATCH($B175,'Raw Data'!$C:$C,0)),"-")</f>
        <v>0</v>
      </c>
      <c r="F175" s="14">
        <f>IFERROR(INDEX('Raw Data'!F:F,MATCH($B175,'Raw Data'!$C:$C,0)),"-")</f>
        <v>9.0299999999999894E-2</v>
      </c>
      <c r="G175" s="12">
        <f>IFERROR(INDEX('Raw Data'!U:U,MATCH($B175,'Raw Data'!$C:$C,0)),"-")</f>
        <v>156</v>
      </c>
      <c r="H175" s="12">
        <f>IFERROR(INDEX('Raw Data'!R:R,MATCH($B175,'Raw Data'!$C:$C,0)),"-")</f>
        <v>6110.13</v>
      </c>
    </row>
    <row r="176" spans="1:8" ht="15" customHeight="1" x14ac:dyDescent="0.35">
      <c r="A176" s="15" t="str">
        <f>IFERROR(INDEX('Raw Data'!AC:AC,MATCH($B176,'Raw Data'!$C:$C,0)),"-")</f>
        <v>Diesel Bowser</v>
      </c>
      <c r="B176" s="7" t="s">
        <v>242</v>
      </c>
      <c r="C176" s="8">
        <f>IFERROR(INDEX('Raw Data'!W:W,MATCH($B176,'Raw Data'!$C:$C,0)),"-")</f>
        <v>1309.22</v>
      </c>
      <c r="D176" s="17">
        <f>IFERROR(INDEX('Raw Data'!X:X,MATCH($B176,'Raw Data'!$C:$C,0)),"-")</f>
        <v>6.3545330690000004</v>
      </c>
      <c r="E176" s="17">
        <f>IFERROR(INDEX('Raw Data'!Y:Y,MATCH($B176,'Raw Data'!$C:$C,0)),"-")</f>
        <v>1178.45896032263</v>
      </c>
      <c r="F176" s="10">
        <f>IFERROR(INDEX('Raw Data'!F:F,MATCH($B176,'Raw Data'!$C:$C,0)),"-")</f>
        <v>203.94009999999901</v>
      </c>
      <c r="G176" s="8">
        <f>IFERROR(INDEX('Raw Data'!U:U,MATCH($B176,'Raw Data'!$C:$C,0)),"-")</f>
        <v>0</v>
      </c>
      <c r="H176" s="8">
        <f>IFERROR(INDEX('Raw Data'!R:R,MATCH($B176,'Raw Data'!$C:$C,0)),"-")</f>
        <v>0</v>
      </c>
    </row>
    <row r="177" spans="1:8" ht="15" customHeight="1" x14ac:dyDescent="0.35">
      <c r="A177" s="16" t="str">
        <f>IFERROR(INDEX('Raw Data'!AC:AC,MATCH($B177,'Raw Data'!$C:$C,0)),"-")</f>
        <v>Diesel Bowser</v>
      </c>
      <c r="B177" s="11" t="s">
        <v>239</v>
      </c>
      <c r="C177" s="12">
        <f>IFERROR(INDEX('Raw Data'!W:W,MATCH($B177,'Raw Data'!$C:$C,0)),"-")</f>
        <v>1203.03</v>
      </c>
      <c r="D177" s="18">
        <f>IFERROR(INDEX('Raw Data'!X:X,MATCH($B177,'Raw Data'!$C:$C,0)),"-")</f>
        <v>12.58869683</v>
      </c>
      <c r="E177" s="18">
        <f>IFERROR(INDEX('Raw Data'!Y:Y,MATCH($B177,'Raw Data'!$C:$C,0)),"-")</f>
        <v>1059.3300260000001</v>
      </c>
      <c r="F177" s="14">
        <f>IFERROR(INDEX('Raw Data'!F:F,MATCH($B177,'Raw Data'!$C:$C,0)),"-")</f>
        <v>85.672899999999998</v>
      </c>
      <c r="G177" s="12">
        <f>IFERROR(INDEX('Raw Data'!U:U,MATCH($B177,'Raw Data'!$C:$C,0)),"-")</f>
        <v>0</v>
      </c>
      <c r="H177" s="12">
        <f>IFERROR(INDEX('Raw Data'!R:R,MATCH($B177,'Raw Data'!$C:$C,0)),"-")</f>
        <v>0</v>
      </c>
    </row>
    <row r="178" spans="1:8" ht="15" customHeight="1" x14ac:dyDescent="0.35">
      <c r="A178" s="15" t="str">
        <f>IFERROR(INDEX('Raw Data'!AC:AC,MATCH($B178,'Raw Data'!$C:$C,0)),"-")</f>
        <v>Tipper</v>
      </c>
      <c r="B178" s="7" t="s">
        <v>70</v>
      </c>
      <c r="C178" s="8">
        <f>IFERROR(INDEX('Raw Data'!W:W,MATCH($B178,'Raw Data'!$C:$C,0)),"-")</f>
        <v>1198.02</v>
      </c>
      <c r="D178" s="17">
        <f>IFERROR(INDEX('Raw Data'!X:X,MATCH($B178,'Raw Data'!$C:$C,0)),"-")</f>
        <v>11.47406741</v>
      </c>
      <c r="E178" s="17">
        <f>IFERROR(INDEX('Raw Data'!Y:Y,MATCH($B178,'Raw Data'!$C:$C,0)),"-")</f>
        <v>956.07896189999997</v>
      </c>
      <c r="F178" s="10">
        <f>IFERROR(INDEX('Raw Data'!F:F,MATCH($B178,'Raw Data'!$C:$C,0)),"-")</f>
        <v>99.619099999999904</v>
      </c>
      <c r="G178" s="8">
        <f>IFERROR(INDEX('Raw Data'!U:U,MATCH($B178,'Raw Data'!$C:$C,0)),"-")</f>
        <v>273</v>
      </c>
      <c r="H178" s="8">
        <f>IFERROR(INDEX('Raw Data'!R:R,MATCH($B178,'Raw Data'!$C:$C,0)),"-")</f>
        <v>5838.56</v>
      </c>
    </row>
    <row r="179" spans="1:8" ht="15" customHeight="1" x14ac:dyDescent="0.35">
      <c r="A179" s="15" t="str">
        <f>IFERROR(INDEX('Raw Data'!AC:AC,MATCH($B179,'Raw Data'!$C:$C,0)),"-")</f>
        <v>Dumper</v>
      </c>
      <c r="B179" s="7" t="s">
        <v>117</v>
      </c>
      <c r="C179" s="8">
        <f>IFERROR(INDEX('Raw Data'!W:W,MATCH($B179,'Raw Data'!$C:$C,0)),"-")</f>
        <v>1084.33</v>
      </c>
      <c r="D179" s="17">
        <f>IFERROR(INDEX('Raw Data'!X:X,MATCH($B179,'Raw Data'!$C:$C,0)),"-")</f>
        <v>98.144510920000002</v>
      </c>
      <c r="E179" s="17">
        <f>IFERROR(INDEX('Raw Data'!Y:Y,MATCH($B179,'Raw Data'!$C:$C,0)),"-")</f>
        <v>972.52377320000005</v>
      </c>
      <c r="F179" s="10">
        <f>IFERROR(INDEX('Raw Data'!F:F,MATCH($B179,'Raw Data'!$C:$C,0)),"-")</f>
        <v>10.2645</v>
      </c>
      <c r="G179" s="8">
        <f>IFERROR(INDEX('Raw Data'!U:U,MATCH($B179,'Raw Data'!$C:$C,0)),"-")</f>
        <v>5425</v>
      </c>
      <c r="H179" s="8">
        <f>IFERROR(INDEX('Raw Data'!R:R,MATCH($B179,'Raw Data'!$C:$C,0)),"-")</f>
        <v>0</v>
      </c>
    </row>
    <row r="180" spans="1:8" ht="15" customHeight="1" x14ac:dyDescent="0.35">
      <c r="A180" s="16" t="str">
        <f>IFERROR(INDEX('Raw Data'!AC:AC,MATCH($B180,'Raw Data'!$C:$C,0)),"-")</f>
        <v>Diesel Bowser</v>
      </c>
      <c r="B180" s="11" t="s">
        <v>238</v>
      </c>
      <c r="C180" s="12">
        <f>IFERROR(INDEX('Raw Data'!W:W,MATCH($B180,'Raw Data'!$C:$C,0)),"-")</f>
        <v>824.96</v>
      </c>
      <c r="D180" s="18">
        <f>IFERROR(INDEX('Raw Data'!X:X,MATCH($B180,'Raw Data'!$C:$C,0)),"-")</f>
        <v>8.670765072</v>
      </c>
      <c r="E180" s="18">
        <f>IFERROR(INDEX('Raw Data'!Y:Y,MATCH($B180,'Raw Data'!$C:$C,0)),"-")</f>
        <v>783.68715829999996</v>
      </c>
      <c r="F180" s="14">
        <f>IFERROR(INDEX('Raw Data'!F:F,MATCH($B180,'Raw Data'!$C:$C,0)),"-")</f>
        <v>117.75449999999999</v>
      </c>
      <c r="G180" s="12">
        <f>IFERROR(INDEX('Raw Data'!U:U,MATCH($B180,'Raw Data'!$C:$C,0)),"-")</f>
        <v>0</v>
      </c>
      <c r="H180" s="12">
        <f>IFERROR(INDEX('Raw Data'!R:R,MATCH($B180,'Raw Data'!$C:$C,0)),"-")</f>
        <v>0</v>
      </c>
    </row>
    <row r="181" spans="1:8" ht="15" customHeight="1" x14ac:dyDescent="0.35">
      <c r="A181" s="15" t="str">
        <f>IFERROR(INDEX('Raw Data'!AC:AC,MATCH($B181,'Raw Data'!$C:$C,0)),"-")</f>
        <v>Tipper</v>
      </c>
      <c r="B181" s="7" t="s">
        <v>81</v>
      </c>
      <c r="C181" s="8">
        <f>IFERROR(INDEX('Raw Data'!W:W,MATCH($B181,'Raw Data'!$C:$C,0)),"-")</f>
        <v>803.83</v>
      </c>
      <c r="D181" s="17">
        <f>IFERROR(INDEX('Raw Data'!X:X,MATCH($B181,'Raw Data'!$C:$C,0)),"-")</f>
        <v>10.38112199</v>
      </c>
      <c r="E181" s="17">
        <f>IFERROR(INDEX('Raw Data'!Y:Y,MATCH($B181,'Raw Data'!$C:$C,0)),"-")</f>
        <v>757.47725219999995</v>
      </c>
      <c r="F181" s="10">
        <f>IFERROR(INDEX('Raw Data'!F:F,MATCH($B181,'Raw Data'!$C:$C,0)),"-")</f>
        <v>73.329499999999896</v>
      </c>
      <c r="G181" s="8">
        <f>IFERROR(INDEX('Raw Data'!U:U,MATCH($B181,'Raw Data'!$C:$C,0)),"-")</f>
        <v>104</v>
      </c>
      <c r="H181" s="8">
        <f>IFERROR(INDEX('Raw Data'!R:R,MATCH($B181,'Raw Data'!$C:$C,0)),"-")</f>
        <v>5255.62</v>
      </c>
    </row>
    <row r="182" spans="1:8" ht="15" customHeight="1" x14ac:dyDescent="0.35">
      <c r="A182" s="16" t="str">
        <f>IFERROR(INDEX('Raw Data'!AC:AC,MATCH($B182,'Raw Data'!$C:$C,0)),"-")</f>
        <v>Diesel Bowser</v>
      </c>
      <c r="B182" s="11" t="s">
        <v>237</v>
      </c>
      <c r="C182" s="12">
        <f>IFERROR(INDEX('Raw Data'!W:W,MATCH($B182,'Raw Data'!$C:$C,0)),"-")</f>
        <v>780.85999999999899</v>
      </c>
      <c r="D182" s="18">
        <f>IFERROR(INDEX('Raw Data'!X:X,MATCH($B182,'Raw Data'!$C:$C,0)),"-")</f>
        <v>57.269213559999997</v>
      </c>
      <c r="E182" s="18">
        <f>IFERROR(INDEX('Raw Data'!Y:Y,MATCH($B182,'Raw Data'!$C:$C,0)),"-")</f>
        <v>25.410350059999999</v>
      </c>
      <c r="F182" s="14">
        <f>IFERROR(INDEX('Raw Data'!F:F,MATCH($B182,'Raw Data'!$C:$C,0)),"-")</f>
        <v>5.6155999999999899</v>
      </c>
      <c r="G182" s="12">
        <f>IFERROR(INDEX('Raw Data'!U:U,MATCH($B182,'Raw Data'!$C:$C,0)),"-")</f>
        <v>0</v>
      </c>
      <c r="H182" s="12">
        <f>IFERROR(INDEX('Raw Data'!R:R,MATCH($B182,'Raw Data'!$C:$C,0)),"-")</f>
        <v>0</v>
      </c>
    </row>
    <row r="183" spans="1:8" ht="15" customHeight="1" x14ac:dyDescent="0.35">
      <c r="A183" s="15" t="str">
        <f>IFERROR(INDEX('Raw Data'!AC:AC,MATCH($B183,'Raw Data'!$C:$C,0)),"-")</f>
        <v>Tipper</v>
      </c>
      <c r="B183" s="7" t="s">
        <v>34</v>
      </c>
      <c r="C183" s="8">
        <f>IFERROR(INDEX('Raw Data'!W:W,MATCH($B183,'Raw Data'!$C:$C,0)),"-")</f>
        <v>725.04</v>
      </c>
      <c r="D183" s="17">
        <f>IFERROR(INDEX('Raw Data'!X:X,MATCH($B183,'Raw Data'!$C:$C,0)),"-")</f>
        <v>11.171941329999999</v>
      </c>
      <c r="E183" s="17">
        <f>IFERROR(INDEX('Raw Data'!Y:Y,MATCH($B183,'Raw Data'!$C:$C,0)),"-")</f>
        <v>629.07190679999997</v>
      </c>
      <c r="F183" s="10">
        <f>IFERROR(INDEX('Raw Data'!F:F,MATCH($B183,'Raw Data'!$C:$C,0)),"-")</f>
        <v>56.983199999999997</v>
      </c>
      <c r="G183" s="8">
        <f>IFERROR(INDEX('Raw Data'!U:U,MATCH($B183,'Raw Data'!$C:$C,0)),"-")</f>
        <v>0</v>
      </c>
      <c r="H183" s="8">
        <f>IFERROR(INDEX('Raw Data'!R:R,MATCH($B183,'Raw Data'!$C:$C,0)),"-")</f>
        <v>2807.05</v>
      </c>
    </row>
    <row r="184" spans="1:8" ht="15" customHeight="1" x14ac:dyDescent="0.35">
      <c r="A184" s="16" t="str">
        <f>IFERROR(INDEX('Raw Data'!AC:AC,MATCH($B184,'Raw Data'!$C:$C,0)),"-")</f>
        <v>Tipper</v>
      </c>
      <c r="B184" s="11" t="s">
        <v>96</v>
      </c>
      <c r="C184" s="12">
        <f>IFERROR(INDEX('Raw Data'!W:W,MATCH($B184,'Raw Data'!$C:$C,0)),"-")</f>
        <v>593.46</v>
      </c>
      <c r="D184" s="18">
        <f>IFERROR(INDEX('Raw Data'!X:X,MATCH($B184,'Raw Data'!$C:$C,0)),"-")</f>
        <v>17.994487580000001</v>
      </c>
      <c r="E184" s="18">
        <f>IFERROR(INDEX('Raw Data'!Y:Y,MATCH($B184,'Raw Data'!$C:$C,0)),"-")</f>
        <v>550.30741929999999</v>
      </c>
      <c r="F184" s="14">
        <f>IFERROR(INDEX('Raw Data'!F:F,MATCH($B184,'Raw Data'!$C:$C,0)),"-")</f>
        <v>30.841699999999999</v>
      </c>
      <c r="G184" s="12">
        <f>IFERROR(INDEX('Raw Data'!U:U,MATCH($B184,'Raw Data'!$C:$C,0)),"-")</f>
        <v>234</v>
      </c>
      <c r="H184" s="12">
        <f>IFERROR(INDEX('Raw Data'!R:R,MATCH($B184,'Raw Data'!$C:$C,0)),"-")</f>
        <v>3397.95</v>
      </c>
    </row>
    <row r="185" spans="1:8" ht="15" customHeight="1" x14ac:dyDescent="0.35">
      <c r="A185" s="15" t="str">
        <f>IFERROR(INDEX('Raw Data'!AC:AC,MATCH($B185,'Raw Data'!$C:$C,0)),"-")</f>
        <v>Tipper</v>
      </c>
      <c r="B185" s="7" t="s">
        <v>43</v>
      </c>
      <c r="C185" s="8">
        <f>IFERROR(INDEX('Raw Data'!W:W,MATCH($B185,'Raw Data'!$C:$C,0)),"-")</f>
        <v>572.81999999999903</v>
      </c>
      <c r="D185" s="17">
        <f>IFERROR(INDEX('Raw Data'!X:X,MATCH($B185,'Raw Data'!$C:$C,0)),"-")</f>
        <v>12.98140334</v>
      </c>
      <c r="E185" s="17">
        <f>IFERROR(INDEX('Raw Data'!Y:Y,MATCH($B185,'Raw Data'!$C:$C,0)),"-")</f>
        <v>481.30629900000002</v>
      </c>
      <c r="F185" s="10">
        <f>IFERROR(INDEX('Raw Data'!F:F,MATCH($B185,'Raw Data'!$C:$C,0)),"-")</f>
        <v>37.159699999999901</v>
      </c>
      <c r="G185" s="8">
        <f>IFERROR(INDEX('Raw Data'!U:U,MATCH($B185,'Raw Data'!$C:$C,0)),"-")</f>
        <v>0</v>
      </c>
      <c r="H185" s="8">
        <f>IFERROR(INDEX('Raw Data'!R:R,MATCH($B185,'Raw Data'!$C:$C,0)),"-")</f>
        <v>1601.88</v>
      </c>
    </row>
    <row r="186" spans="1:8" ht="15" customHeight="1" x14ac:dyDescent="0.35">
      <c r="A186" s="16" t="str">
        <f>IFERROR(INDEX('Raw Data'!AC:AC,MATCH($B186,'Raw Data'!$C:$C,0)),"-")</f>
        <v>Dumper</v>
      </c>
      <c r="B186" s="11" t="s">
        <v>119</v>
      </c>
      <c r="C186" s="12">
        <f>IFERROR(INDEX('Raw Data'!W:W,MATCH($B186,'Raw Data'!$C:$C,0)),"-")</f>
        <v>378.37</v>
      </c>
      <c r="D186" s="18">
        <f>IFERROR(INDEX('Raw Data'!X:X,MATCH($B186,'Raw Data'!$C:$C,0)),"-")</f>
        <v>18.90073331</v>
      </c>
      <c r="E186" s="18">
        <f>IFERROR(INDEX('Raw Data'!Y:Y,MATCH($B186,'Raw Data'!$C:$C,0)),"-")</f>
        <v>283.22181840000002</v>
      </c>
      <c r="F186" s="14">
        <f>IFERROR(INDEX('Raw Data'!F:F,MATCH($B186,'Raw Data'!$C:$C,0)),"-")</f>
        <v>15.529</v>
      </c>
      <c r="G186" s="12">
        <f>IFERROR(INDEX('Raw Data'!U:U,MATCH($B186,'Raw Data'!$C:$C,0)),"-")</f>
        <v>3375</v>
      </c>
      <c r="H186" s="12">
        <f>IFERROR(INDEX('Raw Data'!R:R,MATCH($B186,'Raw Data'!$C:$C,0)),"-")</f>
        <v>0</v>
      </c>
    </row>
    <row r="187" spans="1:8" ht="15" customHeight="1" x14ac:dyDescent="0.35">
      <c r="A187" s="16" t="str">
        <f>IFERROR(INDEX('Raw Data'!AC:AC,MATCH($B187,'Raw Data'!$C:$C,0)),"-")</f>
        <v>Tipper</v>
      </c>
      <c r="B187" s="11" t="s">
        <v>35</v>
      </c>
      <c r="C187" s="12">
        <f>IFERROR(INDEX('Raw Data'!W:W,MATCH($B187,'Raw Data'!$C:$C,0)),"-")</f>
        <v>218.7</v>
      </c>
      <c r="D187" s="18">
        <f>IFERROR(INDEX('Raw Data'!X:X,MATCH($B187,'Raw Data'!$C:$C,0)),"-")</f>
        <v>64.448635589999995</v>
      </c>
      <c r="E187" s="18">
        <f>IFERROR(INDEX('Raw Data'!Y:Y,MATCH($B187,'Raw Data'!$C:$C,0)),"-")</f>
        <v>53.350580540000003</v>
      </c>
      <c r="F187" s="14">
        <f>IFERROR(INDEX('Raw Data'!F:F,MATCH($B187,'Raw Data'!$C:$C,0)),"-")</f>
        <v>0.82779999999999898</v>
      </c>
      <c r="G187" s="12">
        <f>IFERROR(INDEX('Raw Data'!U:U,MATCH($B187,'Raw Data'!$C:$C,0)),"-")</f>
        <v>78</v>
      </c>
      <c r="H187" s="12">
        <f>IFERROR(INDEX('Raw Data'!R:R,MATCH($B187,'Raw Data'!$C:$C,0)),"-")</f>
        <v>0</v>
      </c>
    </row>
    <row r="188" spans="1:8" ht="15" customHeight="1" x14ac:dyDescent="0.35">
      <c r="A188" s="15" t="str">
        <f>IFERROR(INDEX('Raw Data'!AC:AC,MATCH($B188,'Raw Data'!$C:$C,0)),"-")</f>
        <v>Tipper</v>
      </c>
      <c r="B188" s="7" t="s">
        <v>37</v>
      </c>
      <c r="C188" s="8">
        <f>IFERROR(INDEX('Raw Data'!W:W,MATCH($B188,'Raw Data'!$C:$C,0)),"-")</f>
        <v>169.02</v>
      </c>
      <c r="D188" s="17">
        <f>IFERROR(INDEX('Raw Data'!X:X,MATCH($B188,'Raw Data'!$C:$C,0)),"-")</f>
        <v>5.9695904779999998</v>
      </c>
      <c r="E188" s="17">
        <f>IFERROR(INDEX('Raw Data'!Y:Y,MATCH($B188,'Raw Data'!$C:$C,0)),"-")</f>
        <v>29.471868189999999</v>
      </c>
      <c r="F188" s="10">
        <f>IFERROR(INDEX('Raw Data'!F:F,MATCH($B188,'Raw Data'!$C:$C,0)),"-")</f>
        <v>5.5994999999999999</v>
      </c>
      <c r="G188" s="8">
        <f>IFERROR(INDEX('Raw Data'!U:U,MATCH($B188,'Raw Data'!$C:$C,0)),"-")</f>
        <v>0</v>
      </c>
      <c r="H188" s="8">
        <f>IFERROR(INDEX('Raw Data'!R:R,MATCH($B188,'Raw Data'!$C:$C,0)),"-")</f>
        <v>0</v>
      </c>
    </row>
    <row r="189" spans="1:8" ht="15" customHeight="1" x14ac:dyDescent="0.35">
      <c r="A189" s="16" t="str">
        <f>IFERROR(INDEX('Raw Data'!AC:AC,MATCH($B189,'Raw Data'!$C:$C,0)),"-")</f>
        <v>Tipper</v>
      </c>
      <c r="B189" s="11" t="s">
        <v>41</v>
      </c>
      <c r="C189" s="12">
        <f>IFERROR(INDEX('Raw Data'!W:W,MATCH($B189,'Raw Data'!$C:$C,0)),"-")</f>
        <v>150.16</v>
      </c>
      <c r="D189" s="18">
        <f>IFERROR(INDEX('Raw Data'!X:X,MATCH($B189,'Raw Data'!$C:$C,0)),"-")</f>
        <v>8.1767787330000008</v>
      </c>
      <c r="E189" s="18">
        <f>IFERROR(INDEX('Raw Data'!Y:Y,MATCH($B189,'Raw Data'!$C:$C,0)),"-")</f>
        <v>94.242280960000002</v>
      </c>
      <c r="F189" s="14">
        <f>IFERROR(INDEX('Raw Data'!F:F,MATCH($B189,'Raw Data'!$C:$C,0)),"-")</f>
        <v>12.042399999999899</v>
      </c>
      <c r="G189" s="12">
        <f>IFERROR(INDEX('Raw Data'!U:U,MATCH($B189,'Raw Data'!$C:$C,0)),"-")</f>
        <v>0</v>
      </c>
      <c r="H189" s="12">
        <f>IFERROR(INDEX('Raw Data'!R:R,MATCH($B189,'Raw Data'!$C:$C,0)),"-")</f>
        <v>492.1</v>
      </c>
    </row>
    <row r="190" spans="1:8" ht="15" customHeight="1" x14ac:dyDescent="0.35">
      <c r="A190" s="15" t="str">
        <f>IFERROR(INDEX('Raw Data'!AC:AC,MATCH($B190,'Raw Data'!$C:$C,0)),"-")</f>
        <v>Tipper</v>
      </c>
      <c r="B190" s="7" t="s">
        <v>38</v>
      </c>
      <c r="C190" s="8">
        <f>IFERROR(INDEX('Raw Data'!W:W,MATCH($B190,'Raw Data'!$C:$C,0)),"-")</f>
        <v>0.39</v>
      </c>
      <c r="D190" s="17">
        <f>IFERROR(INDEX('Raw Data'!X:X,MATCH($B190,'Raw Data'!$C:$C,0)),"-")</f>
        <v>6.33651784E-2</v>
      </c>
      <c r="E190" s="17">
        <f>IFERROR(INDEX('Raw Data'!Y:Y,MATCH($B190,'Raw Data'!$C:$C,0)),"-")</f>
        <v>0.1982633067</v>
      </c>
      <c r="F190" s="10">
        <f>IFERROR(INDEX('Raw Data'!F:F,MATCH($B190,'Raw Data'!$C:$C,0)),"-")</f>
        <v>19.9012999999999</v>
      </c>
      <c r="G190" s="8">
        <f>IFERROR(INDEX('Raw Data'!U:U,MATCH($B190,'Raw Data'!$C:$C,0)),"-")</f>
        <v>26</v>
      </c>
      <c r="H190" s="8">
        <f>IFERROR(INDEX('Raw Data'!R:R,MATCH($B190,'Raw Data'!$C:$C,0)),"-")</f>
        <v>0</v>
      </c>
    </row>
    <row r="191" spans="1:8" ht="15" customHeight="1" x14ac:dyDescent="0.35">
      <c r="A191" s="16" t="str">
        <f>IFERROR(INDEX('Raw Data'!AC:AC,MATCH($B191,'Raw Data'!$C:$C,0)),"-")</f>
        <v>Tipper</v>
      </c>
      <c r="B191" s="11" t="s">
        <v>33</v>
      </c>
      <c r="C191" s="12">
        <f>IFERROR(INDEX('Raw Data'!W:W,MATCH($B191,'Raw Data'!$C:$C,0)),"-")</f>
        <v>0</v>
      </c>
      <c r="D191" s="18">
        <f>IFERROR(INDEX('Raw Data'!X:X,MATCH($B191,'Raw Data'!$C:$C,0)),"-")</f>
        <v>0</v>
      </c>
      <c r="E191" s="18">
        <f>IFERROR(INDEX('Raw Data'!Y:Y,MATCH($B191,'Raw Data'!$C:$C,0)),"-")</f>
        <v>0</v>
      </c>
      <c r="F191" s="14">
        <f>IFERROR(INDEX('Raw Data'!F:F,MATCH($B191,'Raw Data'!$C:$C,0)),"-")</f>
        <v>2.1082999999999998</v>
      </c>
      <c r="G191" s="12">
        <f>IFERROR(INDEX('Raw Data'!U:U,MATCH($B191,'Raw Data'!$C:$C,0)),"-")</f>
        <v>5226</v>
      </c>
      <c r="H191" s="12">
        <f>IFERROR(INDEX('Raw Data'!R:R,MATCH($B191,'Raw Data'!$C:$C,0)),"-")</f>
        <v>0</v>
      </c>
    </row>
    <row r="192" spans="1:8" ht="15" customHeight="1" x14ac:dyDescent="0.35">
      <c r="A192" s="15" t="str">
        <f>IFERROR(INDEX('Raw Data'!AC:AC,MATCH($B192,'Raw Data'!$C:$C,0)),"-")</f>
        <v>Tipper</v>
      </c>
      <c r="B192" s="7" t="s">
        <v>40</v>
      </c>
      <c r="C192" s="8">
        <f>IFERROR(INDEX('Raw Data'!W:W,MATCH($B192,'Raw Data'!$C:$C,0)),"-")</f>
        <v>0</v>
      </c>
      <c r="D192" s="17">
        <f>IFERROR(INDEX('Raw Data'!X:X,MATCH($B192,'Raw Data'!$C:$C,0)),"-")</f>
        <v>0</v>
      </c>
      <c r="E192" s="17">
        <f>IFERROR(INDEX('Raw Data'!Y:Y,MATCH($B192,'Raw Data'!$C:$C,0)),"-")</f>
        <v>0</v>
      </c>
      <c r="F192" s="10">
        <f>IFERROR(INDEX('Raw Data'!F:F,MATCH($B192,'Raw Data'!$C:$C,0)),"-")</f>
        <v>0.1106</v>
      </c>
      <c r="G192" s="8">
        <f>IFERROR(INDEX('Raw Data'!U:U,MATCH($B192,'Raw Data'!$C:$C,0)),"-")</f>
        <v>0</v>
      </c>
      <c r="H192" s="8">
        <f>IFERROR(INDEX('Raw Data'!R:R,MATCH($B192,'Raw Data'!$C:$C,0)),"-")</f>
        <v>0</v>
      </c>
    </row>
    <row r="193" spans="1:8" ht="15" customHeight="1" x14ac:dyDescent="0.35">
      <c r="A193" s="16" t="str">
        <f>IFERROR(INDEX('Raw Data'!AC:AC,MATCH($B193,'Raw Data'!$C:$C,0)),"-")</f>
        <v>Tipper</v>
      </c>
      <c r="B193" s="11" t="s">
        <v>68</v>
      </c>
      <c r="C193" s="12">
        <f>IFERROR(INDEX('Raw Data'!W:W,MATCH($B193,'Raw Data'!$C:$C,0)),"-")</f>
        <v>0</v>
      </c>
      <c r="D193" s="18">
        <f>IFERROR(INDEX('Raw Data'!X:X,MATCH($B193,'Raw Data'!$C:$C,0)),"-")</f>
        <v>0</v>
      </c>
      <c r="E193" s="18">
        <f>IFERROR(INDEX('Raw Data'!Y:Y,MATCH($B193,'Raw Data'!$C:$C,0)),"-")</f>
        <v>0</v>
      </c>
      <c r="F193" s="14">
        <f>IFERROR(INDEX('Raw Data'!F:F,MATCH($B193,'Raw Data'!$C:$C,0)),"-")</f>
        <v>744</v>
      </c>
      <c r="G193" s="12">
        <f>IFERROR(INDEX('Raw Data'!U:U,MATCH($B193,'Raw Data'!$C:$C,0)),"-")</f>
        <v>104</v>
      </c>
      <c r="H193" s="12">
        <f>IFERROR(INDEX('Raw Data'!R:R,MATCH($B193,'Raw Data'!$C:$C,0)),"-")</f>
        <v>0</v>
      </c>
    </row>
    <row r="194" spans="1:8" ht="15" customHeight="1" x14ac:dyDescent="0.35">
      <c r="A194" s="15" t="str">
        <f>IFERROR(INDEX('Raw Data'!AC:AC,MATCH($B194,'Raw Data'!$C:$C,0)),"-")</f>
        <v>Dumper</v>
      </c>
      <c r="B194" s="7" t="s">
        <v>179</v>
      </c>
      <c r="C194" s="8">
        <f>IFERROR(INDEX('Raw Data'!W:W,MATCH($B194,'Raw Data'!$C:$C,0)),"-")</f>
        <v>0</v>
      </c>
      <c r="D194" s="17">
        <f>IFERROR(INDEX('Raw Data'!X:X,MATCH($B194,'Raw Data'!$C:$C,0)),"-")</f>
        <v>0</v>
      </c>
      <c r="E194" s="17">
        <f>IFERROR(INDEX('Raw Data'!Y:Y,MATCH($B194,'Raw Data'!$C:$C,0)),"-")</f>
        <v>0</v>
      </c>
      <c r="F194" s="10">
        <f>IFERROR(INDEX('Raw Data'!F:F,MATCH($B194,'Raw Data'!$C:$C,0)),"-")</f>
        <v>1.1863999999999999</v>
      </c>
      <c r="G194" s="8">
        <f>IFERROR(INDEX('Raw Data'!U:U,MATCH($B194,'Raw Data'!$C:$C,0)),"-")</f>
        <v>54684</v>
      </c>
      <c r="H194" s="8">
        <f>IFERROR(INDEX('Raw Data'!R:R,MATCH($B194,'Raw Data'!$C:$C,0)),"-")</f>
        <v>0</v>
      </c>
    </row>
    <row r="195" spans="1:8" ht="15" customHeight="1" x14ac:dyDescent="0.35">
      <c r="A195" s="16" t="str">
        <f>IFERROR(INDEX('Raw Data'!AC:AC,MATCH($B195,'Raw Data'!$C:$C,0)),"-")</f>
        <v>Front End Loader</v>
      </c>
      <c r="B195" s="11" t="s">
        <v>185</v>
      </c>
      <c r="C195" s="12">
        <f>IFERROR(INDEX('Raw Data'!W:W,MATCH($B195,'Raw Data'!$C:$C,0)),"-")</f>
        <v>0</v>
      </c>
      <c r="D195" s="18">
        <f>IFERROR(INDEX('Raw Data'!X:X,MATCH($B195,'Raw Data'!$C:$C,0)),"-")</f>
        <v>0</v>
      </c>
      <c r="E195" s="18">
        <f>IFERROR(INDEX('Raw Data'!Y:Y,MATCH($B195,'Raw Data'!$C:$C,0)),"-")</f>
        <v>0</v>
      </c>
      <c r="F195" s="14">
        <f>IFERROR(INDEX('Raw Data'!F:F,MATCH($B195,'Raw Data'!$C:$C,0)),"-")</f>
        <v>0</v>
      </c>
      <c r="G195" s="12">
        <f>IFERROR(INDEX('Raw Data'!U:U,MATCH($B195,'Raw Data'!$C:$C,0)),"-")</f>
        <v>0</v>
      </c>
      <c r="H195" s="12">
        <f>IFERROR(INDEX('Raw Data'!R:R,MATCH($B195,'Raw Data'!$C:$C,0)),"-")</f>
        <v>0</v>
      </c>
    </row>
    <row r="196" spans="1:8" ht="15" customHeight="1" x14ac:dyDescent="0.35">
      <c r="A196" s="15" t="str">
        <f>IFERROR(INDEX('Raw Data'!AC:AC,MATCH($B196,'Raw Data'!$C:$C,0)),"-")</f>
        <v>Front End Loader</v>
      </c>
      <c r="B196" s="7" t="s">
        <v>190</v>
      </c>
      <c r="C196" s="8">
        <f>IFERROR(INDEX('Raw Data'!W:W,MATCH($B196,'Raw Data'!$C:$C,0)),"-")</f>
        <v>0</v>
      </c>
      <c r="D196" s="17">
        <f>IFERROR(INDEX('Raw Data'!X:X,MATCH($B196,'Raw Data'!$C:$C,0)),"-")</f>
        <v>0</v>
      </c>
      <c r="E196" s="17">
        <f>IFERROR(INDEX('Raw Data'!Y:Y,MATCH($B196,'Raw Data'!$C:$C,0)),"-")</f>
        <v>0</v>
      </c>
      <c r="F196" s="10">
        <f>IFERROR(INDEX('Raw Data'!F:F,MATCH($B196,'Raw Data'!$C:$C,0)),"-")</f>
        <v>0</v>
      </c>
      <c r="G196" s="8">
        <f>IFERROR(INDEX('Raw Data'!U:U,MATCH($B196,'Raw Data'!$C:$C,0)),"-")</f>
        <v>0</v>
      </c>
      <c r="H196" s="8">
        <f>IFERROR(INDEX('Raw Data'!R:R,MATCH($B196,'Raw Data'!$C:$C,0)),"-")</f>
        <v>0</v>
      </c>
    </row>
    <row r="197" spans="1:8" ht="15" customHeight="1" x14ac:dyDescent="0.35">
      <c r="A197" s="16" t="str">
        <f>IFERROR(INDEX('Raw Data'!AC:AC,MATCH($B197,'Raw Data'!$C:$C,0)),"-")</f>
        <v>Front End Loader</v>
      </c>
      <c r="B197" s="11" t="s">
        <v>196</v>
      </c>
      <c r="C197" s="12">
        <f>IFERROR(INDEX('Raw Data'!W:W,MATCH($B197,'Raw Data'!$C:$C,0)),"-")</f>
        <v>0</v>
      </c>
      <c r="D197" s="18">
        <f>IFERROR(INDEX('Raw Data'!X:X,MATCH($B197,'Raw Data'!$C:$C,0)),"-")</f>
        <v>0</v>
      </c>
      <c r="E197" s="18">
        <f>IFERROR(INDEX('Raw Data'!Y:Y,MATCH($B197,'Raw Data'!$C:$C,0)),"-")</f>
        <v>0</v>
      </c>
      <c r="F197" s="14">
        <f>IFERROR(INDEX('Raw Data'!F:F,MATCH($B197,'Raw Data'!$C:$C,0)),"-")</f>
        <v>488.08019999999902</v>
      </c>
      <c r="G197" s="12">
        <f>IFERROR(INDEX('Raw Data'!U:U,MATCH($B197,'Raw Data'!$C:$C,0)),"-")</f>
        <v>0</v>
      </c>
      <c r="H197" s="12">
        <f>IFERROR(INDEX('Raw Data'!R:R,MATCH($B197,'Raw Data'!$C:$C,0)),"-")</f>
        <v>0</v>
      </c>
    </row>
    <row r="198" spans="1:8" ht="15" customHeight="1" x14ac:dyDescent="0.35">
      <c r="A198" s="15" t="str">
        <f>IFERROR(INDEX('Raw Data'!AC:AC,MATCH($B198,'Raw Data'!$C:$C,0)),"-")</f>
        <v>Surface Miner</v>
      </c>
      <c r="B198" s="7" t="s">
        <v>230</v>
      </c>
      <c r="C198" s="8">
        <f>IFERROR(INDEX('Raw Data'!W:W,MATCH($B198,'Raw Data'!$C:$C,0)),"-")</f>
        <v>0</v>
      </c>
      <c r="D198" s="17">
        <f>IFERROR(INDEX('Raw Data'!X:X,MATCH($B198,'Raw Data'!$C:$C,0)),"-")</f>
        <v>0</v>
      </c>
      <c r="E198" s="17">
        <f>IFERROR(INDEX('Raw Data'!Y:Y,MATCH($B198,'Raw Data'!$C:$C,0)),"-")</f>
        <v>0</v>
      </c>
      <c r="F198" s="10">
        <f>IFERROR(INDEX('Raw Data'!F:F,MATCH($B198,'Raw Data'!$C:$C,0)),"-")</f>
        <v>7.8678999999999997</v>
      </c>
      <c r="G198" s="8">
        <f>IFERROR(INDEX('Raw Data'!U:U,MATCH($B198,'Raw Data'!$C:$C,0)),"-")</f>
        <v>0</v>
      </c>
      <c r="H198" s="8">
        <f>IFERROR(INDEX('Raw Data'!R:R,MATCH($B198,'Raw Data'!$C:$C,0)),"-")</f>
        <v>0</v>
      </c>
    </row>
    <row r="199" spans="1:8" ht="15" customHeight="1" x14ac:dyDescent="0.35">
      <c r="A199" s="16" t="str">
        <f>IFERROR(INDEX('Raw Data'!AC:AC,MATCH($B199,'Raw Data'!$C:$C,0)),"-")</f>
        <v>Diesel Bowser</v>
      </c>
      <c r="B199" s="11" t="s">
        <v>240</v>
      </c>
      <c r="C199" s="12">
        <f>IFERROR(INDEX('Raw Data'!W:W,MATCH($B199,'Raw Data'!$C:$C,0)),"-")</f>
        <v>0</v>
      </c>
      <c r="D199" s="18">
        <f>IFERROR(INDEX('Raw Data'!X:X,MATCH($B199,'Raw Data'!$C:$C,0)),"-")</f>
        <v>0</v>
      </c>
      <c r="E199" s="18">
        <f>IFERROR(INDEX('Raw Data'!Y:Y,MATCH($B199,'Raw Data'!$C:$C,0)),"-")</f>
        <v>0</v>
      </c>
      <c r="F199" s="14">
        <f>IFERROR(INDEX('Raw Data'!F:F,MATCH($B199,'Raw Data'!$C:$C,0)),"-")</f>
        <v>744</v>
      </c>
      <c r="G199" s="12">
        <f>IFERROR(INDEX('Raw Data'!U:U,MATCH($B199,'Raw Data'!$C:$C,0)),"-")</f>
        <v>0</v>
      </c>
      <c r="H199" s="12">
        <f>IFERROR(INDEX('Raw Data'!R:R,MATCH($B199,'Raw Data'!$C:$C,0)),"-")</f>
        <v>0</v>
      </c>
    </row>
  </sheetData>
  <mergeCells count="3">
    <mergeCell ref="A1:H1"/>
    <mergeCell ref="A3:H3"/>
    <mergeCell ref="A13:H13"/>
  </mergeCells>
  <conditionalFormatting sqref="D15:D32">
    <cfRule type="cellIs" dxfId="5" priority="15" operator="greaterThan">
      <formula>AVERAGE(D15:D199)*2</formula>
    </cfRule>
  </conditionalFormatting>
  <conditionalFormatting sqref="D33:D178">
    <cfRule type="cellIs" dxfId="4" priority="11" operator="greaterThan">
      <formula>AVERAGE(D33:D218)*2</formula>
    </cfRule>
  </conditionalFormatting>
  <conditionalFormatting sqref="D179:D186">
    <cfRule type="cellIs" dxfId="3" priority="8" operator="greaterThan">
      <formula>AVERAGE(D179:D365)*2</formula>
    </cfRule>
  </conditionalFormatting>
  <conditionalFormatting sqref="D187:D199">
    <cfRule type="cellIs" dxfId="2" priority="2" operator="greaterThan">
      <formula>AVERAGE(D187:D374)*2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showGridLines="0" zoomScaleNormal="100" workbookViewId="0">
      <pane ySplit="2" topLeftCell="A3" activePane="bottomLeft" state="frozen"/>
      <selection pane="bottomLeft" activeCell="A21" sqref="A21:XFD21"/>
    </sheetView>
  </sheetViews>
  <sheetFormatPr defaultColWidth="8.6328125" defaultRowHeight="14.5" x14ac:dyDescent="0.35"/>
  <cols>
    <col min="1" max="1" width="20" customWidth="1"/>
    <col min="2" max="2" width="14" customWidth="1"/>
    <col min="3" max="5" width="10" customWidth="1"/>
    <col min="6" max="6" width="16" customWidth="1"/>
    <col min="7" max="7" width="12" customWidth="1"/>
    <col min="8" max="8" width="18" customWidth="1"/>
  </cols>
  <sheetData>
    <row r="1" spans="1:8" ht="27.75" customHeight="1" x14ac:dyDescent="0.35">
      <c r="A1" s="63" t="s">
        <v>295</v>
      </c>
      <c r="B1" s="63"/>
      <c r="C1" s="63"/>
      <c r="D1" s="63"/>
      <c r="E1" s="63"/>
      <c r="F1" s="63"/>
      <c r="G1" s="63"/>
      <c r="H1" s="63"/>
    </row>
    <row r="3" spans="1:8" ht="18" customHeight="1" x14ac:dyDescent="0.35">
      <c r="A3" s="71" t="s">
        <v>286</v>
      </c>
      <c r="B3" s="71"/>
      <c r="C3" s="71"/>
      <c r="D3" s="71"/>
      <c r="E3" s="71"/>
      <c r="F3" s="71"/>
      <c r="G3" s="71"/>
      <c r="H3" s="71"/>
    </row>
    <row r="4" spans="1:8" ht="25.5" customHeight="1" x14ac:dyDescent="0.35">
      <c r="A4" s="6" t="s">
        <v>246</v>
      </c>
      <c r="B4" s="6" t="s">
        <v>287</v>
      </c>
      <c r="C4" s="6" t="s">
        <v>263</v>
      </c>
      <c r="D4" s="6" t="s">
        <v>296</v>
      </c>
      <c r="E4" s="6" t="s">
        <v>297</v>
      </c>
      <c r="F4" s="6" t="s">
        <v>265</v>
      </c>
      <c r="G4" s="6" t="s">
        <v>298</v>
      </c>
      <c r="H4" s="6" t="s">
        <v>299</v>
      </c>
    </row>
    <row r="5" spans="1:8" ht="15.75" customHeight="1" x14ac:dyDescent="0.35">
      <c r="A5" s="7" t="s">
        <v>32</v>
      </c>
      <c r="B5" s="8">
        <f>COUNTIFS('Raw Data'!AC:AC,"Tipper",'Raw Data'!AD:AD,"Operational",'Raw Data'!AE:AE,"Individual")</f>
        <v>58</v>
      </c>
      <c r="C5" s="19">
        <f>SUMIFS('Raw Data'!J:J,'Raw Data'!AC:AC,"Tipper",'Raw Data'!AD:AD,"Operational",'Raw Data'!AE:AE,"Individual")</f>
        <v>9555.9513999999526</v>
      </c>
      <c r="D5" s="10">
        <f>IFERROR(AVERAGEIFS('Raw Data'!J:J,'Raw Data'!AC:AC,"Tipper",'Raw Data'!AD:AD,"Operational",'Raw Data'!AE:AE,"Individual"),0)</f>
        <v>164.75778275861987</v>
      </c>
      <c r="E5" s="9">
        <f>IFERROR(SUMIFS('Raw Data'!J:J,'Raw Data'!AC:AC,"Tipper",'Raw Data'!AD:AD,"Operational",'Raw Data'!AE:AE,"Individual")/SUMIFS('Raw Data'!E:E,'Raw Data'!AC:AC,"Tipper",'Raw Data'!AD:AD,"Operational",'Raw Data'!AE:AE,"Individual"),0)</f>
        <v>0.35187223122904043</v>
      </c>
      <c r="F5" s="19">
        <f>SUMIFS('Raw Data'!H:H,'Raw Data'!AC:AC,"Tipper",'Raw Data'!AD:AD,"Operational",'Raw Data'!AE:AE,"Individual")</f>
        <v>15982.020699999988</v>
      </c>
      <c r="G5" s="9">
        <f>IFERROR(SUMIFS('Raw Data'!H:H,'Raw Data'!AC:AC,"Tipper",'Raw Data'!AE:AE,"Individual")/SUMIFS('Raw Data'!D:D,'Raw Data'!AC:AC,"Tipper",'Raw Data'!AE:AE,"Individual"),0)</f>
        <v>0.44679904303125617</v>
      </c>
      <c r="H5" s="10">
        <f>IFERROR(AVERAGEIFS('Raw Data'!D:D,'Raw Data'!AC:AC,"Tipper",'Raw Data'!AE:AE,"Individual"),0)</f>
        <v>743.81011363636298</v>
      </c>
    </row>
    <row r="6" spans="1:8" ht="15.75" customHeight="1" x14ac:dyDescent="0.35">
      <c r="A6" s="11" t="s">
        <v>101</v>
      </c>
      <c r="B6" s="12">
        <f>COUNTIFS('Raw Data'!AC:AC,"Dumper",'Raw Data'!AD:AD,"Operational",'Raw Data'!AE:AE,"Individual")</f>
        <v>74</v>
      </c>
      <c r="C6" s="20">
        <f>SUMIFS('Raw Data'!J:J,'Raw Data'!AC:AC,"Dumper",'Raw Data'!AD:AD,"Operational",'Raw Data'!AE:AE,"Individual")</f>
        <v>5479.7380999999914</v>
      </c>
      <c r="D6" s="14">
        <f>IFERROR(AVERAGEIFS('Raw Data'!J:J,'Raw Data'!AC:AC,"Dumper",'Raw Data'!AD:AD,"Operational",'Raw Data'!AE:AE,"Individual"),0)</f>
        <v>74.050514864864752</v>
      </c>
      <c r="E6" s="13">
        <f>IFERROR(SUMIFS('Raw Data'!J:J,'Raw Data'!AC:AC,"Dumper",'Raw Data'!AD:AD,"Operational",'Raw Data'!AE:AE,"Individual")/SUMIFS('Raw Data'!E:E,'Raw Data'!AC:AC,"Dumper",'Raw Data'!AD:AD,"Operational",'Raw Data'!AE:AE,"Individual"),0)</f>
        <v>0.17703155690183917</v>
      </c>
      <c r="F6" s="20">
        <f>SUMIFS('Raw Data'!H:H,'Raw Data'!AC:AC,"Dumper",'Raw Data'!AD:AD,"Operational",'Raw Data'!AE:AE,"Individual")</f>
        <v>24096.612999999965</v>
      </c>
      <c r="G6" s="13">
        <f>IFERROR(SUMIFS('Raw Data'!H:H,'Raw Data'!AC:AC,"Dumper",'Raw Data'!AE:AE,"Individual")/SUMIFS('Raw Data'!D:D,'Raw Data'!AC:AC,"Dumper",'Raw Data'!AE:AE,"Individual"),0)</f>
        <v>0.45963098953620635</v>
      </c>
      <c r="H6" s="14">
        <f>IFERROR(AVERAGEIFS('Raw Data'!D:D,'Raw Data'!AC:AC,"Dumper",'Raw Data'!AE:AE,"Individual"),0)</f>
        <v>743.92294415584388</v>
      </c>
    </row>
    <row r="7" spans="1:8" ht="15.75" customHeight="1" x14ac:dyDescent="0.35">
      <c r="A7" s="7" t="s">
        <v>199</v>
      </c>
      <c r="B7" s="8">
        <f>COUNTIFS('Raw Data'!AC:AC,"Excavator",'Raw Data'!AD:AD,"Operational",'Raw Data'!AE:AE,"Individual")</f>
        <v>26</v>
      </c>
      <c r="C7" s="19">
        <f>SUMIFS('Raw Data'!J:J,'Raw Data'!AC:AC,"Excavator",'Raw Data'!AD:AD,"Operational",'Raw Data'!AE:AE,"Individual")</f>
        <v>1208.119099999999</v>
      </c>
      <c r="D7" s="10">
        <f>IFERROR(AVERAGEIFS('Raw Data'!J:J,'Raw Data'!AC:AC,"Excavator",'Raw Data'!AD:AD,"Operational",'Raw Data'!AE:AE,"Individual"),0)</f>
        <v>46.466119230769195</v>
      </c>
      <c r="E7" s="9">
        <f>IFERROR(SUMIFS('Raw Data'!J:J,'Raw Data'!AC:AC,"Excavator",'Raw Data'!AD:AD,"Operational",'Raw Data'!AE:AE,"Individual")/SUMIFS('Raw Data'!E:E,'Raw Data'!AC:AC,"Excavator",'Raw Data'!AD:AD,"Operational",'Raw Data'!AE:AE,"Individual"),0)</f>
        <v>0.10300151965123851</v>
      </c>
      <c r="F7" s="19">
        <f>SUMIFS('Raw Data'!H:H,'Raw Data'!AC:AC,"Excavator",'Raw Data'!AD:AD,"Operational",'Raw Data'!AE:AE,"Individual")</f>
        <v>7612.0424999999914</v>
      </c>
      <c r="G7" s="9">
        <f>IFERROR(SUMIFS('Raw Data'!H:H,'Raw Data'!AC:AC,"Excavator",'Raw Data'!AE:AE,"Individual")/SUMIFS('Raw Data'!D:D,'Raw Data'!AC:AC,"Excavator",'Raw Data'!AE:AE,"Individual"),0)</f>
        <v>0.43688911514625012</v>
      </c>
      <c r="H7" s="10">
        <f>IFERROR(AVERAGEIFS('Raw Data'!D:D,'Raw Data'!AC:AC,"Excavator",'Raw Data'!AE:AE,"Individual"),0)</f>
        <v>743.89932499999964</v>
      </c>
    </row>
    <row r="8" spans="1:8" ht="15.75" customHeight="1" x14ac:dyDescent="0.35">
      <c r="A8" s="11" t="s">
        <v>181</v>
      </c>
      <c r="B8" s="12">
        <f>COUNTIFS('Raw Data'!AC:AC,"Front End Loader",'Raw Data'!AD:AD,"Operational",'Raw Data'!AE:AE,"Individual")</f>
        <v>15</v>
      </c>
      <c r="C8" s="20">
        <f>SUMIFS('Raw Data'!J:J,'Raw Data'!AC:AC,"Front End Loader",'Raw Data'!AD:AD,"Operational",'Raw Data'!AE:AE,"Individual")</f>
        <v>4008.9335999999989</v>
      </c>
      <c r="D8" s="14">
        <f>IFERROR(AVERAGEIFS('Raw Data'!J:J,'Raw Data'!AC:AC,"Front End Loader",'Raw Data'!AD:AD,"Operational",'Raw Data'!AE:AE,"Individual"),0)</f>
        <v>267.26223999999991</v>
      </c>
      <c r="E8" s="13">
        <f>IFERROR(SUMIFS('Raw Data'!J:J,'Raw Data'!AC:AC,"Front End Loader",'Raw Data'!AD:AD,"Operational",'Raw Data'!AE:AE,"Individual")/SUMIFS('Raw Data'!E:E,'Raw Data'!AC:AC,"Front End Loader",'Raw Data'!AD:AD,"Operational",'Raw Data'!AE:AE,"Individual"),0)</f>
        <v>0.43817159256458271</v>
      </c>
      <c r="F8" s="20">
        <f>SUMIFS('Raw Data'!H:H,'Raw Data'!AC:AC,"Front End Loader",'Raw Data'!AD:AD,"Operational",'Raw Data'!AE:AE,"Individual")</f>
        <v>2004.486099999996</v>
      </c>
      <c r="G8" s="13">
        <f>IFERROR(SUMIFS('Raw Data'!H:H,'Raw Data'!AC:AC,"Front End Loader",'Raw Data'!AE:AE,"Individual")/SUMIFS('Raw Data'!D:D,'Raw Data'!AC:AC,"Front End Loader",'Raw Data'!AE:AE,"Individual"),0)</f>
        <v>0.2310095140764048</v>
      </c>
      <c r="H8" s="14">
        <f>IFERROR(AVERAGEIFS('Raw Data'!D:D,'Raw Data'!AC:AC,"Front End Loader",'Raw Data'!AE:AE,"Individual"),0)</f>
        <v>743.60738749999962</v>
      </c>
    </row>
    <row r="9" spans="1:8" ht="15.75" customHeight="1" x14ac:dyDescent="0.35">
      <c r="A9" s="7" t="s">
        <v>228</v>
      </c>
      <c r="B9" s="8">
        <f>COUNTIFS('Raw Data'!AC:AC,"Surface Miner",'Raw Data'!AD:AD,"Operational",'Raw Data'!AE:AE,"Individual")</f>
        <v>6</v>
      </c>
      <c r="C9" s="19">
        <f>SUMIFS('Raw Data'!J:J,'Raw Data'!AC:AC,"Surface Miner",'Raw Data'!AD:AD,"Operational",'Raw Data'!AE:AE,"Individual")</f>
        <v>289.22079999999988</v>
      </c>
      <c r="D9" s="10">
        <f>IFERROR(AVERAGEIFS('Raw Data'!J:J,'Raw Data'!AC:AC,"Surface Miner",'Raw Data'!AD:AD,"Operational",'Raw Data'!AE:AE,"Individual"),0)</f>
        <v>48.20346666666665</v>
      </c>
      <c r="E9" s="9">
        <f>IFERROR(SUMIFS('Raw Data'!J:J,'Raw Data'!AC:AC,"Surface Miner",'Raw Data'!AD:AD,"Operational",'Raw Data'!AE:AE,"Individual")/SUMIFS('Raw Data'!E:E,'Raw Data'!AC:AC,"Surface Miner",'Raw Data'!AD:AD,"Operational",'Raw Data'!AE:AE,"Individual"),0)</f>
        <v>0.11386298700976595</v>
      </c>
      <c r="F9" s="19">
        <f>SUMIFS('Raw Data'!H:H,'Raw Data'!AC:AC,"Surface Miner",'Raw Data'!AD:AD,"Operational",'Raw Data'!AE:AE,"Individual")</f>
        <v>1912.7429999999979</v>
      </c>
      <c r="G9" s="9">
        <f>IFERROR(SUMIFS('Raw Data'!H:H,'Raw Data'!AC:AC,"Surface Miner",'Raw Data'!AE:AE,"Individual")/SUMIFS('Raw Data'!D:D,'Raw Data'!AC:AC,"Surface Miner",'Raw Data'!AE:AE,"Individual"),0)</f>
        <v>0.42955763497669908</v>
      </c>
      <c r="H9" s="10">
        <f>IFERROR(AVERAGEIFS('Raw Data'!D:D,'Raw Data'!AC:AC,"Surface Miner",'Raw Data'!AE:AE,"Individual"),0)</f>
        <v>742.13673333333281</v>
      </c>
    </row>
    <row r="10" spans="1:8" ht="15.75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20">
        <f>SUMIFS('Raw Data'!J:J,'Raw Data'!AC:AC,"Diesel Bowser",'Raw Data'!AD:AD,"Operational",'Raw Data'!AE:AE,"Individual")</f>
        <v>2069.4218999999989</v>
      </c>
      <c r="D10" s="14">
        <f>IFERROR(AVERAGEIFS('Raw Data'!J:J,'Raw Data'!AC:AC,"Diesel Bowser",'Raw Data'!AD:AD,"Operational",'Raw Data'!AE:AE,"Individual"),0)</f>
        <v>344.9036499999998</v>
      </c>
      <c r="E10" s="13">
        <f>IFERROR(SUMIFS('Raw Data'!J:J,'Raw Data'!AC:AC,"Diesel Bowser",'Raw Data'!AD:AD,"Operational",'Raw Data'!AE:AE,"Individual")/SUMIFS('Raw Data'!E:E,'Raw Data'!AC:AC,"Diesel Bowser",'Raw Data'!AD:AD,"Operational",'Raw Data'!AE:AE,"Individual"),0)</f>
        <v>0.62079450596376695</v>
      </c>
      <c r="F10" s="20">
        <f>SUMIFS('Raw Data'!H:H,'Raw Data'!AC:AC,"Diesel Bowser",'Raw Data'!AD:AD,"Operational",'Raw Data'!AE:AE,"Individual")</f>
        <v>1130.4970999999982</v>
      </c>
      <c r="G10" s="13">
        <f>IFERROR(SUMIFS('Raw Data'!H:H,'Raw Data'!AC:AC,"Diesel Bowser",'Raw Data'!AE:AE,"Individual")/SUMIFS('Raw Data'!D:D,'Raw Data'!AC:AC,"Diesel Bowser",'Raw Data'!AE:AE,"Individual"),0)</f>
        <v>0.25324741074299523</v>
      </c>
      <c r="H10" s="14">
        <f>IFERROR(AVERAGEIFS('Raw Data'!D:D,'Raw Data'!AC:AC,"Diesel Bowser",'Raw Data'!AE:AE,"Individual"),0)</f>
        <v>744.00043333333304</v>
      </c>
    </row>
    <row r="13" spans="1:8" ht="18" customHeight="1" x14ac:dyDescent="0.35">
      <c r="A13" s="71" t="s">
        <v>300</v>
      </c>
      <c r="B13" s="71"/>
      <c r="C13" s="71"/>
      <c r="D13" s="71"/>
      <c r="E13" s="71"/>
      <c r="F13" s="71"/>
      <c r="G13" s="71"/>
      <c r="H13" s="71"/>
    </row>
    <row r="14" spans="1:8" ht="25.5" customHeight="1" x14ac:dyDescent="0.35">
      <c r="A14" s="6" t="s">
        <v>29</v>
      </c>
      <c r="B14" s="6" t="s">
        <v>3</v>
      </c>
      <c r="C14" s="6" t="s">
        <v>272</v>
      </c>
      <c r="D14" s="6" t="s">
        <v>273</v>
      </c>
      <c r="E14" s="6" t="s">
        <v>275</v>
      </c>
      <c r="F14" s="6" t="s">
        <v>297</v>
      </c>
      <c r="G14" s="6" t="s">
        <v>301</v>
      </c>
      <c r="H14" s="6" t="s">
        <v>298</v>
      </c>
    </row>
    <row r="15" spans="1:8" ht="15" customHeight="1" x14ac:dyDescent="0.35">
      <c r="A15" s="15" t="str">
        <f>IFERROR(INDEX('Raw Data'!AC:AC,MATCH($B15,'Raw Data'!$C:$C,0)),"-")</f>
        <v>Front End Loader</v>
      </c>
      <c r="B15" s="7" t="s">
        <v>185</v>
      </c>
      <c r="C15" s="10">
        <f>IFERROR(INDEX('Raw Data'!D:D,MATCH($B15,'Raw Data'!$C:$C,0)),0)</f>
        <v>744</v>
      </c>
      <c r="D15" s="10">
        <f>IFERROR(INDEX('Raw Data'!E:E,MATCH($B15,'Raw Data'!$C:$C,0)),0)</f>
        <v>744</v>
      </c>
      <c r="E15" s="10">
        <f>IFERROR(INDEX('Raw Data'!J:J,MATCH($B15,'Raw Data'!$C:$C,0)),0)</f>
        <v>744</v>
      </c>
      <c r="F15" s="9">
        <f t="shared" ref="F15:F43" si="0">IFERROR(E15/D15,"-")</f>
        <v>1</v>
      </c>
      <c r="G15" s="10">
        <f>IFERROR(INDEX('Raw Data'!H:H,MATCH($B15,'Raw Data'!$C:$C,0)),0)</f>
        <v>0</v>
      </c>
      <c r="H15" s="9">
        <f t="shared" ref="H15:H43" si="1">IFERROR(G15/C15,"-")</f>
        <v>0</v>
      </c>
    </row>
    <row r="16" spans="1:8" ht="15" customHeight="1" x14ac:dyDescent="0.35">
      <c r="A16" s="16" t="str">
        <f>IFERROR(INDEX('Raw Data'!AC:AC,MATCH($B16,'Raw Data'!$C:$C,0)),"-")</f>
        <v>Front End Loader</v>
      </c>
      <c r="B16" s="11" t="s">
        <v>190</v>
      </c>
      <c r="C16" s="14">
        <f>IFERROR(INDEX('Raw Data'!D:D,MATCH($B16,'Raw Data'!$C:$C,0)),0)</f>
        <v>744</v>
      </c>
      <c r="D16" s="14">
        <f>IFERROR(INDEX('Raw Data'!E:E,MATCH($B16,'Raw Data'!$C:$C,0)),0)</f>
        <v>744</v>
      </c>
      <c r="E16" s="14">
        <f>IFERROR(INDEX('Raw Data'!J:J,MATCH($B16,'Raw Data'!$C:$C,0)),0)</f>
        <v>744</v>
      </c>
      <c r="F16" s="13">
        <f t="shared" si="0"/>
        <v>1</v>
      </c>
      <c r="G16" s="14">
        <f>IFERROR(INDEX('Raw Data'!H:H,MATCH($B16,'Raw Data'!$C:$C,0)),0)</f>
        <v>0</v>
      </c>
      <c r="H16" s="13">
        <f t="shared" si="1"/>
        <v>0</v>
      </c>
    </row>
    <row r="17" spans="1:8" ht="15" customHeight="1" x14ac:dyDescent="0.35">
      <c r="A17" s="15" t="str">
        <f>IFERROR(INDEX('Raw Data'!AC:AC,MATCH($B17,'Raw Data'!$C:$C,0)),"-")</f>
        <v>Diesel Bowser</v>
      </c>
      <c r="B17" s="7" t="s">
        <v>238</v>
      </c>
      <c r="C17" s="10">
        <f>IFERROR(INDEX('Raw Data'!D:D,MATCH($B17,'Raw Data'!$C:$C,0)),0)</f>
        <v>744.00189999999895</v>
      </c>
      <c r="D17" s="10">
        <f>IFERROR(INDEX('Raw Data'!E:E,MATCH($B17,'Raw Data'!$C:$C,0)),0)</f>
        <v>619.169299999999</v>
      </c>
      <c r="E17" s="10">
        <f>IFERROR(INDEX('Raw Data'!J:J,MATCH($B17,'Raw Data'!$C:$C,0)),0)</f>
        <v>501.41479999999899</v>
      </c>
      <c r="F17" s="9">
        <f t="shared" si="0"/>
        <v>0.80981857466124341</v>
      </c>
      <c r="G17" s="10">
        <f>IFERROR(INDEX('Raw Data'!H:H,MATCH($B17,'Raw Data'!$C:$C,0)),0)</f>
        <v>124.8326</v>
      </c>
      <c r="H17" s="9">
        <f t="shared" si="1"/>
        <v>0.16778532420414541</v>
      </c>
    </row>
    <row r="18" spans="1:8" ht="15" customHeight="1" x14ac:dyDescent="0.35">
      <c r="A18" s="16" t="str">
        <f>IFERROR(INDEX('Raw Data'!AC:AC,MATCH($B18,'Raw Data'!$C:$C,0)),"-")</f>
        <v>Diesel Bowser</v>
      </c>
      <c r="B18" s="11" t="s">
        <v>239</v>
      </c>
      <c r="C18" s="14">
        <f>IFERROR(INDEX('Raw Data'!D:D,MATCH($B18,'Raw Data'!$C:$C,0)),0)</f>
        <v>743.99940000000004</v>
      </c>
      <c r="D18" s="14">
        <f>IFERROR(INDEX('Raw Data'!E:E,MATCH($B18,'Raw Data'!$C:$C,0)),0)</f>
        <v>555.18859999999995</v>
      </c>
      <c r="E18" s="14">
        <f>IFERROR(INDEX('Raw Data'!J:J,MATCH($B18,'Raw Data'!$C:$C,0)),0)</f>
        <v>469.51569999999998</v>
      </c>
      <c r="F18" s="13">
        <f t="shared" si="0"/>
        <v>0.84568685308019653</v>
      </c>
      <c r="G18" s="14">
        <f>IFERROR(INDEX('Raw Data'!H:H,MATCH($B18,'Raw Data'!$C:$C,0)),0)</f>
        <v>188.81079999999901</v>
      </c>
      <c r="H18" s="13">
        <f t="shared" si="1"/>
        <v>0.25377816164905376</v>
      </c>
    </row>
    <row r="19" spans="1:8" ht="15" customHeight="1" x14ac:dyDescent="0.35">
      <c r="A19" s="15" t="str">
        <f>IFERROR(INDEX('Raw Data'!AC:AC,MATCH($B19,'Raw Data'!$C:$C,0)),"-")</f>
        <v>Diesel Bowser</v>
      </c>
      <c r="B19" s="7" t="s">
        <v>237</v>
      </c>
      <c r="C19" s="10">
        <f>IFERROR(INDEX('Raw Data'!D:D,MATCH($B19,'Raw Data'!$C:$C,0)),0)</f>
        <v>743.99940000000004</v>
      </c>
      <c r="D19" s="10">
        <f>IFERROR(INDEX('Raw Data'!E:E,MATCH($B19,'Raw Data'!$C:$C,0)),0)</f>
        <v>474.05399999999997</v>
      </c>
      <c r="E19" s="10">
        <f>IFERROR(INDEX('Raw Data'!J:J,MATCH($B19,'Raw Data'!$C:$C,0)),0)</f>
        <v>468.4384</v>
      </c>
      <c r="F19" s="9">
        <f t="shared" si="0"/>
        <v>0.98815409214983951</v>
      </c>
      <c r="G19" s="10">
        <f>IFERROR(INDEX('Raw Data'!H:H,MATCH($B19,'Raw Data'!$C:$C,0)),0)</f>
        <v>269.94540000000001</v>
      </c>
      <c r="H19" s="9">
        <f t="shared" si="1"/>
        <v>0.362830131314622</v>
      </c>
    </row>
    <row r="20" spans="1:8" ht="15" customHeight="1" x14ac:dyDescent="0.35">
      <c r="A20" s="16" t="str">
        <f>IFERROR(INDEX('Raw Data'!AC:AC,MATCH($B20,'Raw Data'!$C:$C,0)),"-")</f>
        <v>Diesel Bowser</v>
      </c>
      <c r="B20" s="11" t="s">
        <v>241</v>
      </c>
      <c r="C20" s="14">
        <f>IFERROR(INDEX('Raw Data'!D:D,MATCH($B20,'Raw Data'!$C:$C,0)),0)</f>
        <v>744.00070000000005</v>
      </c>
      <c r="D20" s="14">
        <f>IFERROR(INDEX('Raw Data'!E:E,MATCH($B20,'Raw Data'!$C:$C,0)),0)</f>
        <v>564.13589999999999</v>
      </c>
      <c r="E20" s="14">
        <f>IFERROR(INDEX('Raw Data'!J:J,MATCH($B20,'Raw Data'!$C:$C,0)),0)</f>
        <v>457.03539999999998</v>
      </c>
      <c r="F20" s="13">
        <f t="shared" si="0"/>
        <v>0.81015124192592602</v>
      </c>
      <c r="G20" s="14">
        <f>IFERROR(INDEX('Raw Data'!H:H,MATCH($B20,'Raw Data'!$C:$C,0)),0)</f>
        <v>179.8648</v>
      </c>
      <c r="H20" s="13">
        <f t="shared" si="1"/>
        <v>0.24175353598457636</v>
      </c>
    </row>
    <row r="21" spans="1:8" ht="15" customHeight="1" x14ac:dyDescent="0.35">
      <c r="A21" s="16" t="str">
        <f>IFERROR(INDEX('Raw Data'!AC:AC,MATCH($B21,'Raw Data'!$C:$C,0)),"-")</f>
        <v>Tipper</v>
      </c>
      <c r="B21" s="11" t="s">
        <v>48</v>
      </c>
      <c r="C21" s="14">
        <f>IFERROR(INDEX('Raw Data'!D:D,MATCH($B21,'Raw Data'!$C:$C,0)),0)</f>
        <v>744.00339999999903</v>
      </c>
      <c r="D21" s="14">
        <f>IFERROR(INDEX('Raw Data'!E:E,MATCH($B21,'Raw Data'!$C:$C,0)),0)</f>
        <v>644.17959999999903</v>
      </c>
      <c r="E21" s="14">
        <f>IFERROR(INDEX('Raw Data'!J:J,MATCH($B21,'Raw Data'!$C:$C,0)),0)</f>
        <v>265.82089999999903</v>
      </c>
      <c r="F21" s="13">
        <f t="shared" si="0"/>
        <v>0.41265029193721664</v>
      </c>
      <c r="G21" s="14">
        <f>IFERROR(INDEX('Raw Data'!H:H,MATCH($B21,'Raw Data'!$C:$C,0)),0)</f>
        <v>99.823800000000006</v>
      </c>
      <c r="H21" s="13">
        <f t="shared" si="1"/>
        <v>0.13417116104576959</v>
      </c>
    </row>
    <row r="22" spans="1:8" ht="15" customHeight="1" x14ac:dyDescent="0.35">
      <c r="A22" s="15" t="str">
        <f>IFERROR(INDEX('Raw Data'!AC:AC,MATCH($B22,'Raw Data'!$C:$C,0)),"-")</f>
        <v>Front End Loader</v>
      </c>
      <c r="B22" s="7" t="s">
        <v>186</v>
      </c>
      <c r="C22" s="10">
        <f>IFERROR(INDEX('Raw Data'!D:D,MATCH($B22,'Raw Data'!$C:$C,0)),0)</f>
        <v>744.00030000000004</v>
      </c>
      <c r="D22" s="10">
        <f>IFERROR(INDEX('Raw Data'!E:E,MATCH($B22,'Raw Data'!$C:$C,0)),0)</f>
        <v>700.61030000000005</v>
      </c>
      <c r="E22" s="10">
        <f>IFERROR(INDEX('Raw Data'!J:J,MATCH($B22,'Raw Data'!$C:$C,0)),0)</f>
        <v>265.21609999999998</v>
      </c>
      <c r="F22" s="9">
        <f t="shared" si="0"/>
        <v>0.37855010124744093</v>
      </c>
      <c r="G22" s="10">
        <f>IFERROR(INDEX('Raw Data'!H:H,MATCH($B22,'Raw Data'!$C:$C,0)),0)</f>
        <v>43.389999999999901</v>
      </c>
      <c r="H22" s="9">
        <f t="shared" si="1"/>
        <v>5.831986895704195E-2</v>
      </c>
    </row>
    <row r="23" spans="1:8" ht="15" customHeight="1" x14ac:dyDescent="0.35">
      <c r="A23" s="16" t="str">
        <f>IFERROR(INDEX('Raw Data'!AC:AC,MATCH($B23,'Raw Data'!$C:$C,0)),"-")</f>
        <v>Tipper</v>
      </c>
      <c r="B23" s="11" t="s">
        <v>78</v>
      </c>
      <c r="C23" s="14">
        <f>IFERROR(INDEX('Raw Data'!D:D,MATCH($B23,'Raw Data'!$C:$C,0)),0)</f>
        <v>744.00109999999995</v>
      </c>
      <c r="D23" s="14">
        <f>IFERROR(INDEX('Raw Data'!E:E,MATCH($B23,'Raw Data'!$C:$C,0)),0)</f>
        <v>541.90959999999995</v>
      </c>
      <c r="E23" s="14">
        <f>IFERROR(INDEX('Raw Data'!J:J,MATCH($B23,'Raw Data'!$C:$C,0)),0)</f>
        <v>264.72770000000003</v>
      </c>
      <c r="F23" s="13">
        <f t="shared" si="0"/>
        <v>0.48850896902361585</v>
      </c>
      <c r="G23" s="14">
        <f>IFERROR(INDEX('Raw Data'!H:H,MATCH($B23,'Raw Data'!$C:$C,0)),0)</f>
        <v>202.091499999999</v>
      </c>
      <c r="H23" s="13">
        <f t="shared" si="1"/>
        <v>0.271627958614576</v>
      </c>
    </row>
    <row r="24" spans="1:8" ht="15" customHeight="1" x14ac:dyDescent="0.35">
      <c r="A24" s="15" t="str">
        <f>IFERROR(INDEX('Raw Data'!AC:AC,MATCH($B24,'Raw Data'!$C:$C,0)),"-")</f>
        <v>Front End Loader</v>
      </c>
      <c r="B24" s="7" t="s">
        <v>191</v>
      </c>
      <c r="C24" s="10">
        <f>IFERROR(INDEX('Raw Data'!D:D,MATCH($B24,'Raw Data'!$C:$C,0)),0)</f>
        <v>744.00099999999895</v>
      </c>
      <c r="D24" s="10">
        <f>IFERROR(INDEX('Raw Data'!E:E,MATCH($B24,'Raw Data'!$C:$C,0)),0)</f>
        <v>632.50039999999899</v>
      </c>
      <c r="E24" s="10">
        <f>IFERROR(INDEX('Raw Data'!J:J,MATCH($B24,'Raw Data'!$C:$C,0)),0)</f>
        <v>262.87729999999999</v>
      </c>
      <c r="F24" s="9">
        <f t="shared" si="0"/>
        <v>0.41561602174480905</v>
      </c>
      <c r="G24" s="10">
        <f>IFERROR(INDEX('Raw Data'!H:H,MATCH($B24,'Raw Data'!$C:$C,0)),0)</f>
        <v>111.500599999999</v>
      </c>
      <c r="H24" s="9">
        <f t="shared" si="1"/>
        <v>0.14986619641640153</v>
      </c>
    </row>
    <row r="25" spans="1:8" ht="15" customHeight="1" x14ac:dyDescent="0.35">
      <c r="A25" s="16" t="str">
        <f>IFERROR(INDEX('Raw Data'!AC:AC,MATCH($B25,'Raw Data'!$C:$C,0)),"-")</f>
        <v>Tipper</v>
      </c>
      <c r="B25" s="11" t="s">
        <v>97</v>
      </c>
      <c r="C25" s="14">
        <f>IFERROR(INDEX('Raw Data'!D:D,MATCH($B25,'Raw Data'!$C:$C,0)),0)</f>
        <v>744.00269999999898</v>
      </c>
      <c r="D25" s="14">
        <f>IFERROR(INDEX('Raw Data'!E:E,MATCH($B25,'Raw Data'!$C:$C,0)),0)</f>
        <v>675.97329999999897</v>
      </c>
      <c r="E25" s="14">
        <f>IFERROR(INDEX('Raw Data'!J:J,MATCH($B25,'Raw Data'!$C:$C,0)),0)</f>
        <v>258.99459999999902</v>
      </c>
      <c r="F25" s="13">
        <f t="shared" si="0"/>
        <v>0.38314323953327656</v>
      </c>
      <c r="G25" s="14">
        <f>IFERROR(INDEX('Raw Data'!H:H,MATCH($B25,'Raw Data'!$C:$C,0)),0)</f>
        <v>68.029399999999896</v>
      </c>
      <c r="H25" s="13">
        <f t="shared" si="1"/>
        <v>9.1437033763452719E-2</v>
      </c>
    </row>
    <row r="26" spans="1:8" ht="15" customHeight="1" x14ac:dyDescent="0.35">
      <c r="A26" s="15" t="str">
        <f>IFERROR(INDEX('Raw Data'!AC:AC,MATCH($B26,'Raw Data'!$C:$C,0)),"-")</f>
        <v>Tipper</v>
      </c>
      <c r="B26" s="7" t="s">
        <v>90</v>
      </c>
      <c r="C26" s="10">
        <f>IFERROR(INDEX('Raw Data'!D:D,MATCH($B26,'Raw Data'!$C:$C,0)),0)</f>
        <v>744.00299999999902</v>
      </c>
      <c r="D26" s="10">
        <f>IFERROR(INDEX('Raw Data'!E:E,MATCH($B26,'Raw Data'!$C:$C,0)),0)</f>
        <v>663.74959999999896</v>
      </c>
      <c r="E26" s="10">
        <f>IFERROR(INDEX('Raw Data'!J:J,MATCH($B26,'Raw Data'!$C:$C,0)),0)</f>
        <v>255.74059999999901</v>
      </c>
      <c r="F26" s="9">
        <f t="shared" si="0"/>
        <v>0.38529680469863847</v>
      </c>
      <c r="G26" s="10">
        <f>IFERROR(INDEX('Raw Data'!H:H,MATCH($B26,'Raw Data'!$C:$C,0)),0)</f>
        <v>80.253399999999999</v>
      </c>
      <c r="H26" s="9">
        <f t="shared" si="1"/>
        <v>0.10786703817054515</v>
      </c>
    </row>
    <row r="27" spans="1:8" ht="15" customHeight="1" x14ac:dyDescent="0.35">
      <c r="A27" s="16" t="str">
        <f>IFERROR(INDEX('Raw Data'!AC:AC,MATCH($B27,'Raw Data'!$C:$C,0)),"-")</f>
        <v>Tipper</v>
      </c>
      <c r="B27" s="11" t="s">
        <v>38</v>
      </c>
      <c r="C27" s="14">
        <f>IFERROR(INDEX('Raw Data'!D:D,MATCH($B27,'Raw Data'!$C:$C,0)),0)</f>
        <v>744.00139999999897</v>
      </c>
      <c r="D27" s="14">
        <f>IFERROR(INDEX('Raw Data'!E:E,MATCH($B27,'Raw Data'!$C:$C,0)),0)</f>
        <v>270.558099999999</v>
      </c>
      <c r="E27" s="14">
        <f>IFERROR(INDEX('Raw Data'!J:J,MATCH($B27,'Raw Data'!$C:$C,0)),0)</f>
        <v>250.65679999999901</v>
      </c>
      <c r="F27" s="13">
        <f t="shared" si="0"/>
        <v>0.92644352543871333</v>
      </c>
      <c r="G27" s="14">
        <f>IFERROR(INDEX('Raw Data'!H:H,MATCH($B27,'Raw Data'!$C:$C,0)),0)</f>
        <v>473.443299999999</v>
      </c>
      <c r="H27" s="13">
        <f t="shared" si="1"/>
        <v>0.63634732407761552</v>
      </c>
    </row>
    <row r="28" spans="1:8" ht="15" customHeight="1" x14ac:dyDescent="0.35">
      <c r="A28" s="15" t="str">
        <f>IFERROR(INDEX('Raw Data'!AC:AC,MATCH($B28,'Raw Data'!$C:$C,0)),"-")</f>
        <v>Tipper</v>
      </c>
      <c r="B28" s="7" t="s">
        <v>62</v>
      </c>
      <c r="C28" s="10">
        <f>IFERROR(INDEX('Raw Data'!D:D,MATCH($B28,'Raw Data'!$C:$C,0)),0)</f>
        <v>744.00259999999901</v>
      </c>
      <c r="D28" s="10">
        <f>IFERROR(INDEX('Raw Data'!E:E,MATCH($B28,'Raw Data'!$C:$C,0)),0)</f>
        <v>659.22249999999894</v>
      </c>
      <c r="E28" s="10">
        <f>IFERROR(INDEX('Raw Data'!J:J,MATCH($B28,'Raw Data'!$C:$C,0)),0)</f>
        <v>243.871499999999</v>
      </c>
      <c r="F28" s="9">
        <f t="shared" si="0"/>
        <v>0.36993807098513687</v>
      </c>
      <c r="G28" s="10">
        <f>IFERROR(INDEX('Raw Data'!H:H,MATCH($B28,'Raw Data'!$C:$C,0)),0)</f>
        <v>84.780100000000004</v>
      </c>
      <c r="H28" s="9">
        <f t="shared" si="1"/>
        <v>0.11395134909474794</v>
      </c>
    </row>
    <row r="29" spans="1:8" ht="15" customHeight="1" x14ac:dyDescent="0.35">
      <c r="A29" s="16" t="str">
        <f>IFERROR(INDEX('Raw Data'!AC:AC,MATCH($B29,'Raw Data'!$C:$C,0)),"-")</f>
        <v>Front End Loader</v>
      </c>
      <c r="B29" s="11" t="s">
        <v>189</v>
      </c>
      <c r="C29" s="14">
        <f>IFERROR(INDEX('Raw Data'!D:D,MATCH($B29,'Raw Data'!$C:$C,0)),0)</f>
        <v>743.99969999999996</v>
      </c>
      <c r="D29" s="14">
        <f>IFERROR(INDEX('Raw Data'!E:E,MATCH($B29,'Raw Data'!$C:$C,0)),0)</f>
        <v>715.34100000000001</v>
      </c>
      <c r="E29" s="14">
        <f>IFERROR(INDEX('Raw Data'!J:J,MATCH($B29,'Raw Data'!$C:$C,0)),0)</f>
        <v>238.88449999999901</v>
      </c>
      <c r="F29" s="13">
        <f t="shared" si="0"/>
        <v>0.33394492976077006</v>
      </c>
      <c r="G29" s="14">
        <f>IFERROR(INDEX('Raw Data'!H:H,MATCH($B29,'Raw Data'!$C:$C,0)),0)</f>
        <v>28.6587</v>
      </c>
      <c r="H29" s="13">
        <f t="shared" si="1"/>
        <v>3.8519773596682905E-2</v>
      </c>
    </row>
    <row r="30" spans="1:8" ht="15" customHeight="1" x14ac:dyDescent="0.35">
      <c r="A30" s="15" t="str">
        <f>IFERROR(INDEX('Raw Data'!AC:AC,MATCH($B30,'Raw Data'!$C:$C,0)),"-")</f>
        <v>Tipper</v>
      </c>
      <c r="B30" s="7" t="s">
        <v>91</v>
      </c>
      <c r="C30" s="10">
        <f>IFERROR(INDEX('Raw Data'!D:D,MATCH($B30,'Raw Data'!$C:$C,0)),0)</f>
        <v>744.001699999999</v>
      </c>
      <c r="D30" s="10">
        <f>IFERROR(INDEX('Raw Data'!E:E,MATCH($B30,'Raw Data'!$C:$C,0)),0)</f>
        <v>688.26049999999896</v>
      </c>
      <c r="E30" s="10">
        <f>IFERROR(INDEX('Raw Data'!J:J,MATCH($B30,'Raw Data'!$C:$C,0)),0)</f>
        <v>236.96839999999901</v>
      </c>
      <c r="F30" s="9">
        <f t="shared" si="0"/>
        <v>0.34430045019291294</v>
      </c>
      <c r="G30" s="10">
        <f>IFERROR(INDEX('Raw Data'!H:H,MATCH($B30,'Raw Data'!$C:$C,0)),0)</f>
        <v>55.7411999999999</v>
      </c>
      <c r="H30" s="9">
        <f t="shared" si="1"/>
        <v>7.4920796551943322E-2</v>
      </c>
    </row>
    <row r="31" spans="1:8" ht="15" customHeight="1" x14ac:dyDescent="0.35">
      <c r="A31" s="16" t="str">
        <f>IFERROR(INDEX('Raw Data'!AC:AC,MATCH($B31,'Raw Data'!$C:$C,0)),"-")</f>
        <v>Tipper</v>
      </c>
      <c r="B31" s="11" t="s">
        <v>92</v>
      </c>
      <c r="C31" s="14">
        <f>IFERROR(INDEX('Raw Data'!D:D,MATCH($B31,'Raw Data'!$C:$C,0)),0)</f>
        <v>744.00289999999904</v>
      </c>
      <c r="D31" s="14">
        <f>IFERROR(INDEX('Raw Data'!E:E,MATCH($B31,'Raw Data'!$C:$C,0)),0)</f>
        <v>682.58339999999896</v>
      </c>
      <c r="E31" s="14">
        <f>IFERROR(INDEX('Raw Data'!J:J,MATCH($B31,'Raw Data'!$C:$C,0)),0)</f>
        <v>236.63619999999901</v>
      </c>
      <c r="F31" s="13">
        <f t="shared" si="0"/>
        <v>0.34667734375022796</v>
      </c>
      <c r="G31" s="14">
        <f>IFERROR(INDEX('Raw Data'!H:H,MATCH($B31,'Raw Data'!$C:$C,0)),0)</f>
        <v>61.419499999999999</v>
      </c>
      <c r="H31" s="13">
        <f t="shared" si="1"/>
        <v>8.2552769619580885E-2</v>
      </c>
    </row>
    <row r="32" spans="1:8" ht="15" customHeight="1" x14ac:dyDescent="0.35">
      <c r="A32" s="15" t="str">
        <f>IFERROR(INDEX('Raw Data'!AC:AC,MATCH($B32,'Raw Data'!$C:$C,0)),"-")</f>
        <v>Tipper</v>
      </c>
      <c r="B32" s="7" t="s">
        <v>72</v>
      </c>
      <c r="C32" s="10">
        <f>IFERROR(INDEX('Raw Data'!D:D,MATCH($B32,'Raw Data'!$C:$C,0)),0)</f>
        <v>744.004899999999</v>
      </c>
      <c r="D32" s="10">
        <f>IFERROR(INDEX('Raw Data'!E:E,MATCH($B32,'Raw Data'!$C:$C,0)),0)</f>
        <v>664.28499999999894</v>
      </c>
      <c r="E32" s="10">
        <f>IFERROR(INDEX('Raw Data'!J:J,MATCH($B32,'Raw Data'!$C:$C,0)),0)</f>
        <v>236.303799999999</v>
      </c>
      <c r="F32" s="9">
        <f t="shared" si="0"/>
        <v>0.35572653303928192</v>
      </c>
      <c r="G32" s="10">
        <f>IFERROR(INDEX('Raw Data'!H:H,MATCH($B32,'Raw Data'!$C:$C,0)),0)</f>
        <v>79.719899999999996</v>
      </c>
      <c r="H32" s="9">
        <f t="shared" si="1"/>
        <v>0.10714969753559432</v>
      </c>
    </row>
    <row r="33" spans="1:8" ht="15" customHeight="1" x14ac:dyDescent="0.35">
      <c r="A33" s="16" t="str">
        <f>IFERROR(INDEX('Raw Data'!AC:AC,MATCH($B33,'Raw Data'!$C:$C,0)),"-")</f>
        <v>Front End Loader</v>
      </c>
      <c r="B33" s="11" t="s">
        <v>195</v>
      </c>
      <c r="C33" s="14">
        <f>IFERROR(INDEX('Raw Data'!D:D,MATCH($B33,'Raw Data'!$C:$C,0)),0)</f>
        <v>743.99939999999901</v>
      </c>
      <c r="D33" s="14">
        <f>IFERROR(INDEX('Raw Data'!E:E,MATCH($B33,'Raw Data'!$C:$C,0)),0)</f>
        <v>686.33849999999904</v>
      </c>
      <c r="E33" s="14">
        <f>IFERROR(INDEX('Raw Data'!J:J,MATCH($B33,'Raw Data'!$C:$C,0)),0)</f>
        <v>228.36590000000001</v>
      </c>
      <c r="F33" s="13">
        <f t="shared" si="0"/>
        <v>0.33273071523745257</v>
      </c>
      <c r="G33" s="14">
        <f>IFERROR(INDEX('Raw Data'!H:H,MATCH($B33,'Raw Data'!$C:$C,0)),0)</f>
        <v>57.660899999999998</v>
      </c>
      <c r="H33" s="13">
        <f t="shared" si="1"/>
        <v>7.7501272178445407E-2</v>
      </c>
    </row>
    <row r="34" spans="1:8" ht="15" customHeight="1" x14ac:dyDescent="0.35">
      <c r="A34" s="15" t="str">
        <f>IFERROR(INDEX('Raw Data'!AC:AC,MATCH($B34,'Raw Data'!$C:$C,0)),"-")</f>
        <v>Tipper</v>
      </c>
      <c r="B34" s="7" t="s">
        <v>93</v>
      </c>
      <c r="C34" s="10">
        <f>IFERROR(INDEX('Raw Data'!D:D,MATCH($B34,'Raw Data'!$C:$C,0)),0)</f>
        <v>744.00199999999904</v>
      </c>
      <c r="D34" s="10">
        <f>IFERROR(INDEX('Raw Data'!E:E,MATCH($B34,'Raw Data'!$C:$C,0)),0)</f>
        <v>656.57939999999905</v>
      </c>
      <c r="E34" s="10">
        <f>IFERROR(INDEX('Raw Data'!J:J,MATCH($B34,'Raw Data'!$C:$C,0)),0)</f>
        <v>228.03729999999899</v>
      </c>
      <c r="F34" s="9">
        <f t="shared" si="0"/>
        <v>0.34731107920839327</v>
      </c>
      <c r="G34" s="10">
        <f>IFERROR(INDEX('Raw Data'!H:H,MATCH($B34,'Raw Data'!$C:$C,0)),0)</f>
        <v>87.422599999999903</v>
      </c>
      <c r="H34" s="9">
        <f t="shared" si="1"/>
        <v>0.11750317875489584</v>
      </c>
    </row>
    <row r="35" spans="1:8" ht="15" customHeight="1" x14ac:dyDescent="0.35">
      <c r="A35" s="16" t="str">
        <f>IFERROR(INDEX('Raw Data'!AC:AC,MATCH($B35,'Raw Data'!$C:$C,0)),"-")</f>
        <v>Tipper</v>
      </c>
      <c r="B35" s="11" t="s">
        <v>98</v>
      </c>
      <c r="C35" s="14">
        <f>IFERROR(INDEX('Raw Data'!D:D,MATCH($B35,'Raw Data'!$C:$C,0)),0)</f>
        <v>744.00469999999905</v>
      </c>
      <c r="D35" s="14">
        <f>IFERROR(INDEX('Raw Data'!E:E,MATCH($B35,'Raw Data'!$C:$C,0)),0)</f>
        <v>557.69049999999902</v>
      </c>
      <c r="E35" s="14">
        <f>IFERROR(INDEX('Raw Data'!J:J,MATCH($B35,'Raw Data'!$C:$C,0)),0)</f>
        <v>227.878299999999</v>
      </c>
      <c r="F35" s="13">
        <f t="shared" si="0"/>
        <v>0.4086106899794768</v>
      </c>
      <c r="G35" s="14">
        <f>IFERROR(INDEX('Raw Data'!H:H,MATCH($B35,'Raw Data'!$C:$C,0)),0)</f>
        <v>186.3142</v>
      </c>
      <c r="H35" s="13">
        <f t="shared" si="1"/>
        <v>0.25042072986904551</v>
      </c>
    </row>
    <row r="36" spans="1:8" ht="15" customHeight="1" x14ac:dyDescent="0.35">
      <c r="A36" s="15" t="str">
        <f>IFERROR(INDEX('Raw Data'!AC:AC,MATCH($B36,'Raw Data'!$C:$C,0)),"-")</f>
        <v>Tipper</v>
      </c>
      <c r="B36" s="7" t="s">
        <v>82</v>
      </c>
      <c r="C36" s="10">
        <f>IFERROR(INDEX('Raw Data'!D:D,MATCH($B36,'Raw Data'!$C:$C,0)),0)</f>
        <v>744.00329999999894</v>
      </c>
      <c r="D36" s="10">
        <f>IFERROR(INDEX('Raw Data'!E:E,MATCH($B36,'Raw Data'!$C:$C,0)),0)</f>
        <v>669.34419999999898</v>
      </c>
      <c r="E36" s="10">
        <f>IFERROR(INDEX('Raw Data'!J:J,MATCH($B36,'Raw Data'!$C:$C,0)),0)</f>
        <v>227.515299999999</v>
      </c>
      <c r="F36" s="9">
        <f t="shared" si="0"/>
        <v>0.33990777838965264</v>
      </c>
      <c r="G36" s="10">
        <f>IFERROR(INDEX('Raw Data'!H:H,MATCH($B36,'Raw Data'!$C:$C,0)),0)</f>
        <v>74.659099999999995</v>
      </c>
      <c r="H36" s="9">
        <f t="shared" si="1"/>
        <v>0.1003478075970901</v>
      </c>
    </row>
    <row r="37" spans="1:8" ht="15" customHeight="1" x14ac:dyDescent="0.35">
      <c r="A37" s="16" t="str">
        <f>IFERROR(INDEX('Raw Data'!AC:AC,MATCH($B37,'Raw Data'!$C:$C,0)),"-")</f>
        <v>Tipper</v>
      </c>
      <c r="B37" s="11" t="s">
        <v>94</v>
      </c>
      <c r="C37" s="14">
        <f>IFERROR(INDEX('Raw Data'!D:D,MATCH($B37,'Raw Data'!$C:$C,0)),0)</f>
        <v>744.00369999999998</v>
      </c>
      <c r="D37" s="14">
        <f>IFERROR(INDEX('Raw Data'!E:E,MATCH($B37,'Raw Data'!$C:$C,0)),0)</f>
        <v>702.57860000000005</v>
      </c>
      <c r="E37" s="14">
        <f>IFERROR(INDEX('Raw Data'!J:J,MATCH($B37,'Raw Data'!$C:$C,0)),0)</f>
        <v>226.652999999999</v>
      </c>
      <c r="F37" s="13">
        <f t="shared" si="0"/>
        <v>0.32260162777516849</v>
      </c>
      <c r="G37" s="14">
        <f>IFERROR(INDEX('Raw Data'!H:H,MATCH($B37,'Raw Data'!$C:$C,0)),0)</f>
        <v>41.4251</v>
      </c>
      <c r="H37" s="13">
        <f t="shared" si="1"/>
        <v>5.5678620953094726E-2</v>
      </c>
    </row>
    <row r="38" spans="1:8" ht="15" customHeight="1" x14ac:dyDescent="0.35">
      <c r="A38" s="15" t="str">
        <f>IFERROR(INDEX('Raw Data'!AC:AC,MATCH($B38,'Raw Data'!$C:$C,0)),"-")</f>
        <v>Tipper</v>
      </c>
      <c r="B38" s="7" t="s">
        <v>85</v>
      </c>
      <c r="C38" s="10">
        <f>IFERROR(INDEX('Raw Data'!D:D,MATCH($B38,'Raw Data'!$C:$C,0)),0)</f>
        <v>744.00229999999897</v>
      </c>
      <c r="D38" s="10">
        <f>IFERROR(INDEX('Raw Data'!E:E,MATCH($B38,'Raw Data'!$C:$C,0)),0)</f>
        <v>683.01499999999896</v>
      </c>
      <c r="E38" s="10">
        <f>IFERROR(INDEX('Raw Data'!J:J,MATCH($B38,'Raw Data'!$C:$C,0)),0)</f>
        <v>226.283299999999</v>
      </c>
      <c r="F38" s="9">
        <f t="shared" si="0"/>
        <v>0.33130063029362361</v>
      </c>
      <c r="G38" s="10">
        <f>IFERROR(INDEX('Raw Data'!H:H,MATCH($B38,'Raw Data'!$C:$C,0)),0)</f>
        <v>60.987299999999998</v>
      </c>
      <c r="H38" s="9">
        <f t="shared" si="1"/>
        <v>8.1971924011525338E-2</v>
      </c>
    </row>
    <row r="39" spans="1:8" ht="15" customHeight="1" x14ac:dyDescent="0.35">
      <c r="A39" s="16" t="str">
        <f>IFERROR(INDEX('Raw Data'!AC:AC,MATCH($B39,'Raw Data'!$C:$C,0)),"-")</f>
        <v>Tipper</v>
      </c>
      <c r="B39" s="11" t="s">
        <v>46</v>
      </c>
      <c r="C39" s="14">
        <f>IFERROR(INDEX('Raw Data'!D:D,MATCH($B39,'Raw Data'!$C:$C,0)),0)</f>
        <v>744.00589999999897</v>
      </c>
      <c r="D39" s="14">
        <f>IFERROR(INDEX('Raw Data'!E:E,MATCH($B39,'Raw Data'!$C:$C,0)),0)</f>
        <v>574.74349999999902</v>
      </c>
      <c r="E39" s="14">
        <f>IFERROR(INDEX('Raw Data'!J:J,MATCH($B39,'Raw Data'!$C:$C,0)),0)</f>
        <v>225.05399999999901</v>
      </c>
      <c r="F39" s="13">
        <f t="shared" si="0"/>
        <v>0.39157293644904101</v>
      </c>
      <c r="G39" s="14">
        <f>IFERROR(INDEX('Raw Data'!H:H,MATCH($B39,'Raw Data'!$C:$C,0)),0)</f>
        <v>169.26239999999899</v>
      </c>
      <c r="H39" s="13">
        <f t="shared" si="1"/>
        <v>0.227501421695714</v>
      </c>
    </row>
    <row r="40" spans="1:8" ht="15" customHeight="1" x14ac:dyDescent="0.35">
      <c r="A40" s="15" t="str">
        <f>IFERROR(INDEX('Raw Data'!AC:AC,MATCH($B40,'Raw Data'!$C:$C,0)),"-")</f>
        <v>Front End Loader</v>
      </c>
      <c r="B40" s="7" t="s">
        <v>194</v>
      </c>
      <c r="C40" s="10">
        <f>IFERROR(INDEX('Raw Data'!D:D,MATCH($B40,'Raw Data'!$C:$C,0)),0)</f>
        <v>743.99939999999901</v>
      </c>
      <c r="D40" s="10">
        <f>IFERROR(INDEX('Raw Data'!E:E,MATCH($B40,'Raw Data'!$C:$C,0)),0)</f>
        <v>703.03619999999898</v>
      </c>
      <c r="E40" s="10">
        <f>IFERROR(INDEX('Raw Data'!J:J,MATCH($B40,'Raw Data'!$C:$C,0)),0)</f>
        <v>224.76240000000001</v>
      </c>
      <c r="F40" s="9">
        <f t="shared" si="0"/>
        <v>0.31970245628888005</v>
      </c>
      <c r="G40" s="10">
        <f>IFERROR(INDEX('Raw Data'!H:H,MATCH($B40,'Raw Data'!$C:$C,0)),0)</f>
        <v>40.963200000000001</v>
      </c>
      <c r="H40" s="9">
        <f t="shared" si="1"/>
        <v>5.5058108917829848E-2</v>
      </c>
    </row>
    <row r="41" spans="1:8" ht="15" customHeight="1" x14ac:dyDescent="0.35">
      <c r="A41" s="16" t="str">
        <f>IFERROR(INDEX('Raw Data'!AC:AC,MATCH($B41,'Raw Data'!$C:$C,0)),"-")</f>
        <v>Tipper</v>
      </c>
      <c r="B41" s="11" t="s">
        <v>88</v>
      </c>
      <c r="C41" s="14">
        <f>IFERROR(INDEX('Raw Data'!D:D,MATCH($B41,'Raw Data'!$C:$C,0)),0)</f>
        <v>744.00319999999897</v>
      </c>
      <c r="D41" s="14">
        <f>IFERROR(INDEX('Raw Data'!E:E,MATCH($B41,'Raw Data'!$C:$C,0)),0)</f>
        <v>541.54209999999898</v>
      </c>
      <c r="E41" s="14">
        <f>IFERROR(INDEX('Raw Data'!J:J,MATCH($B41,'Raw Data'!$C:$C,0)),0)</f>
        <v>224.65499999999901</v>
      </c>
      <c r="F41" s="13">
        <f t="shared" si="0"/>
        <v>0.41484309345478299</v>
      </c>
      <c r="G41" s="14">
        <f>IFERROR(INDEX('Raw Data'!H:H,MATCH($B41,'Raw Data'!$C:$C,0)),0)</f>
        <v>202.46109999999999</v>
      </c>
      <c r="H41" s="13">
        <f t="shared" si="1"/>
        <v>0.27212396398295097</v>
      </c>
    </row>
    <row r="42" spans="1:8" ht="15" customHeight="1" x14ac:dyDescent="0.35">
      <c r="A42" s="15" t="str">
        <f>IFERROR(INDEX('Raw Data'!AC:AC,MATCH($B42,'Raw Data'!$C:$C,0)),"-")</f>
        <v>Tipper</v>
      </c>
      <c r="B42" s="7" t="s">
        <v>95</v>
      </c>
      <c r="C42" s="10">
        <f>IFERROR(INDEX('Raw Data'!D:D,MATCH($B42,'Raw Data'!$C:$C,0)),0)</f>
        <v>744.00119999999902</v>
      </c>
      <c r="D42" s="10">
        <f>IFERROR(INDEX('Raw Data'!E:E,MATCH($B42,'Raw Data'!$C:$C,0)),0)</f>
        <v>706.460499999999</v>
      </c>
      <c r="E42" s="10">
        <f>IFERROR(INDEX('Raw Data'!J:J,MATCH($B42,'Raw Data'!$C:$C,0)),0)</f>
        <v>224.15329999999901</v>
      </c>
      <c r="F42" s="9">
        <f t="shared" si="0"/>
        <v>0.31729063408357483</v>
      </c>
      <c r="G42" s="10">
        <f>IFERROR(INDEX('Raw Data'!H:H,MATCH($B42,'Raw Data'!$C:$C,0)),0)</f>
        <v>37.540700000000001</v>
      </c>
      <c r="H42" s="9">
        <f t="shared" si="1"/>
        <v>5.0457848723899974E-2</v>
      </c>
    </row>
    <row r="43" spans="1:8" ht="15" customHeight="1" x14ac:dyDescent="0.35">
      <c r="A43" s="16" t="str">
        <f>IFERROR(INDEX('Raw Data'!AC:AC,MATCH($B43,'Raw Data'!$C:$C,0)),"-")</f>
        <v>Tipper</v>
      </c>
      <c r="B43" s="11" t="s">
        <v>79</v>
      </c>
      <c r="C43" s="14">
        <f>IFERROR(INDEX('Raw Data'!D:D,MATCH($B43,'Raw Data'!$C:$C,0)),0)</f>
        <v>744.00359999999898</v>
      </c>
      <c r="D43" s="14">
        <f>IFERROR(INDEX('Raw Data'!E:E,MATCH($B43,'Raw Data'!$C:$C,0)),0)</f>
        <v>644.67729999999904</v>
      </c>
      <c r="E43" s="14">
        <f>IFERROR(INDEX('Raw Data'!J:J,MATCH($B43,'Raw Data'!$C:$C,0)),0)</f>
        <v>223.77519999999899</v>
      </c>
      <c r="F43" s="13">
        <f t="shared" si="0"/>
        <v>0.34711195818434948</v>
      </c>
      <c r="G43" s="14">
        <f>IFERROR(INDEX('Raw Data'!H:H,MATCH($B43,'Raw Data'!$C:$C,0)),0)</f>
        <v>99.326299999999904</v>
      </c>
      <c r="H43" s="13">
        <f t="shared" si="1"/>
        <v>0.13350244541827491</v>
      </c>
    </row>
  </sheetData>
  <mergeCells count="3">
    <mergeCell ref="A1:H1"/>
    <mergeCell ref="A3:H3"/>
    <mergeCell ref="A13:H13"/>
  </mergeCells>
  <conditionalFormatting sqref="E15:E43">
    <cfRule type="cellIs" dxfId="1" priority="2" operator="greaterThan">
      <formula>150</formula>
    </cfRule>
    <cfRule type="cellIs" dxfId="0" priority="3" operator="between">
      <formula>80</formula>
      <formula>150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0"/>
  <sheetViews>
    <sheetView showGridLines="0" zoomScaleNormal="100" workbookViewId="0">
      <pane ySplit="2" topLeftCell="A3" activePane="bottomLeft" state="frozen"/>
      <selection pane="bottomLeft" activeCell="A50" sqref="A50:XFD50"/>
    </sheetView>
  </sheetViews>
  <sheetFormatPr defaultColWidth="8.6328125" defaultRowHeight="14.5" x14ac:dyDescent="0.35"/>
  <cols>
    <col min="1" max="1" width="14" customWidth="1"/>
    <col min="2" max="5" width="10" customWidth="1"/>
    <col min="6" max="6" width="14" customWidth="1"/>
    <col min="7" max="7" width="8" customWidth="1"/>
    <col min="8" max="9" width="12" customWidth="1"/>
  </cols>
  <sheetData>
    <row r="1" spans="1:9" ht="27.75" customHeight="1" x14ac:dyDescent="0.35">
      <c r="A1" s="63" t="s">
        <v>302</v>
      </c>
      <c r="B1" s="63"/>
      <c r="C1" s="63"/>
      <c r="D1" s="63"/>
      <c r="E1" s="63"/>
      <c r="F1" s="63"/>
      <c r="G1" s="63"/>
      <c r="H1" s="63"/>
      <c r="I1" s="63"/>
    </row>
    <row r="3" spans="1:9" ht="18" customHeight="1" x14ac:dyDescent="0.35">
      <c r="A3" s="71" t="s">
        <v>303</v>
      </c>
      <c r="B3" s="71"/>
      <c r="C3" s="71"/>
      <c r="D3" s="71"/>
      <c r="E3" s="71"/>
      <c r="F3" s="71"/>
      <c r="G3" s="71"/>
      <c r="H3" s="71"/>
      <c r="I3" s="71"/>
    </row>
    <row r="4" spans="1:9" ht="25.5" customHeight="1" x14ac:dyDescent="0.35">
      <c r="A4" s="6" t="s">
        <v>3</v>
      </c>
      <c r="B4" s="6" t="s">
        <v>272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6" t="s">
        <v>309</v>
      </c>
      <c r="I4" s="6" t="s">
        <v>310</v>
      </c>
    </row>
    <row r="5" spans="1:9" ht="15" customHeight="1" x14ac:dyDescent="0.35">
      <c r="A5" s="7" t="s">
        <v>99</v>
      </c>
      <c r="B5" s="10">
        <f>IFERROR(INDEX('Raw Data'!D:D,MATCH($A5,'Raw Data'!$C:$C,0)),0)</f>
        <v>744.00289999999995</v>
      </c>
      <c r="C5" s="9">
        <f>IFERROR(INDEX('Raw Data'!O:O,MATCH($A5,'Raw Data'!$C:$C,0)),0)</f>
        <v>0.93955238620000003</v>
      </c>
      <c r="D5" s="9">
        <f>IFERROR(INDEX('Raw Data'!P:P,MATCH($A5,'Raw Data'!$C:$C,0)),0)</f>
        <v>0.68018426109999996</v>
      </c>
      <c r="E5" s="8">
        <f>IFERROR(INDEX('Raw Data'!Q:Q,MATCH($A5,'Raw Data'!$C:$C,0)),0)</f>
        <v>1042</v>
      </c>
      <c r="F5" s="19">
        <f>IFERROR(INDEX('Raw Data'!R:R,MATCH($A5,'Raw Data'!$C:$C,0)),0)</f>
        <v>38315.21</v>
      </c>
      <c r="G5" s="17">
        <f t="shared" ref="G5:G36" si="0">IFERROR(F5/E5,"-")</f>
        <v>36.770834932821494</v>
      </c>
      <c r="H5" s="8">
        <f>IFERROR(INDEX('Raw Data'!W:W,MATCH($A5,'Raw Data'!$C:$C,0)),0)</f>
        <v>5926.25</v>
      </c>
      <c r="I5" s="17">
        <f t="shared" ref="I5:I36" si="1">IFERROR(H5/F5,"-")</f>
        <v>0.15467095182304885</v>
      </c>
    </row>
    <row r="6" spans="1:9" ht="15" customHeight="1" x14ac:dyDescent="0.35">
      <c r="A6" s="11" t="s">
        <v>94</v>
      </c>
      <c r="B6" s="14">
        <f>IFERROR(INDEX('Raw Data'!D:D,MATCH($A6,'Raw Data'!$C:$C,0)),0)</f>
        <v>744.00369999999998</v>
      </c>
      <c r="C6" s="13">
        <f>IFERROR(INDEX('Raw Data'!O:O,MATCH($A6,'Raw Data'!$C:$C,0)),0)</f>
        <v>0.94432137900000002</v>
      </c>
      <c r="D6" s="13">
        <f>IFERROR(INDEX('Raw Data'!P:P,MATCH($A6,'Raw Data'!$C:$C,0)),0)</f>
        <v>0.67115665069999997</v>
      </c>
      <c r="E6" s="12">
        <f>IFERROR(INDEX('Raw Data'!Q:Q,MATCH($A6,'Raw Data'!$C:$C,0)),0)</f>
        <v>1013</v>
      </c>
      <c r="F6" s="20">
        <f>IFERROR(INDEX('Raw Data'!R:R,MATCH($A6,'Raw Data'!$C:$C,0)),0)</f>
        <v>37290.03</v>
      </c>
      <c r="G6" s="18">
        <f t="shared" si="0"/>
        <v>36.811480750246794</v>
      </c>
      <c r="H6" s="12">
        <f>IFERROR(INDEX('Raw Data'!W:W,MATCH($A6,'Raw Data'!$C:$C,0)),0)</f>
        <v>5975.69</v>
      </c>
      <c r="I6" s="18">
        <f t="shared" si="1"/>
        <v>0.16024899953151017</v>
      </c>
    </row>
    <row r="7" spans="1:9" ht="15" customHeight="1" x14ac:dyDescent="0.35">
      <c r="A7" s="7" t="s">
        <v>97</v>
      </c>
      <c r="B7" s="10">
        <f>IFERROR(INDEX('Raw Data'!D:D,MATCH($A7,'Raw Data'!$C:$C,0)),0)</f>
        <v>744.00269999999898</v>
      </c>
      <c r="C7" s="9">
        <f>IFERROR(INDEX('Raw Data'!O:O,MATCH($A7,'Raw Data'!$C:$C,0)),0)</f>
        <v>0.90856296619999999</v>
      </c>
      <c r="D7" s="9">
        <f>IFERROR(INDEX('Raw Data'!P:P,MATCH($A7,'Raw Data'!$C:$C,0)),0)</f>
        <v>0.61233187759999996</v>
      </c>
      <c r="E7" s="8">
        <f>IFERROR(INDEX('Raw Data'!Q:Q,MATCH($A7,'Raw Data'!$C:$C,0)),0)</f>
        <v>1006</v>
      </c>
      <c r="F7" s="19">
        <f>IFERROR(INDEX('Raw Data'!R:R,MATCH($A7,'Raw Data'!$C:$C,0)),0)</f>
        <v>36578.75</v>
      </c>
      <c r="G7" s="17">
        <f t="shared" si="0"/>
        <v>36.360586481113323</v>
      </c>
      <c r="H7" s="8">
        <f>IFERROR(INDEX('Raw Data'!W:W,MATCH($A7,'Raw Data'!$C:$C,0)),0)</f>
        <v>6099.24</v>
      </c>
      <c r="I7" s="17">
        <f t="shared" si="1"/>
        <v>0.16674271264053583</v>
      </c>
    </row>
    <row r="8" spans="1:9" ht="15" customHeight="1" x14ac:dyDescent="0.35">
      <c r="A8" s="11" t="s">
        <v>95</v>
      </c>
      <c r="B8" s="14">
        <f>IFERROR(INDEX('Raw Data'!D:D,MATCH($A8,'Raw Data'!$C:$C,0)),0)</f>
        <v>744.00119999999902</v>
      </c>
      <c r="C8" s="13">
        <f>IFERROR(INDEX('Raw Data'!O:O,MATCH($A8,'Raw Data'!$C:$C,0)),0)</f>
        <v>0.94954215129999997</v>
      </c>
      <c r="D8" s="13">
        <f>IFERROR(INDEX('Raw Data'!P:P,MATCH($A8,'Raw Data'!$C:$C,0)),0)</f>
        <v>0.6554625489</v>
      </c>
      <c r="E8" s="12">
        <f>IFERROR(INDEX('Raw Data'!Q:Q,MATCH($A8,'Raw Data'!$C:$C,0)),0)</f>
        <v>990</v>
      </c>
      <c r="F8" s="20">
        <f>IFERROR(INDEX('Raw Data'!R:R,MATCH($A8,'Raw Data'!$C:$C,0)),0)</f>
        <v>36408.57</v>
      </c>
      <c r="G8" s="18">
        <f t="shared" si="0"/>
        <v>36.776333333333334</v>
      </c>
      <c r="H8" s="12">
        <f>IFERROR(INDEX('Raw Data'!W:W,MATCH($A8,'Raw Data'!$C:$C,0)),0)</f>
        <v>5917.1999999999898</v>
      </c>
      <c r="I8" s="18">
        <f t="shared" si="1"/>
        <v>0.16252217541089886</v>
      </c>
    </row>
    <row r="9" spans="1:9" ht="15" customHeight="1" x14ac:dyDescent="0.35">
      <c r="A9" s="7" t="s">
        <v>93</v>
      </c>
      <c r="B9" s="10">
        <f>IFERROR(INDEX('Raw Data'!D:D,MATCH($A9,'Raw Data'!$C:$C,0)),0)</f>
        <v>744.00199999999904</v>
      </c>
      <c r="C9" s="9">
        <f>IFERROR(INDEX('Raw Data'!O:O,MATCH($A9,'Raw Data'!$C:$C,0)),0)</f>
        <v>0.88249682119999995</v>
      </c>
      <c r="D9" s="9">
        <f>IFERROR(INDEX('Raw Data'!P:P,MATCH($A9,'Raw Data'!$C:$C,0)),0)</f>
        <v>0.64630705749999995</v>
      </c>
      <c r="E9" s="8">
        <f>IFERROR(INDEX('Raw Data'!Q:Q,MATCH($A9,'Raw Data'!$C:$C,0)),0)</f>
        <v>982</v>
      </c>
      <c r="F9" s="19">
        <f>IFERROR(INDEX('Raw Data'!R:R,MATCH($A9,'Raw Data'!$C:$C,0)),0)</f>
        <v>35832.550000000003</v>
      </c>
      <c r="G9" s="17">
        <f t="shared" si="0"/>
        <v>36.489358452138497</v>
      </c>
      <c r="H9" s="8">
        <f>IFERROR(INDEX('Raw Data'!W:W,MATCH($A9,'Raw Data'!$C:$C,0)),0)</f>
        <v>6079.6199999999899</v>
      </c>
      <c r="I9" s="17">
        <f t="shared" si="1"/>
        <v>0.1696675229644552</v>
      </c>
    </row>
    <row r="10" spans="1:9" ht="15" customHeight="1" x14ac:dyDescent="0.35">
      <c r="A10" s="11" t="s">
        <v>98</v>
      </c>
      <c r="B10" s="14">
        <f>IFERROR(INDEX('Raw Data'!D:D,MATCH($A10,'Raw Data'!$C:$C,0)),0)</f>
        <v>744.00469999999905</v>
      </c>
      <c r="C10" s="13">
        <f>IFERROR(INDEX('Raw Data'!O:O,MATCH($A10,'Raw Data'!$C:$C,0)),0)</f>
        <v>0.74957927010000003</v>
      </c>
      <c r="D10" s="13">
        <f>IFERROR(INDEX('Raw Data'!P:P,MATCH($A10,'Raw Data'!$C:$C,0)),0)</f>
        <v>0.57519143679999996</v>
      </c>
      <c r="E10" s="12">
        <f>IFERROR(INDEX('Raw Data'!Q:Q,MATCH($A10,'Raw Data'!$C:$C,0)),0)</f>
        <v>981</v>
      </c>
      <c r="F10" s="20">
        <f>IFERROR(INDEX('Raw Data'!R:R,MATCH($A10,'Raw Data'!$C:$C,0)),0)</f>
        <v>35980.239999999998</v>
      </c>
      <c r="G10" s="18">
        <f t="shared" si="0"/>
        <v>36.677104994903161</v>
      </c>
      <c r="H10" s="12">
        <f>IFERROR(INDEX('Raw Data'!W:W,MATCH($A10,'Raw Data'!$C:$C,0)),0)</f>
        <v>5174.9299999999903</v>
      </c>
      <c r="I10" s="18">
        <f t="shared" si="1"/>
        <v>0.1438270005981058</v>
      </c>
    </row>
    <row r="11" spans="1:9" ht="15" customHeight="1" x14ac:dyDescent="0.35">
      <c r="A11" s="7" t="s">
        <v>92</v>
      </c>
      <c r="B11" s="10">
        <f>IFERROR(INDEX('Raw Data'!D:D,MATCH($A11,'Raw Data'!$C:$C,0)),0)</f>
        <v>744.00289999999904</v>
      </c>
      <c r="C11" s="9">
        <f>IFERROR(INDEX('Raw Data'!O:O,MATCH($A11,'Raw Data'!$C:$C,0)),0)</f>
        <v>0.91744723039999998</v>
      </c>
      <c r="D11" s="9">
        <f>IFERROR(INDEX('Raw Data'!P:P,MATCH($A11,'Raw Data'!$C:$C,0)),0)</f>
        <v>0.64631970250000004</v>
      </c>
      <c r="E11" s="8">
        <f>IFERROR(INDEX('Raw Data'!Q:Q,MATCH($A11,'Raw Data'!$C:$C,0)),0)</f>
        <v>978</v>
      </c>
      <c r="F11" s="19">
        <f>IFERROR(INDEX('Raw Data'!R:R,MATCH($A11,'Raw Data'!$C:$C,0)),0)</f>
        <v>35805.86</v>
      </c>
      <c r="G11" s="17">
        <f t="shared" si="0"/>
        <v>36.611308793456033</v>
      </c>
      <c r="H11" s="8">
        <f>IFERROR(INDEX('Raw Data'!W:W,MATCH($A11,'Raw Data'!$C:$C,0)),0)</f>
        <v>5664.1799999999903</v>
      </c>
      <c r="I11" s="17">
        <f t="shared" si="1"/>
        <v>0.15819142453218524</v>
      </c>
    </row>
    <row r="12" spans="1:9" ht="15" customHeight="1" x14ac:dyDescent="0.35">
      <c r="A12" s="11" t="s">
        <v>91</v>
      </c>
      <c r="B12" s="14">
        <f>IFERROR(INDEX('Raw Data'!D:D,MATCH($A12,'Raw Data'!$C:$C,0)),0)</f>
        <v>744.001699999999</v>
      </c>
      <c r="C12" s="13">
        <f>IFERROR(INDEX('Raw Data'!O:O,MATCH($A12,'Raw Data'!$C:$C,0)),0)</f>
        <v>0.92507920340000005</v>
      </c>
      <c r="D12" s="13">
        <f>IFERROR(INDEX('Raw Data'!P:P,MATCH($A12,'Raw Data'!$C:$C,0)),0)</f>
        <v>0.65016385509999997</v>
      </c>
      <c r="E12" s="12">
        <f>IFERROR(INDEX('Raw Data'!Q:Q,MATCH($A12,'Raw Data'!$C:$C,0)),0)</f>
        <v>961</v>
      </c>
      <c r="F12" s="20">
        <f>IFERROR(INDEX('Raw Data'!R:R,MATCH($A12,'Raw Data'!$C:$C,0)),0)</f>
        <v>35361.550000000003</v>
      </c>
      <c r="G12" s="18">
        <f t="shared" si="0"/>
        <v>36.796618106139441</v>
      </c>
      <c r="H12" s="12">
        <f>IFERROR(INDEX('Raw Data'!W:W,MATCH($A12,'Raw Data'!$C:$C,0)),0)</f>
        <v>5952.5199999999904</v>
      </c>
      <c r="I12" s="18">
        <f t="shared" si="1"/>
        <v>0.16833311888194918</v>
      </c>
    </row>
    <row r="13" spans="1:9" ht="15" customHeight="1" x14ac:dyDescent="0.35">
      <c r="A13" s="7" t="s">
        <v>73</v>
      </c>
      <c r="B13" s="10">
        <f>IFERROR(INDEX('Raw Data'!D:D,MATCH($A13,'Raw Data'!$C:$C,0)),0)</f>
        <v>744.004899999999</v>
      </c>
      <c r="C13" s="9">
        <f>IFERROR(INDEX('Raw Data'!O:O,MATCH($A13,'Raw Data'!$C:$C,0)),0)</f>
        <v>0.90926269439999996</v>
      </c>
      <c r="D13" s="9">
        <f>IFERROR(INDEX('Raw Data'!P:P,MATCH($A13,'Raw Data'!$C:$C,0)),0)</f>
        <v>0.70729652610000004</v>
      </c>
      <c r="E13" s="8">
        <f>IFERROR(INDEX('Raw Data'!Q:Q,MATCH($A13,'Raw Data'!$C:$C,0)),0)</f>
        <v>931</v>
      </c>
      <c r="F13" s="19">
        <f>IFERROR(INDEX('Raw Data'!R:R,MATCH($A13,'Raw Data'!$C:$C,0)),0)</f>
        <v>35317.760000000002</v>
      </c>
      <c r="G13" s="17">
        <f t="shared" si="0"/>
        <v>37.935295381310418</v>
      </c>
      <c r="H13" s="8">
        <f>IFERROR(INDEX('Raw Data'!W:W,MATCH($A13,'Raw Data'!$C:$C,0)),0)</f>
        <v>5607.7199999999903</v>
      </c>
      <c r="I13" s="17">
        <f t="shared" si="1"/>
        <v>0.15877903921426473</v>
      </c>
    </row>
    <row r="14" spans="1:9" ht="15" customHeight="1" x14ac:dyDescent="0.35">
      <c r="A14" s="11" t="s">
        <v>90</v>
      </c>
      <c r="B14" s="14">
        <f>IFERROR(INDEX('Raw Data'!D:D,MATCH($A14,'Raw Data'!$C:$C,0)),0)</f>
        <v>744.00299999999902</v>
      </c>
      <c r="C14" s="13">
        <f>IFERROR(INDEX('Raw Data'!O:O,MATCH($A14,'Raw Data'!$C:$C,0)),0)</f>
        <v>0.89213296180000001</v>
      </c>
      <c r="D14" s="13">
        <f>IFERROR(INDEX('Raw Data'!P:P,MATCH($A14,'Raw Data'!$C:$C,0)),0)</f>
        <v>0.60268706750000001</v>
      </c>
      <c r="E14" s="12">
        <f>IFERROR(INDEX('Raw Data'!Q:Q,MATCH($A14,'Raw Data'!$C:$C,0)),0)</f>
        <v>897</v>
      </c>
      <c r="F14" s="20">
        <f>IFERROR(INDEX('Raw Data'!R:R,MATCH($A14,'Raw Data'!$C:$C,0)),0)</f>
        <v>33020.449999999997</v>
      </c>
      <c r="G14" s="18">
        <f t="shared" si="0"/>
        <v>36.812095875139349</v>
      </c>
      <c r="H14" s="12">
        <f>IFERROR(INDEX('Raw Data'!W:W,MATCH($A14,'Raw Data'!$C:$C,0)),0)</f>
        <v>5447.62</v>
      </c>
      <c r="I14" s="18">
        <f t="shared" si="1"/>
        <v>0.1649771580944536</v>
      </c>
    </row>
    <row r="15" spans="1:9" ht="15" customHeight="1" x14ac:dyDescent="0.35">
      <c r="A15" s="7" t="s">
        <v>85</v>
      </c>
      <c r="B15" s="10">
        <f>IFERROR(INDEX('Raw Data'!D:D,MATCH($A15,'Raw Data'!$C:$C,0)),0)</f>
        <v>744.00229999999897</v>
      </c>
      <c r="C15" s="9">
        <f>IFERROR(INDEX('Raw Data'!O:O,MATCH($A15,'Raw Data'!$C:$C,0)),0)</f>
        <v>0.91802807600000003</v>
      </c>
      <c r="D15" s="9">
        <f>IFERROR(INDEX('Raw Data'!P:P,MATCH($A15,'Raw Data'!$C:$C,0)),0)</f>
        <v>0.66314180509999998</v>
      </c>
      <c r="E15" s="8">
        <f>IFERROR(INDEX('Raw Data'!Q:Q,MATCH($A15,'Raw Data'!$C:$C,0)),0)</f>
        <v>854</v>
      </c>
      <c r="F15" s="19">
        <f>IFERROR(INDEX('Raw Data'!R:R,MATCH($A15,'Raw Data'!$C:$C,0)),0)</f>
        <v>32578.25</v>
      </c>
      <c r="G15" s="17">
        <f t="shared" si="0"/>
        <v>38.147833723653399</v>
      </c>
      <c r="H15" s="8">
        <f>IFERROR(INDEX('Raw Data'!W:W,MATCH($A15,'Raw Data'!$C:$C,0)),0)</f>
        <v>6127.6699999999901</v>
      </c>
      <c r="I15" s="17">
        <f t="shared" si="1"/>
        <v>0.18809082746924682</v>
      </c>
    </row>
    <row r="16" spans="1:9" ht="15" customHeight="1" x14ac:dyDescent="0.35">
      <c r="A16" s="11" t="s">
        <v>72</v>
      </c>
      <c r="B16" s="14">
        <f>IFERROR(INDEX('Raw Data'!D:D,MATCH($A16,'Raw Data'!$C:$C,0)),0)</f>
        <v>744.004899999999</v>
      </c>
      <c r="C16" s="13">
        <f>IFERROR(INDEX('Raw Data'!O:O,MATCH($A16,'Raw Data'!$C:$C,0)),0)</f>
        <v>0.89285030249999997</v>
      </c>
      <c r="D16" s="13">
        <f>IFERROR(INDEX('Raw Data'!P:P,MATCH($A16,'Raw Data'!$C:$C,0)),0)</f>
        <v>0.63847053600000003</v>
      </c>
      <c r="E16" s="12">
        <f>IFERROR(INDEX('Raw Data'!Q:Q,MATCH($A16,'Raw Data'!$C:$C,0)),0)</f>
        <v>850</v>
      </c>
      <c r="F16" s="20">
        <f>IFERROR(INDEX('Raw Data'!R:R,MATCH($A16,'Raw Data'!$C:$C,0)),0)</f>
        <v>32054.68</v>
      </c>
      <c r="G16" s="18">
        <f t="shared" si="0"/>
        <v>37.711388235294116</v>
      </c>
      <c r="H16" s="12">
        <f>IFERROR(INDEX('Raw Data'!W:W,MATCH($A16,'Raw Data'!$C:$C,0)),0)</f>
        <v>5811.6399999999903</v>
      </c>
      <c r="I16" s="18">
        <f t="shared" si="1"/>
        <v>0.18130394688076718</v>
      </c>
    </row>
    <row r="17" spans="1:9" ht="15" customHeight="1" x14ac:dyDescent="0.35">
      <c r="A17" s="7" t="s">
        <v>62</v>
      </c>
      <c r="B17" s="10">
        <f>IFERROR(INDEX('Raw Data'!D:D,MATCH($A17,'Raw Data'!$C:$C,0)),0)</f>
        <v>744.00259999999901</v>
      </c>
      <c r="C17" s="9">
        <f>IFERROR(INDEX('Raw Data'!O:O,MATCH($A17,'Raw Data'!$C:$C,0)),0)</f>
        <v>0.88604865089999996</v>
      </c>
      <c r="D17" s="9">
        <f>IFERROR(INDEX('Raw Data'!P:P,MATCH($A17,'Raw Data'!$C:$C,0)),0)</f>
        <v>0.62612031599999995</v>
      </c>
      <c r="E17" s="8">
        <f>IFERROR(INDEX('Raw Data'!Q:Q,MATCH($A17,'Raw Data'!$C:$C,0)),0)</f>
        <v>840</v>
      </c>
      <c r="F17" s="19">
        <f>IFERROR(INDEX('Raw Data'!R:R,MATCH($A17,'Raw Data'!$C:$C,0)),0)</f>
        <v>31975.759999999998</v>
      </c>
      <c r="G17" s="17">
        <f t="shared" si="0"/>
        <v>38.066380952380953</v>
      </c>
      <c r="H17" s="8">
        <f>IFERROR(INDEX('Raw Data'!W:W,MATCH($A17,'Raw Data'!$C:$C,0)),0)</f>
        <v>5693.21</v>
      </c>
      <c r="I17" s="17">
        <f t="shared" si="1"/>
        <v>0.17804768362034243</v>
      </c>
    </row>
    <row r="18" spans="1:9" ht="15" customHeight="1" x14ac:dyDescent="0.35">
      <c r="A18" s="11" t="s">
        <v>79</v>
      </c>
      <c r="B18" s="14">
        <f>IFERROR(INDEX('Raw Data'!D:D,MATCH($A18,'Raw Data'!$C:$C,0)),0)</f>
        <v>744.00359999999898</v>
      </c>
      <c r="C18" s="13">
        <f>IFERROR(INDEX('Raw Data'!O:O,MATCH($A18,'Raw Data'!$C:$C,0)),0)</f>
        <v>0.8664975546</v>
      </c>
      <c r="D18" s="13">
        <f>IFERROR(INDEX('Raw Data'!P:P,MATCH($A18,'Raw Data'!$C:$C,0)),0)</f>
        <v>0.64549705719999995</v>
      </c>
      <c r="E18" s="12">
        <f>IFERROR(INDEX('Raw Data'!Q:Q,MATCH($A18,'Raw Data'!$C:$C,0)),0)</f>
        <v>805</v>
      </c>
      <c r="F18" s="20">
        <f>IFERROR(INDEX('Raw Data'!R:R,MATCH($A18,'Raw Data'!$C:$C,0)),0)</f>
        <v>31078.67</v>
      </c>
      <c r="G18" s="18">
        <f t="shared" si="0"/>
        <v>38.60704347826087</v>
      </c>
      <c r="H18" s="12">
        <f>IFERROR(INDEX('Raw Data'!W:W,MATCH($A18,'Raw Data'!$C:$C,0)),0)</f>
        <v>5803.2999999999902</v>
      </c>
      <c r="I18" s="18">
        <f t="shared" si="1"/>
        <v>0.18672935489195613</v>
      </c>
    </row>
    <row r="19" spans="1:9" ht="15" customHeight="1" x14ac:dyDescent="0.35">
      <c r="A19" s="7" t="s">
        <v>75</v>
      </c>
      <c r="B19" s="10">
        <f>IFERROR(INDEX('Raw Data'!D:D,MATCH($A19,'Raw Data'!$C:$C,0)),0)</f>
        <v>744.00419999999895</v>
      </c>
      <c r="C19" s="9">
        <f>IFERROR(INDEX('Raw Data'!O:O,MATCH($A19,'Raw Data'!$C:$C,0)),0)</f>
        <v>0.93275965380000003</v>
      </c>
      <c r="D19" s="9">
        <f>IFERROR(INDEX('Raw Data'!P:P,MATCH($A19,'Raw Data'!$C:$C,0)),0)</f>
        <v>0.68530416930000004</v>
      </c>
      <c r="E19" s="8">
        <f>IFERROR(INDEX('Raw Data'!Q:Q,MATCH($A19,'Raw Data'!$C:$C,0)),0)</f>
        <v>802</v>
      </c>
      <c r="F19" s="19">
        <f>IFERROR(INDEX('Raw Data'!R:R,MATCH($A19,'Raw Data'!$C:$C,0)),0)</f>
        <v>30365.1</v>
      </c>
      <c r="G19" s="17">
        <f t="shared" si="0"/>
        <v>37.861720698254359</v>
      </c>
      <c r="H19" s="8">
        <f>IFERROR(INDEX('Raw Data'!W:W,MATCH($A19,'Raw Data'!$C:$C,0)),0)</f>
        <v>5149.63</v>
      </c>
      <c r="I19" s="17">
        <f t="shared" si="1"/>
        <v>0.16959041794691934</v>
      </c>
    </row>
    <row r="20" spans="1:9" ht="15" customHeight="1" x14ac:dyDescent="0.35">
      <c r="A20" s="11" t="s">
        <v>48</v>
      </c>
      <c r="B20" s="14">
        <f>IFERROR(INDEX('Raw Data'!D:D,MATCH($A20,'Raw Data'!$C:$C,0)),0)</f>
        <v>744.00339999999903</v>
      </c>
      <c r="C20" s="13">
        <f>IFERROR(INDEX('Raw Data'!O:O,MATCH($A20,'Raw Data'!$C:$C,0)),0)</f>
        <v>0.86582883899999996</v>
      </c>
      <c r="D20" s="13">
        <f>IFERROR(INDEX('Raw Data'!P:P,MATCH($A20,'Raw Data'!$C:$C,0)),0)</f>
        <v>0.58338497519999999</v>
      </c>
      <c r="E20" s="12">
        <f>IFERROR(INDEX('Raw Data'!Q:Q,MATCH($A20,'Raw Data'!$C:$C,0)),0)</f>
        <v>800</v>
      </c>
      <c r="F20" s="20">
        <f>IFERROR(INDEX('Raw Data'!R:R,MATCH($A20,'Raw Data'!$C:$C,0)),0)</f>
        <v>29887.89</v>
      </c>
      <c r="G20" s="18">
        <f t="shared" si="0"/>
        <v>37.359862499999998</v>
      </c>
      <c r="H20" s="12">
        <f>IFERROR(INDEX('Raw Data'!W:W,MATCH($A20,'Raw Data'!$C:$C,0)),0)</f>
        <v>5351.7199999999903</v>
      </c>
      <c r="I20" s="18">
        <f t="shared" si="1"/>
        <v>0.17905981318855196</v>
      </c>
    </row>
    <row r="21" spans="1:9" ht="15" customHeight="1" x14ac:dyDescent="0.35">
      <c r="A21" s="7" t="s">
        <v>82</v>
      </c>
      <c r="B21" s="10">
        <f>IFERROR(INDEX('Raw Data'!D:D,MATCH($A21,'Raw Data'!$C:$C,0)),0)</f>
        <v>744.00329999999894</v>
      </c>
      <c r="C21" s="9">
        <f>IFERROR(INDEX('Raw Data'!O:O,MATCH($A21,'Raw Data'!$C:$C,0)),0)</f>
        <v>0.89965219240000005</v>
      </c>
      <c r="D21" s="9">
        <f>IFERROR(INDEX('Raw Data'!P:P,MATCH($A21,'Raw Data'!$C:$C,0)),0)</f>
        <v>0.65578696280000004</v>
      </c>
      <c r="E21" s="8">
        <f>IFERROR(INDEX('Raw Data'!Q:Q,MATCH($A21,'Raw Data'!$C:$C,0)),0)</f>
        <v>800</v>
      </c>
      <c r="F21" s="19">
        <f>IFERROR(INDEX('Raw Data'!R:R,MATCH($A21,'Raw Data'!$C:$C,0)),0)</f>
        <v>30256.57</v>
      </c>
      <c r="G21" s="17">
        <f t="shared" si="0"/>
        <v>37.820712499999999</v>
      </c>
      <c r="H21" s="8">
        <f>IFERROR(INDEX('Raw Data'!W:W,MATCH($A21,'Raw Data'!$C:$C,0)),0)</f>
        <v>6280.49999999999</v>
      </c>
      <c r="I21" s="17">
        <f t="shared" si="1"/>
        <v>0.20757475153330301</v>
      </c>
    </row>
    <row r="22" spans="1:9" ht="15" customHeight="1" x14ac:dyDescent="0.35">
      <c r="A22" s="11" t="s">
        <v>76</v>
      </c>
      <c r="B22" s="14">
        <f>IFERROR(INDEX('Raw Data'!D:D,MATCH($A22,'Raw Data'!$C:$C,0)),0)</f>
        <v>743.99979999999903</v>
      </c>
      <c r="C22" s="13">
        <f>IFERROR(INDEX('Raw Data'!O:O,MATCH($A22,'Raw Data'!$C:$C,0)),0)</f>
        <v>0.88237322110000005</v>
      </c>
      <c r="D22" s="13">
        <f>IFERROR(INDEX('Raw Data'!P:P,MATCH($A22,'Raw Data'!$C:$C,0)),0)</f>
        <v>0.70187231859999999</v>
      </c>
      <c r="E22" s="12">
        <f>IFERROR(INDEX('Raw Data'!Q:Q,MATCH($A22,'Raw Data'!$C:$C,0)),0)</f>
        <v>782</v>
      </c>
      <c r="F22" s="20">
        <f>IFERROR(INDEX('Raw Data'!R:R,MATCH($A22,'Raw Data'!$C:$C,0)),0)</f>
        <v>29351.040000000001</v>
      </c>
      <c r="G22" s="18">
        <f t="shared" si="0"/>
        <v>37.533299232736574</v>
      </c>
      <c r="H22" s="12">
        <f>IFERROR(INDEX('Raw Data'!W:W,MATCH($A22,'Raw Data'!$C:$C,0)),0)</f>
        <v>5141.71</v>
      </c>
      <c r="I22" s="18">
        <f t="shared" si="1"/>
        <v>0.17517982327031684</v>
      </c>
    </row>
    <row r="23" spans="1:9" ht="15" customHeight="1" x14ac:dyDescent="0.35">
      <c r="A23" s="7" t="s">
        <v>66</v>
      </c>
      <c r="B23" s="10">
        <f>IFERROR(INDEX('Raw Data'!D:D,MATCH($A23,'Raw Data'!$C:$C,0)),0)</f>
        <v>744.00229999999999</v>
      </c>
      <c r="C23" s="9">
        <f>IFERROR(INDEX('Raw Data'!O:O,MATCH($A23,'Raw Data'!$C:$C,0)),0)</f>
        <v>0.75145695109999999</v>
      </c>
      <c r="D23" s="9">
        <f>IFERROR(INDEX('Raw Data'!P:P,MATCH($A23,'Raw Data'!$C:$C,0)),0)</f>
        <v>0.74600763349999999</v>
      </c>
      <c r="E23" s="8">
        <f>IFERROR(INDEX('Raw Data'!Q:Q,MATCH($A23,'Raw Data'!$C:$C,0)),0)</f>
        <v>760</v>
      </c>
      <c r="F23" s="19">
        <f>IFERROR(INDEX('Raw Data'!R:R,MATCH($A23,'Raw Data'!$C:$C,0)),0)</f>
        <v>28507.45</v>
      </c>
      <c r="G23" s="17">
        <f t="shared" si="0"/>
        <v>37.50980263157895</v>
      </c>
      <c r="H23" s="8">
        <f>IFERROR(INDEX('Raw Data'!W:W,MATCH($A23,'Raw Data'!$C:$C,0)),0)</f>
        <v>5050.7299999999996</v>
      </c>
      <c r="I23" s="17">
        <f t="shared" si="1"/>
        <v>0.17717228303478563</v>
      </c>
    </row>
    <row r="24" spans="1:9" ht="15" customHeight="1" x14ac:dyDescent="0.35">
      <c r="A24" s="11" t="s">
        <v>57</v>
      </c>
      <c r="B24" s="14">
        <f>IFERROR(INDEX('Raw Data'!D:D,MATCH($A24,'Raw Data'!$C:$C,0)),0)</f>
        <v>744.00389999999902</v>
      </c>
      <c r="C24" s="13">
        <f>IFERROR(INDEX('Raw Data'!O:O,MATCH($A24,'Raw Data'!$C:$C,0)),0)</f>
        <v>0.79056319460000002</v>
      </c>
      <c r="D24" s="13">
        <f>IFERROR(INDEX('Raw Data'!P:P,MATCH($A24,'Raw Data'!$C:$C,0)),0)</f>
        <v>0.68761630110000005</v>
      </c>
      <c r="E24" s="12">
        <f>IFERROR(INDEX('Raw Data'!Q:Q,MATCH($A24,'Raw Data'!$C:$C,0)),0)</f>
        <v>747</v>
      </c>
      <c r="F24" s="20">
        <f>IFERROR(INDEX('Raw Data'!R:R,MATCH($A24,'Raw Data'!$C:$C,0)),0)</f>
        <v>28054.12</v>
      </c>
      <c r="G24" s="18">
        <f t="shared" si="0"/>
        <v>37.555716198125836</v>
      </c>
      <c r="H24" s="12">
        <f>IFERROR(INDEX('Raw Data'!W:W,MATCH($A24,'Raw Data'!$C:$C,0)),0)</f>
        <v>5075.87</v>
      </c>
      <c r="I24" s="18">
        <f t="shared" si="1"/>
        <v>0.18093135696289886</v>
      </c>
    </row>
    <row r="25" spans="1:9" ht="15" customHeight="1" x14ac:dyDescent="0.35">
      <c r="A25" s="7" t="s">
        <v>55</v>
      </c>
      <c r="B25" s="10">
        <f>IFERROR(INDEX('Raw Data'!D:D,MATCH($A25,'Raw Data'!$C:$C,0)),0)</f>
        <v>744.00409999999999</v>
      </c>
      <c r="C25" s="9">
        <f>IFERROR(INDEX('Raw Data'!O:O,MATCH($A25,'Raw Data'!$C:$C,0)),0)</f>
        <v>0.75950495429999998</v>
      </c>
      <c r="D25" s="9">
        <f>IFERROR(INDEX('Raw Data'!P:P,MATCH($A25,'Raw Data'!$C:$C,0)),0)</f>
        <v>0.67866147990000003</v>
      </c>
      <c r="E25" s="8">
        <f>IFERROR(INDEX('Raw Data'!Q:Q,MATCH($A25,'Raw Data'!$C:$C,0)),0)</f>
        <v>722</v>
      </c>
      <c r="F25" s="19">
        <f>IFERROR(INDEX('Raw Data'!R:R,MATCH($A25,'Raw Data'!$C:$C,0)),0)</f>
        <v>26791.13</v>
      </c>
      <c r="G25" s="17">
        <f t="shared" si="0"/>
        <v>37.106828254847649</v>
      </c>
      <c r="H25" s="8">
        <f>IFERROR(INDEX('Raw Data'!W:W,MATCH($A25,'Raw Data'!$C:$C,0)),0)</f>
        <v>5125.1000000000004</v>
      </c>
      <c r="I25" s="17">
        <f t="shared" si="1"/>
        <v>0.19129838868312013</v>
      </c>
    </row>
    <row r="26" spans="1:9" ht="15" customHeight="1" x14ac:dyDescent="0.35">
      <c r="A26" s="11" t="s">
        <v>60</v>
      </c>
      <c r="B26" s="14">
        <f>IFERROR(INDEX('Raw Data'!D:D,MATCH($A26,'Raw Data'!$C:$C,0)),0)</f>
        <v>744.00350000000003</v>
      </c>
      <c r="C26" s="13">
        <f>IFERROR(INDEX('Raw Data'!O:O,MATCH($A26,'Raw Data'!$C:$C,0)),0)</f>
        <v>0.70746548909999996</v>
      </c>
      <c r="D26" s="13">
        <f>IFERROR(INDEX('Raw Data'!P:P,MATCH($A26,'Raw Data'!$C:$C,0)),0)</f>
        <v>0.73911023850000002</v>
      </c>
      <c r="E26" s="12">
        <f>IFERROR(INDEX('Raw Data'!Q:Q,MATCH($A26,'Raw Data'!$C:$C,0)),0)</f>
        <v>720</v>
      </c>
      <c r="F26" s="20">
        <f>IFERROR(INDEX('Raw Data'!R:R,MATCH($A26,'Raw Data'!$C:$C,0)),0)</f>
        <v>27129.200000000001</v>
      </c>
      <c r="G26" s="18">
        <f t="shared" si="0"/>
        <v>37.679444444444442</v>
      </c>
      <c r="H26" s="12">
        <f>IFERROR(INDEX('Raw Data'!W:W,MATCH($A26,'Raw Data'!$C:$C,0)),0)</f>
        <v>4872.5</v>
      </c>
      <c r="I26" s="18">
        <f t="shared" si="1"/>
        <v>0.1796035268271825</v>
      </c>
    </row>
    <row r="27" spans="1:9" ht="15" customHeight="1" x14ac:dyDescent="0.35">
      <c r="A27" s="7" t="s">
        <v>53</v>
      </c>
      <c r="B27" s="10">
        <f>IFERROR(INDEX('Raw Data'!D:D,MATCH($A27,'Raw Data'!$C:$C,0)),0)</f>
        <v>744.00229999999897</v>
      </c>
      <c r="C27" s="9">
        <f>IFERROR(INDEX('Raw Data'!O:O,MATCH($A27,'Raw Data'!$C:$C,0)),0)</f>
        <v>0.74827443410000005</v>
      </c>
      <c r="D27" s="9">
        <f>IFERROR(INDEX('Raw Data'!P:P,MATCH($A27,'Raw Data'!$C:$C,0)),0)</f>
        <v>0.6938038098</v>
      </c>
      <c r="E27" s="8">
        <f>IFERROR(INDEX('Raw Data'!Q:Q,MATCH($A27,'Raw Data'!$C:$C,0)),0)</f>
        <v>718</v>
      </c>
      <c r="F27" s="19">
        <f>IFERROR(INDEX('Raw Data'!R:R,MATCH($A27,'Raw Data'!$C:$C,0)),0)</f>
        <v>26961.75</v>
      </c>
      <c r="G27" s="17">
        <f t="shared" si="0"/>
        <v>37.551183844011142</v>
      </c>
      <c r="H27" s="8">
        <f>IFERROR(INDEX('Raw Data'!W:W,MATCH($A27,'Raw Data'!$C:$C,0)),0)</f>
        <v>4440.8299999999899</v>
      </c>
      <c r="I27" s="17">
        <f t="shared" si="1"/>
        <v>0.1647085222583842</v>
      </c>
    </row>
    <row r="28" spans="1:9" ht="15" customHeight="1" x14ac:dyDescent="0.35">
      <c r="A28" s="11" t="s">
        <v>65</v>
      </c>
      <c r="B28" s="14">
        <f>IFERROR(INDEX('Raw Data'!D:D,MATCH($A28,'Raw Data'!$C:$C,0)),0)</f>
        <v>744.00119999999902</v>
      </c>
      <c r="C28" s="13">
        <f>IFERROR(INDEX('Raw Data'!O:O,MATCH($A28,'Raw Data'!$C:$C,0)),0)</f>
        <v>0.82105808430000005</v>
      </c>
      <c r="D28" s="13">
        <f>IFERROR(INDEX('Raw Data'!P:P,MATCH($A28,'Raw Data'!$C:$C,0)),0)</f>
        <v>0.67756759970000002</v>
      </c>
      <c r="E28" s="12">
        <f>IFERROR(INDEX('Raw Data'!Q:Q,MATCH($A28,'Raw Data'!$C:$C,0)),0)</f>
        <v>702</v>
      </c>
      <c r="F28" s="20">
        <f>IFERROR(INDEX('Raw Data'!R:R,MATCH($A28,'Raw Data'!$C:$C,0)),0)</f>
        <v>26356.36</v>
      </c>
      <c r="G28" s="18">
        <f t="shared" si="0"/>
        <v>37.544672364672365</v>
      </c>
      <c r="H28" s="12">
        <f>IFERROR(INDEX('Raw Data'!W:W,MATCH($A28,'Raw Data'!$C:$C,0)),0)</f>
        <v>5087.5200000000004</v>
      </c>
      <c r="I28" s="18">
        <f t="shared" si="1"/>
        <v>0.19302817232728647</v>
      </c>
    </row>
    <row r="29" spans="1:9" ht="15" customHeight="1" x14ac:dyDescent="0.35">
      <c r="A29" s="7" t="s">
        <v>84</v>
      </c>
      <c r="B29" s="10">
        <f>IFERROR(INDEX('Raw Data'!D:D,MATCH($A29,'Raw Data'!$C:$C,0)),0)</f>
        <v>744.00039999999899</v>
      </c>
      <c r="C29" s="9">
        <f>IFERROR(INDEX('Raw Data'!O:O,MATCH($A29,'Raw Data'!$C:$C,0)),0)</f>
        <v>0.76910415639999996</v>
      </c>
      <c r="D29" s="9">
        <f>IFERROR(INDEX('Raw Data'!P:P,MATCH($A29,'Raw Data'!$C:$C,0)),0)</f>
        <v>0.66470312320000002</v>
      </c>
      <c r="E29" s="8">
        <f>IFERROR(INDEX('Raw Data'!Q:Q,MATCH($A29,'Raw Data'!$C:$C,0)),0)</f>
        <v>694</v>
      </c>
      <c r="F29" s="19">
        <f>IFERROR(INDEX('Raw Data'!R:R,MATCH($A29,'Raw Data'!$C:$C,0)),0)</f>
        <v>26207.47</v>
      </c>
      <c r="G29" s="17">
        <f t="shared" si="0"/>
        <v>37.762925072046109</v>
      </c>
      <c r="H29" s="8">
        <f>IFERROR(INDEX('Raw Data'!W:W,MATCH($A29,'Raw Data'!$C:$C,0)),0)</f>
        <v>4985.8099999999904</v>
      </c>
      <c r="I29" s="17">
        <f t="shared" si="1"/>
        <v>0.19024385032206428</v>
      </c>
    </row>
    <row r="30" spans="1:9" ht="15" customHeight="1" x14ac:dyDescent="0.35">
      <c r="A30" s="11" t="s">
        <v>71</v>
      </c>
      <c r="B30" s="14">
        <f>IFERROR(INDEX('Raw Data'!D:D,MATCH($A30,'Raw Data'!$C:$C,0)),0)</f>
        <v>744.00329999999894</v>
      </c>
      <c r="C30" s="13">
        <f>IFERROR(INDEX('Raw Data'!O:O,MATCH($A30,'Raw Data'!$C:$C,0)),0)</f>
        <v>0.74828901969999995</v>
      </c>
      <c r="D30" s="13">
        <f>IFERROR(INDEX('Raw Data'!P:P,MATCH($A30,'Raw Data'!$C:$C,0)),0)</f>
        <v>0.66315670360000001</v>
      </c>
      <c r="E30" s="12">
        <f>IFERROR(INDEX('Raw Data'!Q:Q,MATCH($A30,'Raw Data'!$C:$C,0)),0)</f>
        <v>688</v>
      </c>
      <c r="F30" s="20">
        <f>IFERROR(INDEX('Raw Data'!R:R,MATCH($A30,'Raw Data'!$C:$C,0)),0)</f>
        <v>25924.33</v>
      </c>
      <c r="G30" s="18">
        <f t="shared" si="0"/>
        <v>37.680712209302328</v>
      </c>
      <c r="H30" s="12">
        <f>IFERROR(INDEX('Raw Data'!W:W,MATCH($A30,'Raw Data'!$C:$C,0)),0)</f>
        <v>4460.2700000000004</v>
      </c>
      <c r="I30" s="18">
        <f t="shared" si="1"/>
        <v>0.17204957659465067</v>
      </c>
    </row>
    <row r="31" spans="1:9" ht="15" customHeight="1" x14ac:dyDescent="0.35">
      <c r="A31" s="7" t="s">
        <v>59</v>
      </c>
      <c r="B31" s="10">
        <f>IFERROR(INDEX('Raw Data'!D:D,MATCH($A31,'Raw Data'!$C:$C,0)),0)</f>
        <v>743.99959999999896</v>
      </c>
      <c r="C31" s="9">
        <f>IFERROR(INDEX('Raw Data'!O:O,MATCH($A31,'Raw Data'!$C:$C,0)),0)</f>
        <v>0.76011277430000002</v>
      </c>
      <c r="D31" s="9">
        <f>IFERROR(INDEX('Raw Data'!P:P,MATCH($A31,'Raw Data'!$C:$C,0)),0)</f>
        <v>0.71248892180000001</v>
      </c>
      <c r="E31" s="8">
        <f>IFERROR(INDEX('Raw Data'!Q:Q,MATCH($A31,'Raw Data'!$C:$C,0)),0)</f>
        <v>677</v>
      </c>
      <c r="F31" s="19">
        <f>IFERROR(INDEX('Raw Data'!R:R,MATCH($A31,'Raw Data'!$C:$C,0)),0)</f>
        <v>27052.400000000001</v>
      </c>
      <c r="G31" s="17">
        <f t="shared" si="0"/>
        <v>39.959231905465288</v>
      </c>
      <c r="H31" s="8">
        <f>IFERROR(INDEX('Raw Data'!W:W,MATCH($A31,'Raw Data'!$C:$C,0)),0)</f>
        <v>4627.8999999999896</v>
      </c>
      <c r="I31" s="17">
        <f t="shared" si="1"/>
        <v>0.17107169789002047</v>
      </c>
    </row>
    <row r="32" spans="1:9" ht="15" customHeight="1" x14ac:dyDescent="0.35">
      <c r="A32" s="11" t="s">
        <v>46</v>
      </c>
      <c r="B32" s="14">
        <f>IFERROR(INDEX('Raw Data'!D:D,MATCH($A32,'Raw Data'!$C:$C,0)),0)</f>
        <v>744.00589999999897</v>
      </c>
      <c r="C32" s="13">
        <f>IFERROR(INDEX('Raw Data'!O:O,MATCH($A32,'Raw Data'!$C:$C,0)),0)</f>
        <v>0.77249857830000002</v>
      </c>
      <c r="D32" s="13">
        <f>IFERROR(INDEX('Raw Data'!P:P,MATCH($A32,'Raw Data'!$C:$C,0)),0)</f>
        <v>0.5994185232</v>
      </c>
      <c r="E32" s="12">
        <f>IFERROR(INDEX('Raw Data'!Q:Q,MATCH($A32,'Raw Data'!$C:$C,0)),0)</f>
        <v>672</v>
      </c>
      <c r="F32" s="20">
        <f>IFERROR(INDEX('Raw Data'!R:R,MATCH($A32,'Raw Data'!$C:$C,0)),0)</f>
        <v>25848.05</v>
      </c>
      <c r="G32" s="18">
        <f t="shared" si="0"/>
        <v>38.464360119047619</v>
      </c>
      <c r="H32" s="12">
        <f>IFERROR(INDEX('Raw Data'!W:W,MATCH($A32,'Raw Data'!$C:$C,0)),0)</f>
        <v>4859.03</v>
      </c>
      <c r="I32" s="18">
        <f t="shared" si="1"/>
        <v>0.18798439340685275</v>
      </c>
    </row>
    <row r="33" spans="1:9" ht="15" customHeight="1" x14ac:dyDescent="0.35">
      <c r="A33" s="7" t="s">
        <v>58</v>
      </c>
      <c r="B33" s="10">
        <f>IFERROR(INDEX('Raw Data'!D:D,MATCH($A33,'Raw Data'!$C:$C,0)),0)</f>
        <v>744.00479999999902</v>
      </c>
      <c r="C33" s="9">
        <f>IFERROR(INDEX('Raw Data'!O:O,MATCH($A33,'Raw Data'!$C:$C,0)),0)</f>
        <v>0.69695894439999995</v>
      </c>
      <c r="D33" s="9">
        <f>IFERROR(INDEX('Raw Data'!P:P,MATCH($A33,'Raw Data'!$C:$C,0)),0)</f>
        <v>0.71543955650000002</v>
      </c>
      <c r="E33" s="8">
        <f>IFERROR(INDEX('Raw Data'!Q:Q,MATCH($A33,'Raw Data'!$C:$C,0)),0)</f>
        <v>666</v>
      </c>
      <c r="F33" s="19">
        <f>IFERROR(INDEX('Raw Data'!R:R,MATCH($A33,'Raw Data'!$C:$C,0)),0)</f>
        <v>25008.01</v>
      </c>
      <c r="G33" s="17">
        <f t="shared" si="0"/>
        <v>37.549564564564562</v>
      </c>
      <c r="H33" s="8">
        <f>IFERROR(INDEX('Raw Data'!W:W,MATCH($A33,'Raw Data'!$C:$C,0)),0)</f>
        <v>4422.87</v>
      </c>
      <c r="I33" s="17">
        <f t="shared" si="1"/>
        <v>0.17685813465365696</v>
      </c>
    </row>
    <row r="34" spans="1:9" ht="15" customHeight="1" x14ac:dyDescent="0.35">
      <c r="A34" s="11" t="s">
        <v>88</v>
      </c>
      <c r="B34" s="14">
        <f>IFERROR(INDEX('Raw Data'!D:D,MATCH($A34,'Raw Data'!$C:$C,0)),0)</f>
        <v>744.00319999999897</v>
      </c>
      <c r="C34" s="13">
        <f>IFERROR(INDEX('Raw Data'!O:O,MATCH($A34,'Raw Data'!$C:$C,0)),0)</f>
        <v>0.72787603599999995</v>
      </c>
      <c r="D34" s="13">
        <f>IFERROR(INDEX('Raw Data'!P:P,MATCH($A34,'Raw Data'!$C:$C,0)),0)</f>
        <v>0.57952041030000001</v>
      </c>
      <c r="E34" s="12">
        <f>IFERROR(INDEX('Raw Data'!Q:Q,MATCH($A34,'Raw Data'!$C:$C,0)),0)</f>
        <v>629</v>
      </c>
      <c r="F34" s="20">
        <f>IFERROR(INDEX('Raw Data'!R:R,MATCH($A34,'Raw Data'!$C:$C,0)),0)</f>
        <v>23656.97</v>
      </c>
      <c r="G34" s="18">
        <f t="shared" si="0"/>
        <v>37.610445151033389</v>
      </c>
      <c r="H34" s="12">
        <f>IFERROR(INDEX('Raw Data'!W:W,MATCH($A34,'Raw Data'!$C:$C,0)),0)</f>
        <v>4788.42</v>
      </c>
      <c r="I34" s="18">
        <f t="shared" si="1"/>
        <v>0.20241053693689429</v>
      </c>
    </row>
    <row r="35" spans="1:9" ht="15" customHeight="1" x14ac:dyDescent="0.35">
      <c r="A35" s="7" t="s">
        <v>63</v>
      </c>
      <c r="B35" s="10">
        <f>IFERROR(INDEX('Raw Data'!D:D,MATCH($A35,'Raw Data'!$C:$C,0)),0)</f>
        <v>744.00250000000005</v>
      </c>
      <c r="C35" s="9">
        <f>IFERROR(INDEX('Raw Data'!O:O,MATCH($A35,'Raw Data'!$C:$C,0)),0)</f>
        <v>0.66597397189999996</v>
      </c>
      <c r="D35" s="9">
        <f>IFERROR(INDEX('Raw Data'!P:P,MATCH($A35,'Raw Data'!$C:$C,0)),0)</f>
        <v>0.72830913789999996</v>
      </c>
      <c r="E35" s="8">
        <f>IFERROR(INDEX('Raw Data'!Q:Q,MATCH($A35,'Raw Data'!$C:$C,0)),0)</f>
        <v>623</v>
      </c>
      <c r="F35" s="19">
        <f>IFERROR(INDEX('Raw Data'!R:R,MATCH($A35,'Raw Data'!$C:$C,0)),0)</f>
        <v>24043.69</v>
      </c>
      <c r="G35" s="17">
        <f t="shared" si="0"/>
        <v>38.593402889245581</v>
      </c>
      <c r="H35" s="8">
        <f>IFERROR(INDEX('Raw Data'!W:W,MATCH($A35,'Raw Data'!$C:$C,0)),0)</f>
        <v>4148.93</v>
      </c>
      <c r="I35" s="17">
        <f t="shared" si="1"/>
        <v>0.17255795595434811</v>
      </c>
    </row>
    <row r="36" spans="1:9" ht="15" customHeight="1" x14ac:dyDescent="0.35">
      <c r="A36" s="11" t="s">
        <v>80</v>
      </c>
      <c r="B36" s="14">
        <f>IFERROR(INDEX('Raw Data'!D:D,MATCH($A36,'Raw Data'!$C:$C,0)),0)</f>
        <v>744.00179999999898</v>
      </c>
      <c r="C36" s="13">
        <f>IFERROR(INDEX('Raw Data'!O:O,MATCH($A36,'Raw Data'!$C:$C,0)),0)</f>
        <v>0.66573131949999997</v>
      </c>
      <c r="D36" s="13">
        <f>IFERROR(INDEX('Raw Data'!P:P,MATCH($A36,'Raw Data'!$C:$C,0)),0)</f>
        <v>0.62507104199999997</v>
      </c>
      <c r="E36" s="12">
        <f>IFERROR(INDEX('Raw Data'!Q:Q,MATCH($A36,'Raw Data'!$C:$C,0)),0)</f>
        <v>616</v>
      </c>
      <c r="F36" s="20">
        <f>IFERROR(INDEX('Raw Data'!R:R,MATCH($A36,'Raw Data'!$C:$C,0)),0)</f>
        <v>23261.81</v>
      </c>
      <c r="G36" s="18">
        <f t="shared" si="0"/>
        <v>37.762678571428573</v>
      </c>
      <c r="H36" s="12">
        <f>IFERROR(INDEX('Raw Data'!W:W,MATCH($A36,'Raw Data'!$C:$C,0)),0)</f>
        <v>4240.46</v>
      </c>
      <c r="I36" s="18">
        <f t="shared" si="1"/>
        <v>0.18229277945267372</v>
      </c>
    </row>
    <row r="37" spans="1:9" ht="15" customHeight="1" x14ac:dyDescent="0.35">
      <c r="A37" s="7" t="s">
        <v>51</v>
      </c>
      <c r="B37" s="10">
        <f>IFERROR(INDEX('Raw Data'!D:D,MATCH($A37,'Raw Data'!$C:$C,0)),0)</f>
        <v>744.00429999999903</v>
      </c>
      <c r="C37" s="9">
        <f>IFERROR(INDEX('Raw Data'!O:O,MATCH($A37,'Raw Data'!$C:$C,0)),0)</f>
        <v>0.59820581679999996</v>
      </c>
      <c r="D37" s="9">
        <f>IFERROR(INDEX('Raw Data'!P:P,MATCH($A37,'Raw Data'!$C:$C,0)),0)</f>
        <v>0.64468574109999999</v>
      </c>
      <c r="E37" s="8">
        <f>IFERROR(INDEX('Raw Data'!Q:Q,MATCH($A37,'Raw Data'!$C:$C,0)),0)</f>
        <v>606</v>
      </c>
      <c r="F37" s="19">
        <f>IFERROR(INDEX('Raw Data'!R:R,MATCH($A37,'Raw Data'!$C:$C,0)),0)</f>
        <v>23067.46</v>
      </c>
      <c r="G37" s="17">
        <f t="shared" ref="G37:G62" si="2">IFERROR(F37/E37,"-")</f>
        <v>38.065115511551156</v>
      </c>
      <c r="H37" s="8">
        <f>IFERROR(INDEX('Raw Data'!W:W,MATCH($A37,'Raw Data'!$C:$C,0)),0)</f>
        <v>4245.16</v>
      </c>
      <c r="I37" s="17">
        <f t="shared" ref="I37:I62" si="3">IFERROR(H37/F37,"-")</f>
        <v>0.18403239888570305</v>
      </c>
    </row>
    <row r="38" spans="1:9" ht="15" customHeight="1" x14ac:dyDescent="0.35">
      <c r="A38" s="11" t="s">
        <v>56</v>
      </c>
      <c r="B38" s="14">
        <f>IFERROR(INDEX('Raw Data'!D:D,MATCH($A38,'Raw Data'!$C:$C,0)),0)</f>
        <v>744.00309999999899</v>
      </c>
      <c r="C38" s="13">
        <f>IFERROR(INDEX('Raw Data'!O:O,MATCH($A38,'Raw Data'!$C:$C,0)),0)</f>
        <v>0.72629979629999997</v>
      </c>
      <c r="D38" s="13">
        <f>IFERROR(INDEX('Raw Data'!P:P,MATCH($A38,'Raw Data'!$C:$C,0)),0)</f>
        <v>0.62933904650000005</v>
      </c>
      <c r="E38" s="12">
        <f>IFERROR(INDEX('Raw Data'!Q:Q,MATCH($A38,'Raw Data'!$C:$C,0)),0)</f>
        <v>596</v>
      </c>
      <c r="F38" s="20">
        <f>IFERROR(INDEX('Raw Data'!R:R,MATCH($A38,'Raw Data'!$C:$C,0)),0)</f>
        <v>22463.279999999999</v>
      </c>
      <c r="G38" s="18">
        <f t="shared" si="2"/>
        <v>37.690067114093956</v>
      </c>
      <c r="H38" s="12">
        <f>IFERROR(INDEX('Raw Data'!W:W,MATCH($A38,'Raw Data'!$C:$C,0)),0)</f>
        <v>4285.6499999999996</v>
      </c>
      <c r="I38" s="18">
        <f t="shared" si="3"/>
        <v>0.19078469395386605</v>
      </c>
    </row>
    <row r="39" spans="1:9" ht="15" customHeight="1" x14ac:dyDescent="0.35">
      <c r="A39" s="7" t="s">
        <v>64</v>
      </c>
      <c r="B39" s="10">
        <f>IFERROR(INDEX('Raw Data'!D:D,MATCH($A39,'Raw Data'!$C:$C,0)),0)</f>
        <v>744.00119999999902</v>
      </c>
      <c r="C39" s="9">
        <f>IFERROR(INDEX('Raw Data'!O:O,MATCH($A39,'Raw Data'!$C:$C,0)),0)</f>
        <v>0.65246655519999996</v>
      </c>
      <c r="D39" s="9">
        <f>IFERROR(INDEX('Raw Data'!P:P,MATCH($A39,'Raw Data'!$C:$C,0)),0)</f>
        <v>0.69019782009999997</v>
      </c>
      <c r="E39" s="8">
        <f>IFERROR(INDEX('Raw Data'!Q:Q,MATCH($A39,'Raw Data'!$C:$C,0)),0)</f>
        <v>578</v>
      </c>
      <c r="F39" s="19">
        <f>IFERROR(INDEX('Raw Data'!R:R,MATCH($A39,'Raw Data'!$C:$C,0)),0)</f>
        <v>22021.64</v>
      </c>
      <c r="G39" s="17">
        <f t="shared" si="2"/>
        <v>38.099723183390999</v>
      </c>
      <c r="H39" s="8">
        <f>IFERROR(INDEX('Raw Data'!W:W,MATCH($A39,'Raw Data'!$C:$C,0)),0)</f>
        <v>4529.63</v>
      </c>
      <c r="I39" s="17">
        <f t="shared" si="3"/>
        <v>0.20568994861418133</v>
      </c>
    </row>
    <row r="40" spans="1:9" ht="15" customHeight="1" x14ac:dyDescent="0.35">
      <c r="A40" s="11" t="s">
        <v>69</v>
      </c>
      <c r="B40" s="14">
        <f>IFERROR(INDEX('Raw Data'!D:D,MATCH($A40,'Raw Data'!$C:$C,0)),0)</f>
        <v>739.12029999999902</v>
      </c>
      <c r="C40" s="13">
        <f>IFERROR(INDEX('Raw Data'!O:O,MATCH($A40,'Raw Data'!$C:$C,0)),0)</f>
        <v>0.63648177429999997</v>
      </c>
      <c r="D40" s="13">
        <f>IFERROR(INDEX('Raw Data'!P:P,MATCH($A40,'Raw Data'!$C:$C,0)),0)</f>
        <v>0.68882905790000004</v>
      </c>
      <c r="E40" s="12">
        <f>IFERROR(INDEX('Raw Data'!Q:Q,MATCH($A40,'Raw Data'!$C:$C,0)),0)</f>
        <v>558</v>
      </c>
      <c r="F40" s="20">
        <f>IFERROR(INDEX('Raw Data'!R:R,MATCH($A40,'Raw Data'!$C:$C,0)),0)</f>
        <v>21284.98</v>
      </c>
      <c r="G40" s="18">
        <f t="shared" si="2"/>
        <v>38.145125448028672</v>
      </c>
      <c r="H40" s="12">
        <f>IFERROR(INDEX('Raw Data'!W:W,MATCH($A40,'Raw Data'!$C:$C,0)),0)</f>
        <v>4001.65</v>
      </c>
      <c r="I40" s="18">
        <f t="shared" si="3"/>
        <v>0.18800346535444243</v>
      </c>
    </row>
    <row r="41" spans="1:9" ht="15" customHeight="1" x14ac:dyDescent="0.35">
      <c r="A41" s="7" t="s">
        <v>89</v>
      </c>
      <c r="B41" s="10">
        <f>IFERROR(INDEX('Raw Data'!D:D,MATCH($A41,'Raw Data'!$C:$C,0)),0)</f>
        <v>744.000799999999</v>
      </c>
      <c r="C41" s="9">
        <f>IFERROR(INDEX('Raw Data'!O:O,MATCH($A41,'Raw Data'!$C:$C,0)),0)</f>
        <v>0.62287648080000002</v>
      </c>
      <c r="D41" s="9">
        <f>IFERROR(INDEX('Raw Data'!P:P,MATCH($A41,'Raw Data'!$C:$C,0)),0)</f>
        <v>0.58032055549999995</v>
      </c>
      <c r="E41" s="8">
        <f>IFERROR(INDEX('Raw Data'!Q:Q,MATCH($A41,'Raw Data'!$C:$C,0)),0)</f>
        <v>473</v>
      </c>
      <c r="F41" s="19">
        <f>IFERROR(INDEX('Raw Data'!R:R,MATCH($A41,'Raw Data'!$C:$C,0)),0)</f>
        <v>17978.62</v>
      </c>
      <c r="G41" s="17">
        <f t="shared" si="2"/>
        <v>38.009767441860461</v>
      </c>
      <c r="H41" s="8">
        <f>IFERROR(INDEX('Raw Data'!W:W,MATCH($A41,'Raw Data'!$C:$C,0)),0)</f>
        <v>3746.3699999999899</v>
      </c>
      <c r="I41" s="17">
        <f t="shared" si="3"/>
        <v>0.20837917481986884</v>
      </c>
    </row>
    <row r="42" spans="1:9" ht="15" customHeight="1" x14ac:dyDescent="0.35">
      <c r="A42" s="11" t="s">
        <v>74</v>
      </c>
      <c r="B42" s="14">
        <f>IFERROR(INDEX('Raw Data'!D:D,MATCH($A42,'Raw Data'!$C:$C,0)),0)</f>
        <v>744.00189999999895</v>
      </c>
      <c r="C42" s="13">
        <f>IFERROR(INDEX('Raw Data'!O:O,MATCH($A42,'Raw Data'!$C:$C,0)),0)</f>
        <v>0.55198703120000003</v>
      </c>
      <c r="D42" s="13">
        <f>IFERROR(INDEX('Raw Data'!P:P,MATCH($A42,'Raw Data'!$C:$C,0)),0)</f>
        <v>0.61962883940000002</v>
      </c>
      <c r="E42" s="12">
        <f>IFERROR(INDEX('Raw Data'!Q:Q,MATCH($A42,'Raw Data'!$C:$C,0)),0)</f>
        <v>411</v>
      </c>
      <c r="F42" s="20">
        <f>IFERROR(INDEX('Raw Data'!R:R,MATCH($A42,'Raw Data'!$C:$C,0)),0)</f>
        <v>15371.16</v>
      </c>
      <c r="G42" s="18">
        <f t="shared" si="2"/>
        <v>37.399416058394159</v>
      </c>
      <c r="H42" s="12">
        <f>IFERROR(INDEX('Raw Data'!W:W,MATCH($A42,'Raw Data'!$C:$C,0)),0)</f>
        <v>2920.97</v>
      </c>
      <c r="I42" s="18">
        <f t="shared" si="3"/>
        <v>0.19002924958168413</v>
      </c>
    </row>
    <row r="43" spans="1:9" ht="15" customHeight="1" x14ac:dyDescent="0.35">
      <c r="A43" s="7" t="s">
        <v>50</v>
      </c>
      <c r="B43" s="10">
        <f>IFERROR(INDEX('Raw Data'!D:D,MATCH($A43,'Raw Data'!$C:$C,0)),0)</f>
        <v>744.0009</v>
      </c>
      <c r="C43" s="9">
        <f>IFERROR(INDEX('Raw Data'!O:O,MATCH($A43,'Raw Data'!$C:$C,0)),0)</f>
        <v>0.48640613199999999</v>
      </c>
      <c r="D43" s="9">
        <f>IFERROR(INDEX('Raw Data'!P:P,MATCH($A43,'Raw Data'!$C:$C,0)),0)</f>
        <v>0.67619773709999997</v>
      </c>
      <c r="E43" s="8">
        <f>IFERROR(INDEX('Raw Data'!Q:Q,MATCH($A43,'Raw Data'!$C:$C,0)),0)</f>
        <v>406</v>
      </c>
      <c r="F43" s="19">
        <f>IFERROR(INDEX('Raw Data'!R:R,MATCH($A43,'Raw Data'!$C:$C,0)),0)</f>
        <v>15455.86</v>
      </c>
      <c r="G43" s="17">
        <f t="shared" si="2"/>
        <v>38.068620689655177</v>
      </c>
      <c r="H43" s="8">
        <f>IFERROR(INDEX('Raw Data'!W:W,MATCH($A43,'Raw Data'!$C:$C,0)),0)</f>
        <v>2940.05</v>
      </c>
      <c r="I43" s="17">
        <f t="shared" si="3"/>
        <v>0.19022234932252233</v>
      </c>
    </row>
    <row r="44" spans="1:9" ht="15" customHeight="1" x14ac:dyDescent="0.35">
      <c r="A44" s="11" t="s">
        <v>78</v>
      </c>
      <c r="B44" s="14">
        <f>IFERROR(INDEX('Raw Data'!D:D,MATCH($A44,'Raw Data'!$C:$C,0)),0)</f>
        <v>744.00109999999995</v>
      </c>
      <c r="C44" s="13">
        <f>IFERROR(INDEX('Raw Data'!O:O,MATCH($A44,'Raw Data'!$C:$C,0)),0)</f>
        <v>0.7283720414</v>
      </c>
      <c r="D44" s="13">
        <f>IFERROR(INDEX('Raw Data'!P:P,MATCH($A44,'Raw Data'!$C:$C,0)),0)</f>
        <v>0.5036227445</v>
      </c>
      <c r="E44" s="12">
        <f>IFERROR(INDEX('Raw Data'!Q:Q,MATCH($A44,'Raw Data'!$C:$C,0)),0)</f>
        <v>346</v>
      </c>
      <c r="F44" s="20">
        <f>IFERROR(INDEX('Raw Data'!R:R,MATCH($A44,'Raw Data'!$C:$C,0)),0)</f>
        <v>7653.49</v>
      </c>
      <c r="G44" s="18">
        <f t="shared" si="2"/>
        <v>22.119913294797687</v>
      </c>
      <c r="H44" s="12">
        <f>IFERROR(INDEX('Raw Data'!W:W,MATCH($A44,'Raw Data'!$C:$C,0)),0)</f>
        <v>2632.5599999999899</v>
      </c>
      <c r="I44" s="18">
        <f t="shared" si="3"/>
        <v>0.34396856858766262</v>
      </c>
    </row>
    <row r="45" spans="1:9" ht="15" customHeight="1" x14ac:dyDescent="0.35">
      <c r="A45" s="7" t="s">
        <v>87</v>
      </c>
      <c r="B45" s="10">
        <f>IFERROR(INDEX('Raw Data'!D:D,MATCH($A45,'Raw Data'!$C:$C,0)),0)</f>
        <v>744.00269999999898</v>
      </c>
      <c r="C45" s="9">
        <f>IFERROR(INDEX('Raw Data'!O:O,MATCH($A45,'Raw Data'!$C:$C,0)),0)</f>
        <v>0.39435071939999999</v>
      </c>
      <c r="D45" s="9">
        <f>IFERROR(INDEX('Raw Data'!P:P,MATCH($A45,'Raw Data'!$C:$C,0)),0)</f>
        <v>0.58630767760000002</v>
      </c>
      <c r="E45" s="8">
        <f>IFERROR(INDEX('Raw Data'!Q:Q,MATCH($A45,'Raw Data'!$C:$C,0)),0)</f>
        <v>344</v>
      </c>
      <c r="F45" s="19">
        <f>IFERROR(INDEX('Raw Data'!R:R,MATCH($A45,'Raw Data'!$C:$C,0)),0)</f>
        <v>12936.93</v>
      </c>
      <c r="G45" s="17">
        <f t="shared" si="2"/>
        <v>37.607354651162794</v>
      </c>
      <c r="H45" s="8">
        <f>IFERROR(INDEX('Raw Data'!W:W,MATCH($A45,'Raw Data'!$C:$C,0)),0)</f>
        <v>2539.96</v>
      </c>
      <c r="I45" s="17">
        <f t="shared" si="3"/>
        <v>0.19633406070837517</v>
      </c>
    </row>
    <row r="46" spans="1:9" ht="15" customHeight="1" x14ac:dyDescent="0.35">
      <c r="A46" s="11" t="s">
        <v>49</v>
      </c>
      <c r="B46" s="14">
        <f>IFERROR(INDEX('Raw Data'!D:D,MATCH($A46,'Raw Data'!$C:$C,0)),0)</f>
        <v>744.00009999999997</v>
      </c>
      <c r="C46" s="13">
        <f>IFERROR(INDEX('Raw Data'!O:O,MATCH($A46,'Raw Data'!$C:$C,0)),0)</f>
        <v>0.31412952770000002</v>
      </c>
      <c r="D46" s="13">
        <f>IFERROR(INDEX('Raw Data'!P:P,MATCH($A46,'Raw Data'!$C:$C,0)),0)</f>
        <v>0.74580039399999998</v>
      </c>
      <c r="E46" s="12">
        <f>IFERROR(INDEX('Raw Data'!Q:Q,MATCH($A46,'Raw Data'!$C:$C,0)),0)</f>
        <v>329</v>
      </c>
      <c r="F46" s="20">
        <f>IFERROR(INDEX('Raw Data'!R:R,MATCH($A46,'Raw Data'!$C:$C,0)),0)</f>
        <v>12148.92</v>
      </c>
      <c r="G46" s="18">
        <f t="shared" si="2"/>
        <v>36.926808510638296</v>
      </c>
      <c r="H46" s="12">
        <f>IFERROR(INDEX('Raw Data'!W:W,MATCH($A46,'Raw Data'!$C:$C,0)),0)</f>
        <v>2460.89</v>
      </c>
      <c r="I46" s="18">
        <f t="shared" si="3"/>
        <v>0.20256039219947122</v>
      </c>
    </row>
    <row r="47" spans="1:9" ht="15" customHeight="1" x14ac:dyDescent="0.35">
      <c r="A47" s="7" t="s">
        <v>67</v>
      </c>
      <c r="B47" s="10">
        <f>IFERROR(INDEX('Raw Data'!D:D,MATCH($A47,'Raw Data'!$C:$C,0)),0)</f>
        <v>744.00149999999996</v>
      </c>
      <c r="C47" s="9">
        <f>IFERROR(INDEX('Raw Data'!O:O,MATCH($A47,'Raw Data'!$C:$C,0)),0)</f>
        <v>0.30439064980000002</v>
      </c>
      <c r="D47" s="9">
        <f>IFERROR(INDEX('Raw Data'!P:P,MATCH($A47,'Raw Data'!$C:$C,0)),0)</f>
        <v>0.69074006779999997</v>
      </c>
      <c r="E47" s="8">
        <f>IFERROR(INDEX('Raw Data'!Q:Q,MATCH($A47,'Raw Data'!$C:$C,0)),0)</f>
        <v>262</v>
      </c>
      <c r="F47" s="19">
        <f>IFERROR(INDEX('Raw Data'!R:R,MATCH($A47,'Raw Data'!$C:$C,0)),0)</f>
        <v>9932.67</v>
      </c>
      <c r="G47" s="17">
        <f t="shared" si="2"/>
        <v>37.910954198473284</v>
      </c>
      <c r="H47" s="8">
        <f>IFERROR(INDEX('Raw Data'!W:W,MATCH($A47,'Raw Data'!$C:$C,0)),0)</f>
        <v>1873.73</v>
      </c>
      <c r="I47" s="17">
        <f t="shared" si="3"/>
        <v>0.18864313422272158</v>
      </c>
    </row>
    <row r="48" spans="1:9" ht="15" customHeight="1" x14ac:dyDescent="0.35">
      <c r="A48" s="11" t="s">
        <v>61</v>
      </c>
      <c r="B48" s="14">
        <f>IFERROR(INDEX('Raw Data'!D:D,MATCH($A48,'Raw Data'!$C:$C,0)),0)</f>
        <v>744.00049999999896</v>
      </c>
      <c r="C48" s="13">
        <f>IFERROR(INDEX('Raw Data'!O:O,MATCH($A48,'Raw Data'!$C:$C,0)),0)</f>
        <v>0.50986968420000001</v>
      </c>
      <c r="D48" s="13">
        <f>IFERROR(INDEX('Raw Data'!P:P,MATCH($A48,'Raw Data'!$C:$C,0)),0)</f>
        <v>0.48183083770000001</v>
      </c>
      <c r="E48" s="12">
        <f>IFERROR(INDEX('Raw Data'!Q:Q,MATCH($A48,'Raw Data'!$C:$C,0)),0)</f>
        <v>255</v>
      </c>
      <c r="F48" s="20">
        <f>IFERROR(INDEX('Raw Data'!R:R,MATCH($A48,'Raw Data'!$C:$C,0)),0)</f>
        <v>9582.2900000000009</v>
      </c>
      <c r="G48" s="18">
        <f t="shared" si="2"/>
        <v>37.577607843137258</v>
      </c>
      <c r="H48" s="12">
        <f>IFERROR(INDEX('Raw Data'!W:W,MATCH($A48,'Raw Data'!$C:$C,0)),0)</f>
        <v>2229.5599999999899</v>
      </c>
      <c r="I48" s="18">
        <f t="shared" si="3"/>
        <v>0.2326750703641812</v>
      </c>
    </row>
    <row r="49" spans="1:9" ht="15" customHeight="1" x14ac:dyDescent="0.35">
      <c r="A49" s="7" t="s">
        <v>47</v>
      </c>
      <c r="B49" s="10">
        <f>IFERROR(INDEX('Raw Data'!D:D,MATCH($A49,'Raw Data'!$C:$C,0)),0)</f>
        <v>744.00099999999998</v>
      </c>
      <c r="C49" s="9">
        <f>IFERROR(INDEX('Raw Data'!O:O,MATCH($A49,'Raw Data'!$C:$C,0)),0)</f>
        <v>0.4637156402</v>
      </c>
      <c r="D49" s="9">
        <f>IFERROR(INDEX('Raw Data'!P:P,MATCH($A49,'Raw Data'!$C:$C,0)),0)</f>
        <v>0.46759509789999998</v>
      </c>
      <c r="E49" s="8">
        <f>IFERROR(INDEX('Raw Data'!Q:Q,MATCH($A49,'Raw Data'!$C:$C,0)),0)</f>
        <v>233</v>
      </c>
      <c r="F49" s="19">
        <f>IFERROR(INDEX('Raw Data'!R:R,MATCH($A49,'Raw Data'!$C:$C,0)),0)</f>
        <v>8734.65</v>
      </c>
      <c r="G49" s="17">
        <f t="shared" si="2"/>
        <v>37.487768240343343</v>
      </c>
      <c r="H49" s="8">
        <f>IFERROR(INDEX('Raw Data'!W:W,MATCH($A49,'Raw Data'!$C:$C,0)),0)</f>
        <v>2166.14</v>
      </c>
      <c r="I49" s="17">
        <f t="shared" si="3"/>
        <v>0.24799390931519866</v>
      </c>
    </row>
    <row r="50" spans="1:9" ht="15" customHeight="1" x14ac:dyDescent="0.35">
      <c r="A50" s="7" t="s">
        <v>86</v>
      </c>
      <c r="B50" s="10">
        <f>IFERROR(INDEX('Raw Data'!D:D,MATCH($A50,'Raw Data'!$C:$C,0)),0)</f>
        <v>744.00049999999896</v>
      </c>
      <c r="C50" s="9">
        <f>IFERROR(INDEX('Raw Data'!O:O,MATCH($A50,'Raw Data'!$C:$C,0)),0)</f>
        <v>0.12281241750000001</v>
      </c>
      <c r="D50" s="9">
        <f>IFERROR(INDEX('Raw Data'!P:P,MATCH($A50,'Raw Data'!$C:$C,0)),0)</f>
        <v>0</v>
      </c>
      <c r="E50" s="8">
        <f>IFERROR(INDEX('Raw Data'!Q:Q,MATCH($A50,'Raw Data'!$C:$C,0)),0)</f>
        <v>162</v>
      </c>
      <c r="F50" s="19">
        <f>IFERROR(INDEX('Raw Data'!R:R,MATCH($A50,'Raw Data'!$C:$C,0)),0)</f>
        <v>6110.13</v>
      </c>
      <c r="G50" s="17">
        <f t="shared" si="2"/>
        <v>37.71685185185185</v>
      </c>
      <c r="H50" s="8">
        <f>IFERROR(INDEX('Raw Data'!W:W,MATCH($A50,'Raw Data'!$C:$C,0)),0)</f>
        <v>1334.3299999999899</v>
      </c>
      <c r="I50" s="17">
        <f t="shared" si="3"/>
        <v>0.21837996900229453</v>
      </c>
    </row>
    <row r="51" spans="1:9" ht="15" customHeight="1" x14ac:dyDescent="0.35">
      <c r="A51" s="11" t="s">
        <v>70</v>
      </c>
      <c r="B51" s="14">
        <f>IFERROR(INDEX('Raw Data'!D:D,MATCH($A51,'Raw Data'!$C:$C,0)),0)</f>
        <v>740.66529999999898</v>
      </c>
      <c r="C51" s="13">
        <f>IFERROR(INDEX('Raw Data'!O:O,MATCH($A51,'Raw Data'!$C:$C,0)),0)</f>
        <v>0.28270421200000001</v>
      </c>
      <c r="D51" s="13">
        <f>IFERROR(INDEX('Raw Data'!P:P,MATCH($A51,'Raw Data'!$C:$C,0)),0)</f>
        <v>0.39794411559999998</v>
      </c>
      <c r="E51" s="12">
        <f>IFERROR(INDEX('Raw Data'!Q:Q,MATCH($A51,'Raw Data'!$C:$C,0)),0)</f>
        <v>155</v>
      </c>
      <c r="F51" s="20">
        <f>IFERROR(INDEX('Raw Data'!R:R,MATCH($A51,'Raw Data'!$C:$C,0)),0)</f>
        <v>5838.56</v>
      </c>
      <c r="G51" s="18">
        <f t="shared" si="2"/>
        <v>37.668129032258065</v>
      </c>
      <c r="H51" s="12">
        <f>IFERROR(INDEX('Raw Data'!W:W,MATCH($A51,'Raw Data'!$C:$C,0)),0)</f>
        <v>1198.02</v>
      </c>
      <c r="I51" s="18">
        <f t="shared" si="3"/>
        <v>0.2051910060014798</v>
      </c>
    </row>
    <row r="52" spans="1:9" ht="15" customHeight="1" x14ac:dyDescent="0.35">
      <c r="A52" s="7" t="s">
        <v>81</v>
      </c>
      <c r="B52" s="10">
        <f>IFERROR(INDEX('Raw Data'!D:D,MATCH($A52,'Raw Data'!$C:$C,0)),0)</f>
        <v>744.00069999999903</v>
      </c>
      <c r="C52" s="9">
        <f>IFERROR(INDEX('Raw Data'!O:O,MATCH($A52,'Raw Data'!$C:$C,0)),0)</f>
        <v>0.17249137</v>
      </c>
      <c r="D52" s="9">
        <f>IFERROR(INDEX('Raw Data'!P:P,MATCH($A52,'Raw Data'!$C:$C,0)),0)</f>
        <v>0.56857084300000005</v>
      </c>
      <c r="E52" s="8">
        <f>IFERROR(INDEX('Raw Data'!Q:Q,MATCH($A52,'Raw Data'!$C:$C,0)),0)</f>
        <v>137</v>
      </c>
      <c r="F52" s="19">
        <f>IFERROR(INDEX('Raw Data'!R:R,MATCH($A52,'Raw Data'!$C:$C,0)),0)</f>
        <v>5255.62</v>
      </c>
      <c r="G52" s="17">
        <f t="shared" si="2"/>
        <v>38.362189781021897</v>
      </c>
      <c r="H52" s="8">
        <f>IFERROR(INDEX('Raw Data'!W:W,MATCH($A52,'Raw Data'!$C:$C,0)),0)</f>
        <v>803.83</v>
      </c>
      <c r="I52" s="17">
        <f t="shared" si="3"/>
        <v>0.15294675033583099</v>
      </c>
    </row>
    <row r="53" spans="1:9" ht="15" customHeight="1" x14ac:dyDescent="0.35">
      <c r="A53" s="11" t="s">
        <v>34</v>
      </c>
      <c r="B53" s="14">
        <f>IFERROR(INDEX('Raw Data'!D:D,MATCH($A53,'Raw Data'!$C:$C,0)),0)</f>
        <v>744.00049999999999</v>
      </c>
      <c r="C53" s="13">
        <f>IFERROR(INDEX('Raw Data'!O:O,MATCH($A53,'Raw Data'!$C:$C,0)),0)</f>
        <v>0.22739299230000001</v>
      </c>
      <c r="D53" s="13">
        <f>IFERROR(INDEX('Raw Data'!P:P,MATCH($A53,'Raw Data'!$C:$C,0)),0)</f>
        <v>0.33282913809999998</v>
      </c>
      <c r="E53" s="12">
        <f>IFERROR(INDEX('Raw Data'!Q:Q,MATCH($A53,'Raw Data'!$C:$C,0)),0)</f>
        <v>122</v>
      </c>
      <c r="F53" s="20">
        <f>IFERROR(INDEX('Raw Data'!R:R,MATCH($A53,'Raw Data'!$C:$C,0)),0)</f>
        <v>2807.05</v>
      </c>
      <c r="G53" s="18">
        <f t="shared" si="2"/>
        <v>23.00860655737705</v>
      </c>
      <c r="H53" s="12">
        <f>IFERROR(INDEX('Raw Data'!W:W,MATCH($A53,'Raw Data'!$C:$C,0)),0)</f>
        <v>725.04</v>
      </c>
      <c r="I53" s="18">
        <f t="shared" si="3"/>
        <v>0.25829251349281274</v>
      </c>
    </row>
    <row r="54" spans="1:9" ht="15" customHeight="1" x14ac:dyDescent="0.35">
      <c r="A54" s="7" t="s">
        <v>96</v>
      </c>
      <c r="B54" s="10">
        <f>IFERROR(INDEX('Raw Data'!D:D,MATCH($A54,'Raw Data'!$C:$C,0)),0)</f>
        <v>744.00049999999999</v>
      </c>
      <c r="C54" s="9">
        <f>IFERROR(INDEX('Raw Data'!O:O,MATCH($A54,'Raw Data'!$C:$C,0)),0)</f>
        <v>0.1230712883</v>
      </c>
      <c r="D54" s="9">
        <f>IFERROR(INDEX('Raw Data'!P:P,MATCH($A54,'Raw Data'!$C:$C,0)),0)</f>
        <v>0.33399188120000001</v>
      </c>
      <c r="E54" s="8">
        <f>IFERROR(INDEX('Raw Data'!Q:Q,MATCH($A54,'Raw Data'!$C:$C,0)),0)</f>
        <v>96</v>
      </c>
      <c r="F54" s="19">
        <f>IFERROR(INDEX('Raw Data'!R:R,MATCH($A54,'Raw Data'!$C:$C,0)),0)</f>
        <v>3397.95</v>
      </c>
      <c r="G54" s="17">
        <f t="shared" si="2"/>
        <v>35.395312499999996</v>
      </c>
      <c r="H54" s="8">
        <f>IFERROR(INDEX('Raw Data'!W:W,MATCH($A54,'Raw Data'!$C:$C,0)),0)</f>
        <v>593.46</v>
      </c>
      <c r="I54" s="17">
        <f t="shared" si="3"/>
        <v>0.17465236392530792</v>
      </c>
    </row>
    <row r="55" spans="1:9" ht="15" customHeight="1" x14ac:dyDescent="0.35">
      <c r="A55" s="11" t="s">
        <v>43</v>
      </c>
      <c r="B55" s="14">
        <f>IFERROR(INDEX('Raw Data'!D:D,MATCH($A55,'Raw Data'!$C:$C,0)),0)</f>
        <v>744.00109999999995</v>
      </c>
      <c r="C55" s="13">
        <f>IFERROR(INDEX('Raw Data'!O:O,MATCH($A55,'Raw Data'!$C:$C,0)),0)</f>
        <v>0.20666085040000001</v>
      </c>
      <c r="D55" s="13">
        <f>IFERROR(INDEX('Raw Data'!P:P,MATCH($A55,'Raw Data'!$C:$C,0)),0)</f>
        <v>0.2411393644</v>
      </c>
      <c r="E55" s="12">
        <f>IFERROR(INDEX('Raw Data'!Q:Q,MATCH($A55,'Raw Data'!$C:$C,0)),0)</f>
        <v>68</v>
      </c>
      <c r="F55" s="20">
        <f>IFERROR(INDEX('Raw Data'!R:R,MATCH($A55,'Raw Data'!$C:$C,0)),0)</f>
        <v>1601.88</v>
      </c>
      <c r="G55" s="18">
        <f t="shared" si="2"/>
        <v>23.557058823529413</v>
      </c>
      <c r="H55" s="12">
        <f>IFERROR(INDEX('Raw Data'!W:W,MATCH($A55,'Raw Data'!$C:$C,0)),0)</f>
        <v>572.81999999999903</v>
      </c>
      <c r="I55" s="18">
        <f t="shared" si="3"/>
        <v>0.35759232901340859</v>
      </c>
    </row>
    <row r="56" spans="1:9" ht="15" customHeight="1" x14ac:dyDescent="0.35">
      <c r="A56" s="7" t="s">
        <v>41</v>
      </c>
      <c r="B56" s="10">
        <f>IFERROR(INDEX('Raw Data'!D:D,MATCH($A56,'Raw Data'!$C:$C,0)),0)</f>
        <v>743.99990000000003</v>
      </c>
      <c r="C56" s="9">
        <f>IFERROR(INDEX('Raw Data'!O:O,MATCH($A56,'Raw Data'!$C:$C,0)),0)</f>
        <v>0.26489318080000002</v>
      </c>
      <c r="D56" s="9">
        <f>IFERROR(INDEX('Raw Data'!P:P,MATCH($A56,'Raw Data'!$C:$C,0)),0)</f>
        <v>5.8481686400000003E-2</v>
      </c>
      <c r="E56" s="8">
        <f>IFERROR(INDEX('Raw Data'!Q:Q,MATCH($A56,'Raw Data'!$C:$C,0)),0)</f>
        <v>21</v>
      </c>
      <c r="F56" s="19">
        <f>IFERROR(INDEX('Raw Data'!R:R,MATCH($A56,'Raw Data'!$C:$C,0)),0)</f>
        <v>492.1</v>
      </c>
      <c r="G56" s="17">
        <f t="shared" si="2"/>
        <v>23.433333333333334</v>
      </c>
      <c r="H56" s="8">
        <f>IFERROR(INDEX('Raw Data'!W:W,MATCH($A56,'Raw Data'!$C:$C,0)),0)</f>
        <v>150.16</v>
      </c>
      <c r="I56" s="17">
        <f t="shared" si="3"/>
        <v>0.30514123145702093</v>
      </c>
    </row>
    <row r="57" spans="1:9" ht="15" customHeight="1" x14ac:dyDescent="0.35">
      <c r="A57" s="11" t="s">
        <v>33</v>
      </c>
      <c r="B57" s="14">
        <f>IFERROR(INDEX('Raw Data'!D:D,MATCH($A57,'Raw Data'!$C:$C,0)),0)</f>
        <v>743.999899999999</v>
      </c>
      <c r="C57" s="13">
        <f>IFERROR(INDEX('Raw Data'!O:O,MATCH($A57,'Raw Data'!$C:$C,0)),0)</f>
        <v>2.29725837E-2</v>
      </c>
      <c r="D57" s="13">
        <f>IFERROR(INDEX('Raw Data'!P:P,MATCH($A57,'Raw Data'!$C:$C,0)),0)</f>
        <v>0.12318331809999999</v>
      </c>
      <c r="E57" s="12">
        <f>IFERROR(INDEX('Raw Data'!Q:Q,MATCH($A57,'Raw Data'!$C:$C,0)),0)</f>
        <v>0</v>
      </c>
      <c r="F57" s="20">
        <f>IFERROR(INDEX('Raw Data'!R:R,MATCH($A57,'Raw Data'!$C:$C,0)),0)</f>
        <v>0</v>
      </c>
      <c r="G57" s="18" t="str">
        <f t="shared" si="2"/>
        <v>-</v>
      </c>
      <c r="H57" s="12">
        <f>IFERROR(INDEX('Raw Data'!W:W,MATCH($A57,'Raw Data'!$C:$C,0)),0)</f>
        <v>0</v>
      </c>
      <c r="I57" s="18" t="str">
        <f t="shared" si="3"/>
        <v>-</v>
      </c>
    </row>
    <row r="58" spans="1:9" ht="15" customHeight="1" x14ac:dyDescent="0.35">
      <c r="A58" s="7" t="s">
        <v>35</v>
      </c>
      <c r="B58" s="10">
        <f>IFERROR(INDEX('Raw Data'!D:D,MATCH($A58,'Raw Data'!$C:$C,0)),0)</f>
        <v>744.00009999999997</v>
      </c>
      <c r="C58" s="9">
        <f>IFERROR(INDEX('Raw Data'!O:O,MATCH($A58,'Raw Data'!$C:$C,0)),0)</f>
        <v>2.1954297999999999E-3</v>
      </c>
      <c r="D58" s="9">
        <f>IFERROR(INDEX('Raw Data'!P:P,MATCH($A58,'Raw Data'!$C:$C,0)),0)</f>
        <v>0.50679564099999996</v>
      </c>
      <c r="E58" s="8">
        <f>IFERROR(INDEX('Raw Data'!Q:Q,MATCH($A58,'Raw Data'!$C:$C,0)),0)</f>
        <v>0</v>
      </c>
      <c r="F58" s="19">
        <f>IFERROR(INDEX('Raw Data'!R:R,MATCH($A58,'Raw Data'!$C:$C,0)),0)</f>
        <v>0</v>
      </c>
      <c r="G58" s="17" t="str">
        <f t="shared" si="2"/>
        <v>-</v>
      </c>
      <c r="H58" s="8">
        <f>IFERROR(INDEX('Raw Data'!W:W,MATCH($A58,'Raw Data'!$C:$C,0)),0)</f>
        <v>218.7</v>
      </c>
      <c r="I58" s="17" t="str">
        <f t="shared" si="3"/>
        <v>-</v>
      </c>
    </row>
    <row r="59" spans="1:9" ht="15" customHeight="1" x14ac:dyDescent="0.35">
      <c r="A59" s="11" t="s">
        <v>37</v>
      </c>
      <c r="B59" s="14">
        <f>IFERROR(INDEX('Raw Data'!D:D,MATCH($A59,'Raw Data'!$C:$C,0)),0)</f>
        <v>739.56549999999902</v>
      </c>
      <c r="C59" s="13">
        <f>IFERROR(INDEX('Raw Data'!O:O,MATCH($A59,'Raw Data'!$C:$C,0)),0)</f>
        <v>8.5721683899999998E-2</v>
      </c>
      <c r="D59" s="13">
        <f>IFERROR(INDEX('Raw Data'!P:P,MATCH($A59,'Raw Data'!$C:$C,0)),0)</f>
        <v>7.7874593000000006E-2</v>
      </c>
      <c r="E59" s="12">
        <f>IFERROR(INDEX('Raw Data'!Q:Q,MATCH($A59,'Raw Data'!$C:$C,0)),0)</f>
        <v>0</v>
      </c>
      <c r="F59" s="20">
        <f>IFERROR(INDEX('Raw Data'!R:R,MATCH($A59,'Raw Data'!$C:$C,0)),0)</f>
        <v>0</v>
      </c>
      <c r="G59" s="18" t="str">
        <f t="shared" si="2"/>
        <v>-</v>
      </c>
      <c r="H59" s="12">
        <f>IFERROR(INDEX('Raw Data'!W:W,MATCH($A59,'Raw Data'!$C:$C,0)),0)</f>
        <v>169.02</v>
      </c>
      <c r="I59" s="18" t="str">
        <f t="shared" si="3"/>
        <v>-</v>
      </c>
    </row>
    <row r="60" spans="1:9" ht="15" customHeight="1" x14ac:dyDescent="0.35">
      <c r="A60" s="7" t="s">
        <v>38</v>
      </c>
      <c r="B60" s="10">
        <f>IFERROR(INDEX('Raw Data'!D:D,MATCH($A60,'Raw Data'!$C:$C,0)),0)</f>
        <v>744.00139999999897</v>
      </c>
      <c r="C60" s="9">
        <f>IFERROR(INDEX('Raw Data'!O:O,MATCH($A60,'Raw Data'!$C:$C,0)),0)</f>
        <v>0.3636526759</v>
      </c>
      <c r="D60" s="9">
        <f>IFERROR(INDEX('Raw Data'!P:P,MATCH($A60,'Raw Data'!$C:$C,0)),0)</f>
        <v>1.1564614000000001E-2</v>
      </c>
      <c r="E60" s="8">
        <f>IFERROR(INDEX('Raw Data'!Q:Q,MATCH($A60,'Raw Data'!$C:$C,0)),0)</f>
        <v>0</v>
      </c>
      <c r="F60" s="19">
        <f>IFERROR(INDEX('Raw Data'!R:R,MATCH($A60,'Raw Data'!$C:$C,0)),0)</f>
        <v>0</v>
      </c>
      <c r="G60" s="17" t="str">
        <f t="shared" si="2"/>
        <v>-</v>
      </c>
      <c r="H60" s="8">
        <f>IFERROR(INDEX('Raw Data'!W:W,MATCH($A60,'Raw Data'!$C:$C,0)),0)</f>
        <v>0.39</v>
      </c>
      <c r="I60" s="17" t="str">
        <f t="shared" si="3"/>
        <v>-</v>
      </c>
    </row>
    <row r="61" spans="1:9" ht="15" customHeight="1" x14ac:dyDescent="0.35">
      <c r="A61" s="11" t="s">
        <v>40</v>
      </c>
      <c r="B61" s="14">
        <f>IFERROR(INDEX('Raw Data'!D:D,MATCH($A61,'Raw Data'!$C:$C,0)),0)</f>
        <v>744.00009999999997</v>
      </c>
      <c r="C61" s="13">
        <f>IFERROR(INDEX('Raw Data'!O:O,MATCH($A61,'Raw Data'!$C:$C,0)),0)</f>
        <v>9.6774314900000005E-2</v>
      </c>
      <c r="D61" s="13">
        <f>IFERROR(INDEX('Raw Data'!P:P,MATCH($A61,'Raw Data'!$C:$C,0)),0)</f>
        <v>1.5152757E-3</v>
      </c>
      <c r="E61" s="12">
        <f>IFERROR(INDEX('Raw Data'!Q:Q,MATCH($A61,'Raw Data'!$C:$C,0)),0)</f>
        <v>0</v>
      </c>
      <c r="F61" s="20">
        <f>IFERROR(INDEX('Raw Data'!R:R,MATCH($A61,'Raw Data'!$C:$C,0)),0)</f>
        <v>0</v>
      </c>
      <c r="G61" s="18" t="str">
        <f t="shared" si="2"/>
        <v>-</v>
      </c>
      <c r="H61" s="12">
        <f>IFERROR(INDEX('Raw Data'!W:W,MATCH($A61,'Raw Data'!$C:$C,0)),0)</f>
        <v>0</v>
      </c>
      <c r="I61" s="18" t="str">
        <f t="shared" si="3"/>
        <v>-</v>
      </c>
    </row>
    <row r="62" spans="1:9" ht="15" customHeight="1" x14ac:dyDescent="0.35">
      <c r="A62" s="7" t="s">
        <v>68</v>
      </c>
      <c r="B62" s="10">
        <f>IFERROR(INDEX('Raw Data'!D:D,MATCH($A62,'Raw Data'!$C:$C,0)),0)</f>
        <v>744</v>
      </c>
      <c r="C62" s="9">
        <f>IFERROR(INDEX('Raw Data'!O:O,MATCH($A62,'Raw Data'!$C:$C,0)),0)</f>
        <v>1</v>
      </c>
      <c r="D62" s="9">
        <f>IFERROR(INDEX('Raw Data'!P:P,MATCH($A62,'Raw Data'!$C:$C,0)),0)</f>
        <v>0</v>
      </c>
      <c r="E62" s="8">
        <f>IFERROR(INDEX('Raw Data'!Q:Q,MATCH($A62,'Raw Data'!$C:$C,0)),0)</f>
        <v>0</v>
      </c>
      <c r="F62" s="19">
        <f>IFERROR(INDEX('Raw Data'!R:R,MATCH($A62,'Raw Data'!$C:$C,0)),0)</f>
        <v>0</v>
      </c>
      <c r="G62" s="17" t="str">
        <f t="shared" si="2"/>
        <v>-</v>
      </c>
      <c r="H62" s="8">
        <f>IFERROR(INDEX('Raw Data'!W:W,MATCH($A62,'Raw Data'!$C:$C,0)),0)</f>
        <v>0</v>
      </c>
      <c r="I62" s="17" t="str">
        <f t="shared" si="3"/>
        <v>-</v>
      </c>
    </row>
    <row r="65" spans="1:9" ht="18" customHeight="1" x14ac:dyDescent="0.35">
      <c r="A65" s="71" t="s">
        <v>311</v>
      </c>
      <c r="B65" s="71"/>
      <c r="C65" s="71"/>
      <c r="D65" s="71"/>
      <c r="E65" s="71"/>
      <c r="F65" s="71"/>
      <c r="G65" s="71"/>
      <c r="H65" s="71"/>
      <c r="I65" s="71"/>
    </row>
    <row r="66" spans="1:9" ht="25.5" customHeight="1" x14ac:dyDescent="0.35">
      <c r="A66" s="6" t="s">
        <v>3</v>
      </c>
      <c r="B66" s="6" t="s">
        <v>272</v>
      </c>
      <c r="C66" s="6" t="s">
        <v>304</v>
      </c>
      <c r="D66" s="6" t="s">
        <v>305</v>
      </c>
      <c r="E66" s="6" t="s">
        <v>312</v>
      </c>
      <c r="F66" s="6" t="s">
        <v>253</v>
      </c>
      <c r="G66" s="6" t="s">
        <v>22</v>
      </c>
      <c r="H66" s="6" t="s">
        <v>309</v>
      </c>
      <c r="I66" s="6" t="s">
        <v>313</v>
      </c>
    </row>
    <row r="67" spans="1:9" ht="15" customHeight="1" x14ac:dyDescent="0.35">
      <c r="A67" s="7" t="s">
        <v>175</v>
      </c>
      <c r="B67" s="10">
        <f>IFERROR(INDEX('Raw Data'!D:D,MATCH($A67,'Raw Data'!$C:$C,0)),0)</f>
        <v>743.999899999999</v>
      </c>
      <c r="C67" s="9">
        <f>IFERROR(INDEX('Raw Data'!O:O,MATCH($A67,'Raw Data'!$C:$C,0)),0)</f>
        <v>0.48587829110000003</v>
      </c>
      <c r="D67" s="9">
        <f>IFERROR(INDEX('Raw Data'!P:P,MATCH($A67,'Raw Data'!$C:$C,0)),0)</f>
        <v>0.79351960509999997</v>
      </c>
      <c r="E67" s="8">
        <f>IFERROR(INDEX('Raw Data'!T:T,MATCH($A67,'Raw Data'!$C:$C,0)),0)</f>
        <v>1639</v>
      </c>
      <c r="F67" s="8">
        <f>IFERROR(INDEX('Raw Data'!U:U,MATCH($A67,'Raw Data'!$C:$C,0)),0)</f>
        <v>68838</v>
      </c>
      <c r="G67" s="21">
        <f>IFERROR(INDEX('Raw Data'!V:V,MATCH($A67,'Raw Data'!$C:$C,0)),0)</f>
        <v>42</v>
      </c>
      <c r="H67" s="8">
        <f>IFERROR(INDEX('Raw Data'!W:W,MATCH($A67,'Raw Data'!$C:$C,0)),0)</f>
        <v>12185.71</v>
      </c>
      <c r="I67" s="22">
        <f t="shared" ref="I67:I98" si="4">IFERROR(H67/F67,"-")</f>
        <v>0.17702010517446759</v>
      </c>
    </row>
    <row r="68" spans="1:9" ht="15" customHeight="1" x14ac:dyDescent="0.35">
      <c r="A68" s="11" t="s">
        <v>171</v>
      </c>
      <c r="B68" s="14">
        <f>IFERROR(INDEX('Raw Data'!D:D,MATCH($A68,'Raw Data'!$C:$C,0)),0)</f>
        <v>743.99950000000001</v>
      </c>
      <c r="C68" s="13">
        <f>IFERROR(INDEX('Raw Data'!O:O,MATCH($A68,'Raw Data'!$C:$C,0)),0)</f>
        <v>0.66935878319999997</v>
      </c>
      <c r="D68" s="13">
        <f>IFERROR(INDEX('Raw Data'!P:P,MATCH($A68,'Raw Data'!$C:$C,0)),0)</f>
        <v>0.84554839670000004</v>
      </c>
      <c r="E68" s="12">
        <f>IFERROR(INDEX('Raw Data'!T:T,MATCH($A68,'Raw Data'!$C:$C,0)),0)</f>
        <v>1618</v>
      </c>
      <c r="F68" s="12">
        <f>IFERROR(INDEX('Raw Data'!U:U,MATCH($A68,'Raw Data'!$C:$C,0)),0)</f>
        <v>67956</v>
      </c>
      <c r="G68" s="23">
        <f>IFERROR(INDEX('Raw Data'!V:V,MATCH($A68,'Raw Data'!$C:$C,0)),0)</f>
        <v>42</v>
      </c>
      <c r="H68" s="12">
        <f>IFERROR(INDEX('Raw Data'!W:W,MATCH($A68,'Raw Data'!$C:$C,0)),0)</f>
        <v>18146.3</v>
      </c>
      <c r="I68" s="24">
        <f t="shared" si="4"/>
        <v>0.26703013714756607</v>
      </c>
    </row>
    <row r="69" spans="1:9" ht="15" customHeight="1" x14ac:dyDescent="0.35">
      <c r="A69" s="7" t="s">
        <v>178</v>
      </c>
      <c r="B69" s="10">
        <f>IFERROR(INDEX('Raw Data'!D:D,MATCH($A69,'Raw Data'!$C:$C,0)),0)</f>
        <v>744.00059999999996</v>
      </c>
      <c r="C69" s="9">
        <f>IFERROR(INDEX('Raw Data'!O:O,MATCH($A69,'Raw Data'!$C:$C,0)),0)</f>
        <v>0.69109917379999997</v>
      </c>
      <c r="D69" s="9">
        <f>IFERROR(INDEX('Raw Data'!P:P,MATCH($A69,'Raw Data'!$C:$C,0)),0)</f>
        <v>0.82616221379999999</v>
      </c>
      <c r="E69" s="8">
        <f>IFERROR(INDEX('Raw Data'!T:T,MATCH($A69,'Raw Data'!$C:$C,0)),0)</f>
        <v>1566</v>
      </c>
      <c r="F69" s="8">
        <f>IFERROR(INDEX('Raw Data'!U:U,MATCH($A69,'Raw Data'!$C:$C,0)),0)</f>
        <v>65772</v>
      </c>
      <c r="G69" s="21">
        <f>IFERROR(INDEX('Raw Data'!V:V,MATCH($A69,'Raw Data'!$C:$C,0)),0)</f>
        <v>42</v>
      </c>
      <c r="H69" s="8">
        <f>IFERROR(INDEX('Raw Data'!W:W,MATCH($A69,'Raw Data'!$C:$C,0)),0)</f>
        <v>18735.14</v>
      </c>
      <c r="I69" s="22">
        <f t="shared" si="4"/>
        <v>0.28484978410265765</v>
      </c>
    </row>
    <row r="70" spans="1:9" ht="15" customHeight="1" x14ac:dyDescent="0.35">
      <c r="A70" s="11" t="s">
        <v>172</v>
      </c>
      <c r="B70" s="14">
        <f>IFERROR(INDEX('Raw Data'!D:D,MATCH($A70,'Raw Data'!$C:$C,0)),0)</f>
        <v>744.00019999999904</v>
      </c>
      <c r="C70" s="13">
        <f>IFERROR(INDEX('Raw Data'!O:O,MATCH($A70,'Raw Data'!$C:$C,0)),0)</f>
        <v>0.4603342849</v>
      </c>
      <c r="D70" s="13">
        <f>IFERROR(INDEX('Raw Data'!P:P,MATCH($A70,'Raw Data'!$C:$C,0)),0)</f>
        <v>0.79858465440000004</v>
      </c>
      <c r="E70" s="12">
        <f>IFERROR(INDEX('Raw Data'!T:T,MATCH($A70,'Raw Data'!$C:$C,0)),0)</f>
        <v>1524</v>
      </c>
      <c r="F70" s="12">
        <f>IFERROR(INDEX('Raw Data'!U:U,MATCH($A70,'Raw Data'!$C:$C,0)),0)</f>
        <v>64008</v>
      </c>
      <c r="G70" s="23">
        <f>IFERROR(INDEX('Raw Data'!V:V,MATCH($A70,'Raw Data'!$C:$C,0)),0)</f>
        <v>42</v>
      </c>
      <c r="H70" s="12">
        <f>IFERROR(INDEX('Raw Data'!W:W,MATCH($A70,'Raw Data'!$C:$C,0)),0)</f>
        <v>12852.11</v>
      </c>
      <c r="I70" s="24">
        <f t="shared" si="4"/>
        <v>0.20078912010998626</v>
      </c>
    </row>
    <row r="71" spans="1:9" ht="15" customHeight="1" x14ac:dyDescent="0.35">
      <c r="A71" s="7" t="s">
        <v>174</v>
      </c>
      <c r="B71" s="10">
        <f>IFERROR(INDEX('Raw Data'!D:D,MATCH($A71,'Raw Data'!$C:$C,0)),0)</f>
        <v>743.99980000000005</v>
      </c>
      <c r="C71" s="9">
        <f>IFERROR(INDEX('Raw Data'!O:O,MATCH($A71,'Raw Data'!$C:$C,0)),0)</f>
        <v>0.68795139459999999</v>
      </c>
      <c r="D71" s="9">
        <f>IFERROR(INDEX('Raw Data'!P:P,MATCH($A71,'Raw Data'!$C:$C,0)),0)</f>
        <v>0.86546952470000005</v>
      </c>
      <c r="E71" s="8">
        <f>IFERROR(INDEX('Raw Data'!T:T,MATCH($A71,'Raw Data'!$C:$C,0)),0)</f>
        <v>1390</v>
      </c>
      <c r="F71" s="8">
        <f>IFERROR(INDEX('Raw Data'!U:U,MATCH($A71,'Raw Data'!$C:$C,0)),0)</f>
        <v>58380</v>
      </c>
      <c r="G71" s="21">
        <f>IFERROR(INDEX('Raw Data'!V:V,MATCH($A71,'Raw Data'!$C:$C,0)),0)</f>
        <v>42</v>
      </c>
      <c r="H71" s="8">
        <f>IFERROR(INDEX('Raw Data'!W:W,MATCH($A71,'Raw Data'!$C:$C,0)),0)</f>
        <v>18978.599999999999</v>
      </c>
      <c r="I71" s="22">
        <f t="shared" si="4"/>
        <v>0.32508735868448096</v>
      </c>
    </row>
    <row r="72" spans="1:9" ht="15" customHeight="1" x14ac:dyDescent="0.35">
      <c r="A72" s="11" t="s">
        <v>179</v>
      </c>
      <c r="B72" s="14">
        <f>IFERROR(INDEX('Raw Data'!D:D,MATCH($A72,'Raw Data'!$C:$C,0)),0)</f>
        <v>744</v>
      </c>
      <c r="C72" s="13">
        <f>IFERROR(INDEX('Raw Data'!O:O,MATCH($A72,'Raw Data'!$C:$C,0)),0)</f>
        <v>1.5946236999999999E-3</v>
      </c>
      <c r="D72" s="13">
        <f>IFERROR(INDEX('Raw Data'!P:P,MATCH($A72,'Raw Data'!$C:$C,0)),0)</f>
        <v>0.98019217800000003</v>
      </c>
      <c r="E72" s="12">
        <f>IFERROR(INDEX('Raw Data'!T:T,MATCH($A72,'Raw Data'!$C:$C,0)),0)</f>
        <v>1302</v>
      </c>
      <c r="F72" s="12">
        <f>IFERROR(INDEX('Raw Data'!U:U,MATCH($A72,'Raw Data'!$C:$C,0)),0)</f>
        <v>54684</v>
      </c>
      <c r="G72" s="23">
        <f>IFERROR(INDEX('Raw Data'!V:V,MATCH($A72,'Raw Data'!$C:$C,0)),0)</f>
        <v>42</v>
      </c>
      <c r="H72" s="12">
        <f>IFERROR(INDEX('Raw Data'!W:W,MATCH($A72,'Raw Data'!$C:$C,0)),0)</f>
        <v>0</v>
      </c>
      <c r="I72" s="24">
        <f t="shared" si="4"/>
        <v>0</v>
      </c>
    </row>
    <row r="73" spans="1:9" ht="15" customHeight="1" x14ac:dyDescent="0.35">
      <c r="A73" s="7" t="s">
        <v>173</v>
      </c>
      <c r="B73" s="10">
        <f>IFERROR(INDEX('Raw Data'!D:D,MATCH($A73,'Raw Data'!$C:$C,0)),0)</f>
        <v>743.9991</v>
      </c>
      <c r="C73" s="9">
        <f>IFERROR(INDEX('Raw Data'!O:O,MATCH($A73,'Raw Data'!$C:$C,0)),0)</f>
        <v>0.71893124600000002</v>
      </c>
      <c r="D73" s="9">
        <f>IFERROR(INDEX('Raw Data'!P:P,MATCH($A73,'Raw Data'!$C:$C,0)),0)</f>
        <v>0.81964264409999998</v>
      </c>
      <c r="E73" s="8">
        <f>IFERROR(INDEX('Raw Data'!T:T,MATCH($A73,'Raw Data'!$C:$C,0)),0)</f>
        <v>1004</v>
      </c>
      <c r="F73" s="8">
        <f>IFERROR(INDEX('Raw Data'!U:U,MATCH($A73,'Raw Data'!$C:$C,0)),0)</f>
        <v>42168</v>
      </c>
      <c r="G73" s="21">
        <f>IFERROR(INDEX('Raw Data'!V:V,MATCH($A73,'Raw Data'!$C:$C,0)),0)</f>
        <v>42</v>
      </c>
      <c r="H73" s="8">
        <f>IFERROR(INDEX('Raw Data'!W:W,MATCH($A73,'Raw Data'!$C:$C,0)),0)</f>
        <v>19406.669999999998</v>
      </c>
      <c r="I73" s="22">
        <f t="shared" si="4"/>
        <v>0.4602226807057484</v>
      </c>
    </row>
    <row r="74" spans="1:9" ht="15" customHeight="1" x14ac:dyDescent="0.35">
      <c r="A74" s="11" t="s">
        <v>159</v>
      </c>
      <c r="B74" s="14">
        <f>IFERROR(INDEX('Raw Data'!D:D,MATCH($A74,'Raw Data'!$C:$C,0)),0)</f>
        <v>744.00070000000005</v>
      </c>
      <c r="C74" s="13">
        <f>IFERROR(INDEX('Raw Data'!O:O,MATCH($A74,'Raw Data'!$C:$C,0)),0)</f>
        <v>0.75357469420000001</v>
      </c>
      <c r="D74" s="13">
        <f>IFERROR(INDEX('Raw Data'!P:P,MATCH($A74,'Raw Data'!$C:$C,0)),0)</f>
        <v>0.82584546319999996</v>
      </c>
      <c r="E74" s="12">
        <f>IFERROR(INDEX('Raw Data'!T:T,MATCH($A74,'Raw Data'!$C:$C,0)),0)</f>
        <v>1068</v>
      </c>
      <c r="F74" s="12">
        <f>IFERROR(INDEX('Raw Data'!U:U,MATCH($A74,'Raw Data'!$C:$C,0)),0)</f>
        <v>29904</v>
      </c>
      <c r="G74" s="23">
        <f>IFERROR(INDEX('Raw Data'!V:V,MATCH($A74,'Raw Data'!$C:$C,0)),0)</f>
        <v>28</v>
      </c>
      <c r="H74" s="12">
        <f>IFERROR(INDEX('Raw Data'!W:W,MATCH($A74,'Raw Data'!$C:$C,0)),0)</f>
        <v>7792.98</v>
      </c>
      <c r="I74" s="24">
        <f t="shared" si="4"/>
        <v>0.26059991974317814</v>
      </c>
    </row>
    <row r="75" spans="1:9" ht="15" customHeight="1" x14ac:dyDescent="0.35">
      <c r="A75" s="7" t="s">
        <v>167</v>
      </c>
      <c r="B75" s="10">
        <f>IFERROR(INDEX('Raw Data'!D:D,MATCH($A75,'Raw Data'!$C:$C,0)),0)</f>
        <v>744.000799999999</v>
      </c>
      <c r="C75" s="9">
        <f>IFERROR(INDEX('Raw Data'!O:O,MATCH($A75,'Raw Data'!$C:$C,0)),0)</f>
        <v>0.78017738690000005</v>
      </c>
      <c r="D75" s="9">
        <f>IFERROR(INDEX('Raw Data'!P:P,MATCH($A75,'Raw Data'!$C:$C,0)),0)</f>
        <v>0.82113026970000003</v>
      </c>
      <c r="E75" s="8">
        <f>IFERROR(INDEX('Raw Data'!T:T,MATCH($A75,'Raw Data'!$C:$C,0)),0)</f>
        <v>1039</v>
      </c>
      <c r="F75" s="8">
        <f>IFERROR(INDEX('Raw Data'!U:U,MATCH($A75,'Raw Data'!$C:$C,0)),0)</f>
        <v>29092</v>
      </c>
      <c r="G75" s="21">
        <f>IFERROR(INDEX('Raw Data'!V:V,MATCH($A75,'Raw Data'!$C:$C,0)),0)</f>
        <v>28</v>
      </c>
      <c r="H75" s="8">
        <f>IFERROR(INDEX('Raw Data'!W:W,MATCH($A75,'Raw Data'!$C:$C,0)),0)</f>
        <v>8155.7</v>
      </c>
      <c r="I75" s="22">
        <f t="shared" si="4"/>
        <v>0.28034167468719923</v>
      </c>
    </row>
    <row r="76" spans="1:9" ht="15" customHeight="1" x14ac:dyDescent="0.35">
      <c r="A76" s="11" t="s">
        <v>163</v>
      </c>
      <c r="B76" s="14">
        <f>IFERROR(INDEX('Raw Data'!D:D,MATCH($A76,'Raw Data'!$C:$C,0)),0)</f>
        <v>743.99959999999999</v>
      </c>
      <c r="C76" s="13">
        <f>IFERROR(INDEX('Raw Data'!O:O,MATCH($A76,'Raw Data'!$C:$C,0)),0)</f>
        <v>0.74804583229999999</v>
      </c>
      <c r="D76" s="13">
        <f>IFERROR(INDEX('Raw Data'!P:P,MATCH($A76,'Raw Data'!$C:$C,0)),0)</f>
        <v>0.81049376350000002</v>
      </c>
      <c r="E76" s="12">
        <f>IFERROR(INDEX('Raw Data'!T:T,MATCH($A76,'Raw Data'!$C:$C,0)),0)</f>
        <v>1028</v>
      </c>
      <c r="F76" s="12">
        <f>IFERROR(INDEX('Raw Data'!U:U,MATCH($A76,'Raw Data'!$C:$C,0)),0)</f>
        <v>28784</v>
      </c>
      <c r="G76" s="23">
        <f>IFERROR(INDEX('Raw Data'!V:V,MATCH($A76,'Raw Data'!$C:$C,0)),0)</f>
        <v>28</v>
      </c>
      <c r="H76" s="12">
        <f>IFERROR(INDEX('Raw Data'!W:W,MATCH($A76,'Raw Data'!$C:$C,0)),0)</f>
        <v>7929.88</v>
      </c>
      <c r="I76" s="24">
        <f t="shared" si="4"/>
        <v>0.27549610894941634</v>
      </c>
    </row>
    <row r="77" spans="1:9" ht="15" customHeight="1" x14ac:dyDescent="0.35">
      <c r="A77" s="7" t="s">
        <v>165</v>
      </c>
      <c r="B77" s="10">
        <f>IFERROR(INDEX('Raw Data'!D:D,MATCH($A77,'Raw Data'!$C:$C,0)),0)</f>
        <v>744.00049999999896</v>
      </c>
      <c r="C77" s="9">
        <f>IFERROR(INDEX('Raw Data'!O:O,MATCH($A77,'Raw Data'!$C:$C,0)),0)</f>
        <v>0.51257909099999999</v>
      </c>
      <c r="D77" s="9">
        <f>IFERROR(INDEX('Raw Data'!P:P,MATCH($A77,'Raw Data'!$C:$C,0)),0)</f>
        <v>0.70701262929999997</v>
      </c>
      <c r="E77" s="8">
        <f>IFERROR(INDEX('Raw Data'!T:T,MATCH($A77,'Raw Data'!$C:$C,0)),0)</f>
        <v>994</v>
      </c>
      <c r="F77" s="8">
        <f>IFERROR(INDEX('Raw Data'!U:U,MATCH($A77,'Raw Data'!$C:$C,0)),0)</f>
        <v>27832</v>
      </c>
      <c r="G77" s="21">
        <f>IFERROR(INDEX('Raw Data'!V:V,MATCH($A77,'Raw Data'!$C:$C,0)),0)</f>
        <v>28</v>
      </c>
      <c r="H77" s="8">
        <f>IFERROR(INDEX('Raw Data'!W:W,MATCH($A77,'Raw Data'!$C:$C,0)),0)</f>
        <v>7240.9199999999901</v>
      </c>
      <c r="I77" s="22">
        <f t="shared" si="4"/>
        <v>0.26016527737855671</v>
      </c>
    </row>
    <row r="78" spans="1:9" ht="15" customHeight="1" x14ac:dyDescent="0.35">
      <c r="A78" s="11" t="s">
        <v>164</v>
      </c>
      <c r="B78" s="14">
        <f>IFERROR(INDEX('Raw Data'!D:D,MATCH($A78,'Raw Data'!$C:$C,0)),0)</f>
        <v>744.00130000000001</v>
      </c>
      <c r="C78" s="13">
        <f>IFERROR(INDEX('Raw Data'!O:O,MATCH($A78,'Raw Data'!$C:$C,0)),0)</f>
        <v>0.76861868389999999</v>
      </c>
      <c r="D78" s="13">
        <f>IFERROR(INDEX('Raw Data'!P:P,MATCH($A78,'Raw Data'!$C:$C,0)),0)</f>
        <v>0.82966313209999998</v>
      </c>
      <c r="E78" s="12">
        <f>IFERROR(INDEX('Raw Data'!T:T,MATCH($A78,'Raw Data'!$C:$C,0)),0)</f>
        <v>984</v>
      </c>
      <c r="F78" s="12">
        <f>IFERROR(INDEX('Raw Data'!U:U,MATCH($A78,'Raw Data'!$C:$C,0)),0)</f>
        <v>27552</v>
      </c>
      <c r="G78" s="23">
        <f>IFERROR(INDEX('Raw Data'!V:V,MATCH($A78,'Raw Data'!$C:$C,0)),0)</f>
        <v>28</v>
      </c>
      <c r="H78" s="12">
        <f>IFERROR(INDEX('Raw Data'!W:W,MATCH($A78,'Raw Data'!$C:$C,0)),0)</f>
        <v>7901.3599999999897</v>
      </c>
      <c r="I78" s="24">
        <f t="shared" si="4"/>
        <v>0.28677990708478474</v>
      </c>
    </row>
    <row r="79" spans="1:9" ht="15" customHeight="1" x14ac:dyDescent="0.35">
      <c r="A79" s="7" t="s">
        <v>160</v>
      </c>
      <c r="B79" s="10">
        <f>IFERROR(INDEX('Raw Data'!D:D,MATCH($A79,'Raw Data'!$C:$C,0)),0)</f>
        <v>744.00009999999997</v>
      </c>
      <c r="C79" s="9">
        <f>IFERROR(INDEX('Raw Data'!O:O,MATCH($A79,'Raw Data'!$C:$C,0)),0)</f>
        <v>0.74167342179999995</v>
      </c>
      <c r="D79" s="9">
        <f>IFERROR(INDEX('Raw Data'!P:P,MATCH($A79,'Raw Data'!$C:$C,0)),0)</f>
        <v>0.8456676098</v>
      </c>
      <c r="E79" s="8">
        <f>IFERROR(INDEX('Raw Data'!T:T,MATCH($A79,'Raw Data'!$C:$C,0)),0)</f>
        <v>969</v>
      </c>
      <c r="F79" s="8">
        <f>IFERROR(INDEX('Raw Data'!U:U,MATCH($A79,'Raw Data'!$C:$C,0)),0)</f>
        <v>27132</v>
      </c>
      <c r="G79" s="21">
        <f>IFERROR(INDEX('Raw Data'!V:V,MATCH($A79,'Raw Data'!$C:$C,0)),0)</f>
        <v>28</v>
      </c>
      <c r="H79" s="8">
        <f>IFERROR(INDEX('Raw Data'!W:W,MATCH($A79,'Raw Data'!$C:$C,0)),0)</f>
        <v>7706.59</v>
      </c>
      <c r="I79" s="22">
        <f t="shared" si="4"/>
        <v>0.28404061624649862</v>
      </c>
    </row>
    <row r="80" spans="1:9" ht="15" customHeight="1" x14ac:dyDescent="0.35">
      <c r="A80" s="11" t="s">
        <v>158</v>
      </c>
      <c r="B80" s="14">
        <f>IFERROR(INDEX('Raw Data'!D:D,MATCH($A80,'Raw Data'!$C:$C,0)),0)</f>
        <v>744.00059999999996</v>
      </c>
      <c r="C80" s="13">
        <f>IFERROR(INDEX('Raw Data'!O:O,MATCH($A80,'Raw Data'!$C:$C,0)),0)</f>
        <v>0.77163862500000002</v>
      </c>
      <c r="D80" s="13">
        <f>IFERROR(INDEX('Raw Data'!P:P,MATCH($A80,'Raw Data'!$C:$C,0)),0)</f>
        <v>0.83936776820000003</v>
      </c>
      <c r="E80" s="12">
        <f>IFERROR(INDEX('Raw Data'!T:T,MATCH($A80,'Raw Data'!$C:$C,0)),0)</f>
        <v>962</v>
      </c>
      <c r="F80" s="12">
        <f>IFERROR(INDEX('Raw Data'!U:U,MATCH($A80,'Raw Data'!$C:$C,0)),0)</f>
        <v>26936</v>
      </c>
      <c r="G80" s="23">
        <f>IFERROR(INDEX('Raw Data'!V:V,MATCH($A80,'Raw Data'!$C:$C,0)),0)</f>
        <v>28</v>
      </c>
      <c r="H80" s="12">
        <f>IFERROR(INDEX('Raw Data'!W:W,MATCH($A80,'Raw Data'!$C:$C,0)),0)</f>
        <v>8273.6200000000008</v>
      </c>
      <c r="I80" s="24">
        <f t="shared" si="4"/>
        <v>0.30715844965844968</v>
      </c>
    </row>
    <row r="81" spans="1:9" ht="15" customHeight="1" x14ac:dyDescent="0.35">
      <c r="A81" s="7" t="s">
        <v>166</v>
      </c>
      <c r="B81" s="10">
        <f>IFERROR(INDEX('Raw Data'!D:D,MATCH($A81,'Raw Data'!$C:$C,0)),0)</f>
        <v>743.99950000000001</v>
      </c>
      <c r="C81" s="9">
        <f>IFERROR(INDEX('Raw Data'!O:O,MATCH($A81,'Raw Data'!$C:$C,0)),0)</f>
        <v>0.61294866459999997</v>
      </c>
      <c r="D81" s="9">
        <f>IFERROR(INDEX('Raw Data'!P:P,MATCH($A81,'Raw Data'!$C:$C,0)),0)</f>
        <v>0.82167516200000001</v>
      </c>
      <c r="E81" s="8">
        <f>IFERROR(INDEX('Raw Data'!T:T,MATCH($A81,'Raw Data'!$C:$C,0)),0)</f>
        <v>911</v>
      </c>
      <c r="F81" s="8">
        <f>IFERROR(INDEX('Raw Data'!U:U,MATCH($A81,'Raw Data'!$C:$C,0)),0)</f>
        <v>25508</v>
      </c>
      <c r="G81" s="21">
        <f>IFERROR(INDEX('Raw Data'!V:V,MATCH($A81,'Raw Data'!$C:$C,0)),0)</f>
        <v>28</v>
      </c>
      <c r="H81" s="8">
        <f>IFERROR(INDEX('Raw Data'!W:W,MATCH($A81,'Raw Data'!$C:$C,0)),0)</f>
        <v>7563.0899999999901</v>
      </c>
      <c r="I81" s="22">
        <f t="shared" si="4"/>
        <v>0.29649874549161009</v>
      </c>
    </row>
    <row r="82" spans="1:9" ht="15" customHeight="1" x14ac:dyDescent="0.35">
      <c r="A82" s="11" t="s">
        <v>145</v>
      </c>
      <c r="B82" s="14">
        <f>IFERROR(INDEX('Raw Data'!D:D,MATCH($A82,'Raw Data'!$C:$C,0)),0)</f>
        <v>744.00030000000004</v>
      </c>
      <c r="C82" s="13">
        <f>IFERROR(INDEX('Raw Data'!O:O,MATCH($A82,'Raw Data'!$C:$C,0)),0)</f>
        <v>0.74689217200000002</v>
      </c>
      <c r="D82" s="13">
        <f>IFERROR(INDEX('Raw Data'!P:P,MATCH($A82,'Raw Data'!$C:$C,0)),0)</f>
        <v>0.81662857570000003</v>
      </c>
      <c r="E82" s="12">
        <f>IFERROR(INDEX('Raw Data'!T:T,MATCH($A82,'Raw Data'!$C:$C,0)),0)</f>
        <v>975</v>
      </c>
      <c r="F82" s="12">
        <f>IFERROR(INDEX('Raw Data'!U:U,MATCH($A82,'Raw Data'!$C:$C,0)),0)</f>
        <v>24375</v>
      </c>
      <c r="G82" s="23">
        <f>IFERROR(INDEX('Raw Data'!V:V,MATCH($A82,'Raw Data'!$C:$C,0)),0)</f>
        <v>25</v>
      </c>
      <c r="H82" s="12">
        <f>IFERROR(INDEX('Raw Data'!W:W,MATCH($A82,'Raw Data'!$C:$C,0)),0)</f>
        <v>6082.4099999999899</v>
      </c>
      <c r="I82" s="24">
        <f t="shared" si="4"/>
        <v>0.24953476923076881</v>
      </c>
    </row>
    <row r="83" spans="1:9" ht="15" customHeight="1" x14ac:dyDescent="0.35">
      <c r="A83" s="7" t="s">
        <v>157</v>
      </c>
      <c r="B83" s="10">
        <f>IFERROR(INDEX('Raw Data'!D:D,MATCH($A83,'Raw Data'!$C:$C,0)),0)</f>
        <v>744.00030000000004</v>
      </c>
      <c r="C83" s="9">
        <f>IFERROR(INDEX('Raw Data'!O:O,MATCH($A83,'Raw Data'!$C:$C,0)),0)</f>
        <v>0.7481592413</v>
      </c>
      <c r="D83" s="9">
        <f>IFERROR(INDEX('Raw Data'!P:P,MATCH($A83,'Raw Data'!$C:$C,0)),0)</f>
        <v>0.81346195960000001</v>
      </c>
      <c r="E83" s="8">
        <f>IFERROR(INDEX('Raw Data'!T:T,MATCH($A83,'Raw Data'!$C:$C,0)),0)</f>
        <v>960</v>
      </c>
      <c r="F83" s="8">
        <f>IFERROR(INDEX('Raw Data'!U:U,MATCH($A83,'Raw Data'!$C:$C,0)),0)</f>
        <v>24000</v>
      </c>
      <c r="G83" s="21">
        <f>IFERROR(INDEX('Raw Data'!V:V,MATCH($A83,'Raw Data'!$C:$C,0)),0)</f>
        <v>25</v>
      </c>
      <c r="H83" s="8">
        <f>IFERROR(INDEX('Raw Data'!W:W,MATCH($A83,'Raw Data'!$C:$C,0)),0)</f>
        <v>5999.6499999999896</v>
      </c>
      <c r="I83" s="22">
        <f t="shared" si="4"/>
        <v>0.24998541666666624</v>
      </c>
    </row>
    <row r="84" spans="1:9" ht="15" customHeight="1" x14ac:dyDescent="0.35">
      <c r="A84" s="11" t="s">
        <v>110</v>
      </c>
      <c r="B84" s="14">
        <f>IFERROR(INDEX('Raw Data'!D:D,MATCH($A84,'Raw Data'!$C:$C,0)),0)</f>
        <v>744</v>
      </c>
      <c r="C84" s="13">
        <f>IFERROR(INDEX('Raw Data'!O:O,MATCH($A84,'Raw Data'!$C:$C,0)),0)</f>
        <v>0.7382534946</v>
      </c>
      <c r="D84" s="13">
        <f>IFERROR(INDEX('Raw Data'!P:P,MATCH($A84,'Raw Data'!$C:$C,0)),0)</f>
        <v>0.82108984330000001</v>
      </c>
      <c r="E84" s="12">
        <f>IFERROR(INDEX('Raw Data'!T:T,MATCH($A84,'Raw Data'!$C:$C,0)),0)</f>
        <v>959</v>
      </c>
      <c r="F84" s="12">
        <f>IFERROR(INDEX('Raw Data'!U:U,MATCH($A84,'Raw Data'!$C:$C,0)),0)</f>
        <v>23975</v>
      </c>
      <c r="G84" s="23">
        <f>IFERROR(INDEX('Raw Data'!V:V,MATCH($A84,'Raw Data'!$C:$C,0)),0)</f>
        <v>25</v>
      </c>
      <c r="H84" s="12">
        <f>IFERROR(INDEX('Raw Data'!W:W,MATCH($A84,'Raw Data'!$C:$C,0)),0)</f>
        <v>6373.69</v>
      </c>
      <c r="I84" s="24">
        <f t="shared" si="4"/>
        <v>0.2658473409801877</v>
      </c>
    </row>
    <row r="85" spans="1:9" ht="15" customHeight="1" x14ac:dyDescent="0.35">
      <c r="A85" s="7" t="s">
        <v>162</v>
      </c>
      <c r="B85" s="10">
        <f>IFERROR(INDEX('Raw Data'!D:D,MATCH($A85,'Raw Data'!$C:$C,0)),0)</f>
        <v>744.00029999999902</v>
      </c>
      <c r="C85" s="9">
        <f>IFERROR(INDEX('Raw Data'!O:O,MATCH($A85,'Raw Data'!$C:$C,0)),0)</f>
        <v>0.71274030399999999</v>
      </c>
      <c r="D85" s="9">
        <f>IFERROR(INDEX('Raw Data'!P:P,MATCH($A85,'Raw Data'!$C:$C,0)),0)</f>
        <v>0.83381880100000005</v>
      </c>
      <c r="E85" s="8">
        <f>IFERROR(INDEX('Raw Data'!T:T,MATCH($A85,'Raw Data'!$C:$C,0)),0)</f>
        <v>855</v>
      </c>
      <c r="F85" s="8">
        <f>IFERROR(INDEX('Raw Data'!U:U,MATCH($A85,'Raw Data'!$C:$C,0)),0)</f>
        <v>23940</v>
      </c>
      <c r="G85" s="21">
        <f>IFERROR(INDEX('Raw Data'!V:V,MATCH($A85,'Raw Data'!$C:$C,0)),0)</f>
        <v>28</v>
      </c>
      <c r="H85" s="8">
        <f>IFERROR(INDEX('Raw Data'!W:W,MATCH($A85,'Raw Data'!$C:$C,0)),0)</f>
        <v>7252.97</v>
      </c>
      <c r="I85" s="22">
        <f t="shared" si="4"/>
        <v>0.30296449456975771</v>
      </c>
    </row>
    <row r="86" spans="1:9" ht="15" customHeight="1" x14ac:dyDescent="0.35">
      <c r="A86" s="11" t="s">
        <v>155</v>
      </c>
      <c r="B86" s="14">
        <f>IFERROR(INDEX('Raw Data'!D:D,MATCH($A86,'Raw Data'!$C:$C,0)),0)</f>
        <v>743.99900000000002</v>
      </c>
      <c r="C86" s="13">
        <f>IFERROR(INDEX('Raw Data'!O:O,MATCH($A86,'Raw Data'!$C:$C,0)),0)</f>
        <v>0.71402448119999995</v>
      </c>
      <c r="D86" s="13">
        <f>IFERROR(INDEX('Raw Data'!P:P,MATCH($A86,'Raw Data'!$C:$C,0)),0)</f>
        <v>0.81137484739999999</v>
      </c>
      <c r="E86" s="12">
        <f>IFERROR(INDEX('Raw Data'!T:T,MATCH($A86,'Raw Data'!$C:$C,0)),0)</f>
        <v>952</v>
      </c>
      <c r="F86" s="12">
        <f>IFERROR(INDEX('Raw Data'!U:U,MATCH($A86,'Raw Data'!$C:$C,0)),0)</f>
        <v>23800</v>
      </c>
      <c r="G86" s="23">
        <f>IFERROR(INDEX('Raw Data'!V:V,MATCH($A86,'Raw Data'!$C:$C,0)),0)</f>
        <v>25</v>
      </c>
      <c r="H86" s="12">
        <f>IFERROR(INDEX('Raw Data'!W:W,MATCH($A86,'Raw Data'!$C:$C,0)),0)</f>
        <v>6367.26</v>
      </c>
      <c r="I86" s="24">
        <f t="shared" si="4"/>
        <v>0.26753193277310927</v>
      </c>
    </row>
    <row r="87" spans="1:9" ht="15" customHeight="1" x14ac:dyDescent="0.35">
      <c r="A87" s="7" t="s">
        <v>135</v>
      </c>
      <c r="B87" s="10">
        <f>IFERROR(INDEX('Raw Data'!D:D,MATCH($A87,'Raw Data'!$C:$C,0)),0)</f>
        <v>743.99919999999997</v>
      </c>
      <c r="C87" s="9">
        <f>IFERROR(INDEX('Raw Data'!O:O,MATCH($A87,'Raw Data'!$C:$C,0)),0)</f>
        <v>0.73254487369999999</v>
      </c>
      <c r="D87" s="9">
        <f>IFERROR(INDEX('Raw Data'!P:P,MATCH($A87,'Raw Data'!$C:$C,0)),0)</f>
        <v>0.80731663549999999</v>
      </c>
      <c r="E87" s="8">
        <f>IFERROR(INDEX('Raw Data'!T:T,MATCH($A87,'Raw Data'!$C:$C,0)),0)</f>
        <v>923</v>
      </c>
      <c r="F87" s="8">
        <f>IFERROR(INDEX('Raw Data'!U:U,MATCH($A87,'Raw Data'!$C:$C,0)),0)</f>
        <v>23075</v>
      </c>
      <c r="G87" s="21">
        <f>IFERROR(INDEX('Raw Data'!V:V,MATCH($A87,'Raw Data'!$C:$C,0)),0)</f>
        <v>25</v>
      </c>
      <c r="H87" s="8">
        <f>IFERROR(INDEX('Raw Data'!W:W,MATCH($A87,'Raw Data'!$C:$C,0)),0)</f>
        <v>6537.0999999999904</v>
      </c>
      <c r="I87" s="22">
        <f t="shared" si="4"/>
        <v>0.28329794149512416</v>
      </c>
    </row>
    <row r="88" spans="1:9" ht="15" customHeight="1" x14ac:dyDescent="0.35">
      <c r="A88" s="11" t="s">
        <v>152</v>
      </c>
      <c r="B88" s="14">
        <f>IFERROR(INDEX('Raw Data'!D:D,MATCH($A88,'Raw Data'!$C:$C,0)),0)</f>
        <v>744.00039999999899</v>
      </c>
      <c r="C88" s="13">
        <f>IFERROR(INDEX('Raw Data'!O:O,MATCH($A88,'Raw Data'!$C:$C,0)),0)</f>
        <v>0.75340752499999997</v>
      </c>
      <c r="D88" s="13">
        <f>IFERROR(INDEX('Raw Data'!P:P,MATCH($A88,'Raw Data'!$C:$C,0)),0)</f>
        <v>0.82242641189999999</v>
      </c>
      <c r="E88" s="12">
        <f>IFERROR(INDEX('Raw Data'!T:T,MATCH($A88,'Raw Data'!$C:$C,0)),0)</f>
        <v>919</v>
      </c>
      <c r="F88" s="12">
        <f>IFERROR(INDEX('Raw Data'!U:U,MATCH($A88,'Raw Data'!$C:$C,0)),0)</f>
        <v>22975</v>
      </c>
      <c r="G88" s="23">
        <f>IFERROR(INDEX('Raw Data'!V:V,MATCH($A88,'Raw Data'!$C:$C,0)),0)</f>
        <v>25</v>
      </c>
      <c r="H88" s="12">
        <f>IFERROR(INDEX('Raw Data'!W:W,MATCH($A88,'Raw Data'!$C:$C,0)),0)</f>
        <v>6603.2299999999896</v>
      </c>
      <c r="I88" s="24">
        <f t="shared" si="4"/>
        <v>0.28740935799782324</v>
      </c>
    </row>
    <row r="89" spans="1:9" ht="15" customHeight="1" x14ac:dyDescent="0.35">
      <c r="A89" s="7" t="s">
        <v>151</v>
      </c>
      <c r="B89" s="10">
        <f>IFERROR(INDEX('Raw Data'!D:D,MATCH($A89,'Raw Data'!$C:$C,0)),0)</f>
        <v>744.00029999999902</v>
      </c>
      <c r="C89" s="9">
        <f>IFERROR(INDEX('Raw Data'!O:O,MATCH($A89,'Raw Data'!$C:$C,0)),0)</f>
        <v>0.70097686790000002</v>
      </c>
      <c r="D89" s="9">
        <f>IFERROR(INDEX('Raw Data'!P:P,MATCH($A89,'Raw Data'!$C:$C,0)),0)</f>
        <v>0.81884389489999998</v>
      </c>
      <c r="E89" s="8">
        <f>IFERROR(INDEX('Raw Data'!T:T,MATCH($A89,'Raw Data'!$C:$C,0)),0)</f>
        <v>908</v>
      </c>
      <c r="F89" s="8">
        <f>IFERROR(INDEX('Raw Data'!U:U,MATCH($A89,'Raw Data'!$C:$C,0)),0)</f>
        <v>22700</v>
      </c>
      <c r="G89" s="21">
        <f>IFERROR(INDEX('Raw Data'!V:V,MATCH($A89,'Raw Data'!$C:$C,0)),0)</f>
        <v>25</v>
      </c>
      <c r="H89" s="8">
        <f>IFERROR(INDEX('Raw Data'!W:W,MATCH($A89,'Raw Data'!$C:$C,0)),0)</f>
        <v>6287.83</v>
      </c>
      <c r="I89" s="22">
        <f t="shared" si="4"/>
        <v>0.27699691629955947</v>
      </c>
    </row>
    <row r="90" spans="1:9" ht="15" customHeight="1" x14ac:dyDescent="0.35">
      <c r="A90" s="11" t="s">
        <v>144</v>
      </c>
      <c r="B90" s="14">
        <f>IFERROR(INDEX('Raw Data'!D:D,MATCH($A90,'Raw Data'!$C:$C,0)),0)</f>
        <v>744.00029999999902</v>
      </c>
      <c r="C90" s="13">
        <f>IFERROR(INDEX('Raw Data'!O:O,MATCH($A90,'Raw Data'!$C:$C,0)),0)</f>
        <v>0.60436265950000001</v>
      </c>
      <c r="D90" s="13">
        <f>IFERROR(INDEX('Raw Data'!P:P,MATCH($A90,'Raw Data'!$C:$C,0)),0)</f>
        <v>0.84721736660000002</v>
      </c>
      <c r="E90" s="12">
        <f>IFERROR(INDEX('Raw Data'!T:T,MATCH($A90,'Raw Data'!$C:$C,0)),0)</f>
        <v>902</v>
      </c>
      <c r="F90" s="12">
        <f>IFERROR(INDEX('Raw Data'!U:U,MATCH($A90,'Raw Data'!$C:$C,0)),0)</f>
        <v>22550</v>
      </c>
      <c r="G90" s="23">
        <f>IFERROR(INDEX('Raw Data'!V:V,MATCH($A90,'Raw Data'!$C:$C,0)),0)</f>
        <v>25</v>
      </c>
      <c r="H90" s="12">
        <f>IFERROR(INDEX('Raw Data'!W:W,MATCH($A90,'Raw Data'!$C:$C,0)),0)</f>
        <v>6959.2</v>
      </c>
      <c r="I90" s="24">
        <f t="shared" si="4"/>
        <v>0.30861197339246121</v>
      </c>
    </row>
    <row r="91" spans="1:9" ht="15" customHeight="1" x14ac:dyDescent="0.35">
      <c r="A91" s="7" t="s">
        <v>142</v>
      </c>
      <c r="B91" s="10">
        <f>IFERROR(INDEX('Raw Data'!D:D,MATCH($A91,'Raw Data'!$C:$C,0)),0)</f>
        <v>744.00040000000001</v>
      </c>
      <c r="C91" s="9">
        <f>IFERROR(INDEX('Raw Data'!O:O,MATCH($A91,'Raw Data'!$C:$C,0)),0)</f>
        <v>0.73361640669999995</v>
      </c>
      <c r="D91" s="9">
        <f>IFERROR(INDEX('Raw Data'!P:P,MATCH($A91,'Raw Data'!$C:$C,0)),0)</f>
        <v>0.82010307969999996</v>
      </c>
      <c r="E91" s="8">
        <f>IFERROR(INDEX('Raw Data'!T:T,MATCH($A91,'Raw Data'!$C:$C,0)),0)</f>
        <v>901</v>
      </c>
      <c r="F91" s="8">
        <f>IFERROR(INDEX('Raw Data'!U:U,MATCH($A91,'Raw Data'!$C:$C,0)),0)</f>
        <v>22525</v>
      </c>
      <c r="G91" s="21">
        <f>IFERROR(INDEX('Raw Data'!V:V,MATCH($A91,'Raw Data'!$C:$C,0)),0)</f>
        <v>25</v>
      </c>
      <c r="H91" s="8">
        <f>IFERROR(INDEX('Raw Data'!W:W,MATCH($A91,'Raw Data'!$C:$C,0)),0)</f>
        <v>6412.7199999999903</v>
      </c>
      <c r="I91" s="22">
        <f t="shared" si="4"/>
        <v>0.28469345172031035</v>
      </c>
    </row>
    <row r="92" spans="1:9" ht="15" customHeight="1" x14ac:dyDescent="0.35">
      <c r="A92" s="11" t="s">
        <v>153</v>
      </c>
      <c r="B92" s="14">
        <f>IFERROR(INDEX('Raw Data'!D:D,MATCH($A92,'Raw Data'!$C:$C,0)),0)</f>
        <v>743.99879999999996</v>
      </c>
      <c r="C92" s="13">
        <f>IFERROR(INDEX('Raw Data'!O:O,MATCH($A92,'Raw Data'!$C:$C,0)),0)</f>
        <v>0.70779132980000004</v>
      </c>
      <c r="D92" s="13">
        <f>IFERROR(INDEX('Raw Data'!P:P,MATCH($A92,'Raw Data'!$C:$C,0)),0)</f>
        <v>0.85517566700000003</v>
      </c>
      <c r="E92" s="12">
        <f>IFERROR(INDEX('Raw Data'!T:T,MATCH($A92,'Raw Data'!$C:$C,0)),0)</f>
        <v>895</v>
      </c>
      <c r="F92" s="12">
        <f>IFERROR(INDEX('Raw Data'!U:U,MATCH($A92,'Raw Data'!$C:$C,0)),0)</f>
        <v>22375</v>
      </c>
      <c r="G92" s="23">
        <f>IFERROR(INDEX('Raw Data'!V:V,MATCH($A92,'Raw Data'!$C:$C,0)),0)</f>
        <v>25</v>
      </c>
      <c r="H92" s="12">
        <f>IFERROR(INDEX('Raw Data'!W:W,MATCH($A92,'Raw Data'!$C:$C,0)),0)</f>
        <v>6078.9199999999901</v>
      </c>
      <c r="I92" s="24">
        <f t="shared" si="4"/>
        <v>0.27168357541899396</v>
      </c>
    </row>
    <row r="93" spans="1:9" ht="15" customHeight="1" x14ac:dyDescent="0.35">
      <c r="A93" s="7" t="s">
        <v>143</v>
      </c>
      <c r="B93" s="10">
        <f>IFERROR(INDEX('Raw Data'!D:D,MATCH($A93,'Raw Data'!$C:$C,0)),0)</f>
        <v>744.00029999999902</v>
      </c>
      <c r="C93" s="9">
        <f>IFERROR(INDEX('Raw Data'!O:O,MATCH($A93,'Raw Data'!$C:$C,0)),0)</f>
        <v>0.74442617830000002</v>
      </c>
      <c r="D93" s="9">
        <f>IFERROR(INDEX('Raw Data'!P:P,MATCH($A93,'Raw Data'!$C:$C,0)),0)</f>
        <v>0.82075307669999997</v>
      </c>
      <c r="E93" s="8">
        <f>IFERROR(INDEX('Raw Data'!T:T,MATCH($A93,'Raw Data'!$C:$C,0)),0)</f>
        <v>878</v>
      </c>
      <c r="F93" s="8">
        <f>IFERROR(INDEX('Raw Data'!U:U,MATCH($A93,'Raw Data'!$C:$C,0)),0)</f>
        <v>21950</v>
      </c>
      <c r="G93" s="21">
        <f>IFERROR(INDEX('Raw Data'!V:V,MATCH($A93,'Raw Data'!$C:$C,0)),0)</f>
        <v>25</v>
      </c>
      <c r="H93" s="8">
        <f>IFERROR(INDEX('Raw Data'!W:W,MATCH($A93,'Raw Data'!$C:$C,0)),0)</f>
        <v>6605.11</v>
      </c>
      <c r="I93" s="22">
        <f t="shared" si="4"/>
        <v>0.30091617312072894</v>
      </c>
    </row>
    <row r="94" spans="1:9" ht="15" customHeight="1" x14ac:dyDescent="0.35">
      <c r="A94" s="11" t="s">
        <v>156</v>
      </c>
      <c r="B94" s="14">
        <f>IFERROR(INDEX('Raw Data'!D:D,MATCH($A94,'Raw Data'!$C:$C,0)),0)</f>
        <v>744.00030000000004</v>
      </c>
      <c r="C94" s="13">
        <f>IFERROR(INDEX('Raw Data'!O:O,MATCH($A94,'Raw Data'!$C:$C,0)),0)</f>
        <v>0.70325132930000001</v>
      </c>
      <c r="D94" s="13">
        <f>IFERROR(INDEX('Raw Data'!P:P,MATCH($A94,'Raw Data'!$C:$C,0)),0)</f>
        <v>0.84831309710000002</v>
      </c>
      <c r="E94" s="12">
        <f>IFERROR(INDEX('Raw Data'!T:T,MATCH($A94,'Raw Data'!$C:$C,0)),0)</f>
        <v>874</v>
      </c>
      <c r="F94" s="12">
        <f>IFERROR(INDEX('Raw Data'!U:U,MATCH($A94,'Raw Data'!$C:$C,0)),0)</f>
        <v>21850</v>
      </c>
      <c r="G94" s="23">
        <f>IFERROR(INDEX('Raw Data'!V:V,MATCH($A94,'Raw Data'!$C:$C,0)),0)</f>
        <v>25</v>
      </c>
      <c r="H94" s="12">
        <f>IFERROR(INDEX('Raw Data'!W:W,MATCH($A94,'Raw Data'!$C:$C,0)),0)</f>
        <v>6607.28999999999</v>
      </c>
      <c r="I94" s="24">
        <f t="shared" si="4"/>
        <v>0.30239313501144116</v>
      </c>
    </row>
    <row r="95" spans="1:9" ht="15" customHeight="1" x14ac:dyDescent="0.35">
      <c r="A95" s="7" t="s">
        <v>154</v>
      </c>
      <c r="B95" s="10">
        <f>IFERROR(INDEX('Raw Data'!D:D,MATCH($A95,'Raw Data'!$C:$C,0)),0)</f>
        <v>743.99969999999996</v>
      </c>
      <c r="C95" s="9">
        <f>IFERROR(INDEX('Raw Data'!O:O,MATCH($A95,'Raw Data'!$C:$C,0)),0)</f>
        <v>0.55434565359999999</v>
      </c>
      <c r="D95" s="9">
        <f>IFERROR(INDEX('Raw Data'!P:P,MATCH($A95,'Raw Data'!$C:$C,0)),0)</f>
        <v>0.80467785069999997</v>
      </c>
      <c r="E95" s="8">
        <f>IFERROR(INDEX('Raw Data'!T:T,MATCH($A95,'Raw Data'!$C:$C,0)),0)</f>
        <v>872</v>
      </c>
      <c r="F95" s="8">
        <f>IFERROR(INDEX('Raw Data'!U:U,MATCH($A95,'Raw Data'!$C:$C,0)),0)</f>
        <v>21800</v>
      </c>
      <c r="G95" s="21">
        <f>IFERROR(INDEX('Raw Data'!V:V,MATCH($A95,'Raw Data'!$C:$C,0)),0)</f>
        <v>25</v>
      </c>
      <c r="H95" s="8">
        <f>IFERROR(INDEX('Raw Data'!W:W,MATCH($A95,'Raw Data'!$C:$C,0)),0)</f>
        <v>5865.65</v>
      </c>
      <c r="I95" s="22">
        <f t="shared" si="4"/>
        <v>0.2690665137614679</v>
      </c>
    </row>
    <row r="96" spans="1:9" ht="15" customHeight="1" x14ac:dyDescent="0.35">
      <c r="A96" s="11" t="s">
        <v>136</v>
      </c>
      <c r="B96" s="14">
        <f>IFERROR(INDEX('Raw Data'!D:D,MATCH($A96,'Raw Data'!$C:$C,0)),0)</f>
        <v>744.0009</v>
      </c>
      <c r="C96" s="13">
        <f>IFERROR(INDEX('Raw Data'!O:O,MATCH($A96,'Raw Data'!$C:$C,0)),0)</f>
        <v>0.71943797379999996</v>
      </c>
      <c r="D96" s="13">
        <f>IFERROR(INDEX('Raw Data'!P:P,MATCH($A96,'Raw Data'!$C:$C,0)),0)</f>
        <v>0.80990691479999999</v>
      </c>
      <c r="E96" s="12">
        <f>IFERROR(INDEX('Raw Data'!T:T,MATCH($A96,'Raw Data'!$C:$C,0)),0)</f>
        <v>858</v>
      </c>
      <c r="F96" s="12">
        <f>IFERROR(INDEX('Raw Data'!U:U,MATCH($A96,'Raw Data'!$C:$C,0)),0)</f>
        <v>21450</v>
      </c>
      <c r="G96" s="23">
        <f>IFERROR(INDEX('Raw Data'!V:V,MATCH($A96,'Raw Data'!$C:$C,0)),0)</f>
        <v>25</v>
      </c>
      <c r="H96" s="12">
        <f>IFERROR(INDEX('Raw Data'!W:W,MATCH($A96,'Raw Data'!$C:$C,0)),0)</f>
        <v>6339.12</v>
      </c>
      <c r="I96" s="24">
        <f t="shared" si="4"/>
        <v>0.29553006993006992</v>
      </c>
    </row>
    <row r="97" spans="1:9" ht="15" customHeight="1" x14ac:dyDescent="0.35">
      <c r="A97" s="7" t="s">
        <v>137</v>
      </c>
      <c r="B97" s="10">
        <f>IFERROR(INDEX('Raw Data'!D:D,MATCH($A97,'Raw Data'!$C:$C,0)),0)</f>
        <v>744.00089999999898</v>
      </c>
      <c r="C97" s="9">
        <f>IFERROR(INDEX('Raw Data'!O:O,MATCH($A97,'Raw Data'!$C:$C,0)),0)</f>
        <v>0.64923026299999997</v>
      </c>
      <c r="D97" s="9">
        <f>IFERROR(INDEX('Raw Data'!P:P,MATCH($A97,'Raw Data'!$C:$C,0)),0)</f>
        <v>0.8154332286</v>
      </c>
      <c r="E97" s="8">
        <f>IFERROR(INDEX('Raw Data'!T:T,MATCH($A97,'Raw Data'!$C:$C,0)),0)</f>
        <v>847</v>
      </c>
      <c r="F97" s="8">
        <f>IFERROR(INDEX('Raw Data'!U:U,MATCH($A97,'Raw Data'!$C:$C,0)),0)</f>
        <v>21175</v>
      </c>
      <c r="G97" s="21">
        <f>IFERROR(INDEX('Raw Data'!V:V,MATCH($A97,'Raw Data'!$C:$C,0)),0)</f>
        <v>25</v>
      </c>
      <c r="H97" s="8">
        <f>IFERROR(INDEX('Raw Data'!W:W,MATCH($A97,'Raw Data'!$C:$C,0)),0)</f>
        <v>6023.4</v>
      </c>
      <c r="I97" s="22">
        <f t="shared" si="4"/>
        <v>0.28445808736717826</v>
      </c>
    </row>
    <row r="98" spans="1:9" ht="15" customHeight="1" x14ac:dyDescent="0.35">
      <c r="A98" s="11" t="s">
        <v>161</v>
      </c>
      <c r="B98" s="14">
        <f>IFERROR(INDEX('Raw Data'!D:D,MATCH($A98,'Raw Data'!$C:$C,0)),0)</f>
        <v>744</v>
      </c>
      <c r="C98" s="13">
        <f>IFERROR(INDEX('Raw Data'!O:O,MATCH($A98,'Raw Data'!$C:$C,0)),0)</f>
        <v>0.52861787630000001</v>
      </c>
      <c r="D98" s="13">
        <f>IFERROR(INDEX('Raw Data'!P:P,MATCH($A98,'Raw Data'!$C:$C,0)),0)</f>
        <v>0.84568807329999995</v>
      </c>
      <c r="E98" s="12">
        <f>IFERROR(INDEX('Raw Data'!T:T,MATCH($A98,'Raw Data'!$C:$C,0)),0)</f>
        <v>751</v>
      </c>
      <c r="F98" s="12">
        <f>IFERROR(INDEX('Raw Data'!U:U,MATCH($A98,'Raw Data'!$C:$C,0)),0)</f>
        <v>21028</v>
      </c>
      <c r="G98" s="23">
        <f>IFERROR(INDEX('Raw Data'!V:V,MATCH($A98,'Raw Data'!$C:$C,0)),0)</f>
        <v>28</v>
      </c>
      <c r="H98" s="12">
        <f>IFERROR(INDEX('Raw Data'!W:W,MATCH($A98,'Raw Data'!$C:$C,0)),0)</f>
        <v>5324.21</v>
      </c>
      <c r="I98" s="24">
        <f t="shared" si="4"/>
        <v>0.25319621457104813</v>
      </c>
    </row>
    <row r="99" spans="1:9" ht="15" customHeight="1" x14ac:dyDescent="0.35">
      <c r="A99" s="7" t="s">
        <v>146</v>
      </c>
      <c r="B99" s="10">
        <f>IFERROR(INDEX('Raw Data'!D:D,MATCH($A99,'Raw Data'!$C:$C,0)),0)</f>
        <v>744.00029999999902</v>
      </c>
      <c r="C99" s="9">
        <f>IFERROR(INDEX('Raw Data'!O:O,MATCH($A99,'Raw Data'!$C:$C,0)),0)</f>
        <v>0.75221757300000003</v>
      </c>
      <c r="D99" s="9">
        <f>IFERROR(INDEX('Raw Data'!P:P,MATCH($A99,'Raw Data'!$C:$C,0)),0)</f>
        <v>0.75926351130000003</v>
      </c>
      <c r="E99" s="8">
        <f>IFERROR(INDEX('Raw Data'!T:T,MATCH($A99,'Raw Data'!$C:$C,0)),0)</f>
        <v>740</v>
      </c>
      <c r="F99" s="8">
        <f>IFERROR(INDEX('Raw Data'!U:U,MATCH($A99,'Raw Data'!$C:$C,0)),0)</f>
        <v>18500</v>
      </c>
      <c r="G99" s="21">
        <f>IFERROR(INDEX('Raw Data'!V:V,MATCH($A99,'Raw Data'!$C:$C,0)),0)</f>
        <v>25</v>
      </c>
      <c r="H99" s="8">
        <f>IFERROR(INDEX('Raw Data'!W:W,MATCH($A99,'Raw Data'!$C:$C,0)),0)</f>
        <v>6617.91</v>
      </c>
      <c r="I99" s="22">
        <f t="shared" ref="I99:I130" si="5">IFERROR(H99/F99,"-")</f>
        <v>0.35772486486486488</v>
      </c>
    </row>
    <row r="100" spans="1:9" ht="15" customHeight="1" x14ac:dyDescent="0.35">
      <c r="A100" s="11" t="s">
        <v>149</v>
      </c>
      <c r="B100" s="14">
        <f>IFERROR(INDEX('Raw Data'!D:D,MATCH($A100,'Raw Data'!$C:$C,0)),0)</f>
        <v>744.00070000000005</v>
      </c>
      <c r="C100" s="13">
        <f>IFERROR(INDEX('Raw Data'!O:O,MATCH($A100,'Raw Data'!$C:$C,0)),0)</f>
        <v>0.36617331139999998</v>
      </c>
      <c r="D100" s="13">
        <f>IFERROR(INDEX('Raw Data'!P:P,MATCH($A100,'Raw Data'!$C:$C,0)),0)</f>
        <v>0.78254816230000002</v>
      </c>
      <c r="E100" s="12">
        <f>IFERROR(INDEX('Raw Data'!T:T,MATCH($A100,'Raw Data'!$C:$C,0)),0)</f>
        <v>738</v>
      </c>
      <c r="F100" s="12">
        <f>IFERROR(INDEX('Raw Data'!U:U,MATCH($A100,'Raw Data'!$C:$C,0)),0)</f>
        <v>18450</v>
      </c>
      <c r="G100" s="23">
        <f>IFERROR(INDEX('Raw Data'!V:V,MATCH($A100,'Raw Data'!$C:$C,0)),0)</f>
        <v>25</v>
      </c>
      <c r="H100" s="12">
        <f>IFERROR(INDEX('Raw Data'!W:W,MATCH($A100,'Raw Data'!$C:$C,0)),0)</f>
        <v>3459.18</v>
      </c>
      <c r="I100" s="24">
        <f t="shared" si="5"/>
        <v>0.18748943089430894</v>
      </c>
    </row>
    <row r="101" spans="1:9" ht="15" customHeight="1" x14ac:dyDescent="0.35">
      <c r="A101" s="7" t="s">
        <v>111</v>
      </c>
      <c r="B101" s="10">
        <f>IFERROR(INDEX('Raw Data'!D:D,MATCH($A101,'Raw Data'!$C:$C,0)),0)</f>
        <v>744</v>
      </c>
      <c r="C101" s="9">
        <f>IFERROR(INDEX('Raw Data'!O:O,MATCH($A101,'Raw Data'!$C:$C,0)),0)</f>
        <v>0.58284919349999997</v>
      </c>
      <c r="D101" s="9">
        <f>IFERROR(INDEX('Raw Data'!P:P,MATCH($A101,'Raw Data'!$C:$C,0)),0)</f>
        <v>0.79080564099999995</v>
      </c>
      <c r="E101" s="8">
        <f>IFERROR(INDEX('Raw Data'!T:T,MATCH($A101,'Raw Data'!$C:$C,0)),0)</f>
        <v>729</v>
      </c>
      <c r="F101" s="8">
        <f>IFERROR(INDEX('Raw Data'!U:U,MATCH($A101,'Raw Data'!$C:$C,0)),0)</f>
        <v>18225</v>
      </c>
      <c r="G101" s="21">
        <f>IFERROR(INDEX('Raw Data'!V:V,MATCH($A101,'Raw Data'!$C:$C,0)),0)</f>
        <v>25</v>
      </c>
      <c r="H101" s="8">
        <f>IFERROR(INDEX('Raw Data'!W:W,MATCH($A101,'Raw Data'!$C:$C,0)),0)</f>
        <v>5283.88</v>
      </c>
      <c r="I101" s="22">
        <f t="shared" si="5"/>
        <v>0.28992482853223595</v>
      </c>
    </row>
    <row r="102" spans="1:9" ht="15" customHeight="1" x14ac:dyDescent="0.35">
      <c r="A102" s="11" t="s">
        <v>109</v>
      </c>
      <c r="B102" s="14">
        <f>IFERROR(INDEX('Raw Data'!D:D,MATCH($A102,'Raw Data'!$C:$C,0)),0)</f>
        <v>743.99939999999901</v>
      </c>
      <c r="C102" s="13">
        <f>IFERROR(INDEX('Raw Data'!O:O,MATCH($A102,'Raw Data'!$C:$C,0)),0)</f>
        <v>0.62308800249999996</v>
      </c>
      <c r="D102" s="13">
        <f>IFERROR(INDEX('Raw Data'!P:P,MATCH($A102,'Raw Data'!$C:$C,0)),0)</f>
        <v>0.82366320510000002</v>
      </c>
      <c r="E102" s="12">
        <f>IFERROR(INDEX('Raw Data'!T:T,MATCH($A102,'Raw Data'!$C:$C,0)),0)</f>
        <v>701</v>
      </c>
      <c r="F102" s="12">
        <f>IFERROR(INDEX('Raw Data'!U:U,MATCH($A102,'Raw Data'!$C:$C,0)),0)</f>
        <v>17525</v>
      </c>
      <c r="G102" s="23">
        <f>IFERROR(INDEX('Raw Data'!V:V,MATCH($A102,'Raw Data'!$C:$C,0)),0)</f>
        <v>25</v>
      </c>
      <c r="H102" s="12">
        <f>IFERROR(INDEX('Raw Data'!W:W,MATCH($A102,'Raw Data'!$C:$C,0)),0)</f>
        <v>5706.5199999999904</v>
      </c>
      <c r="I102" s="24">
        <f t="shared" si="5"/>
        <v>0.32562168330955721</v>
      </c>
    </row>
    <row r="103" spans="1:9" ht="15" customHeight="1" x14ac:dyDescent="0.35">
      <c r="A103" s="7" t="s">
        <v>150</v>
      </c>
      <c r="B103" s="10">
        <f>IFERROR(INDEX('Raw Data'!D:D,MATCH($A103,'Raw Data'!$C:$C,0)),0)</f>
        <v>744</v>
      </c>
      <c r="C103" s="9">
        <f>IFERROR(INDEX('Raw Data'!O:O,MATCH($A103,'Raw Data'!$C:$C,0)),0)</f>
        <v>0.8518682796</v>
      </c>
      <c r="D103" s="9">
        <f>IFERROR(INDEX('Raw Data'!P:P,MATCH($A103,'Raw Data'!$C:$C,0)),0)</f>
        <v>0.76488205870000003</v>
      </c>
      <c r="E103" s="8">
        <f>IFERROR(INDEX('Raw Data'!T:T,MATCH($A103,'Raw Data'!$C:$C,0)),0)</f>
        <v>696</v>
      </c>
      <c r="F103" s="8">
        <f>IFERROR(INDEX('Raw Data'!U:U,MATCH($A103,'Raw Data'!$C:$C,0)),0)</f>
        <v>17400</v>
      </c>
      <c r="G103" s="21">
        <f>IFERROR(INDEX('Raw Data'!V:V,MATCH($A103,'Raw Data'!$C:$C,0)),0)</f>
        <v>25</v>
      </c>
      <c r="H103" s="8">
        <f>IFERROR(INDEX('Raw Data'!W:W,MATCH($A103,'Raw Data'!$C:$C,0)),0)</f>
        <v>6638.17</v>
      </c>
      <c r="I103" s="22">
        <f t="shared" si="5"/>
        <v>0.38150402298850578</v>
      </c>
    </row>
    <row r="104" spans="1:9" ht="15" customHeight="1" x14ac:dyDescent="0.35">
      <c r="A104" s="11" t="s">
        <v>148</v>
      </c>
      <c r="B104" s="14">
        <f>IFERROR(INDEX('Raw Data'!D:D,MATCH($A104,'Raw Data'!$C:$C,0)),0)</f>
        <v>744.00049999999896</v>
      </c>
      <c r="C104" s="13">
        <f>IFERROR(INDEX('Raw Data'!O:O,MATCH($A104,'Raw Data'!$C:$C,0)),0)</f>
        <v>0.76766883890000004</v>
      </c>
      <c r="D104" s="13">
        <f>IFERROR(INDEX('Raw Data'!P:P,MATCH($A104,'Raw Data'!$C:$C,0)),0)</f>
        <v>0.81886102679999995</v>
      </c>
      <c r="E104" s="12">
        <f>IFERROR(INDEX('Raw Data'!T:T,MATCH($A104,'Raw Data'!$C:$C,0)),0)</f>
        <v>684</v>
      </c>
      <c r="F104" s="12">
        <f>IFERROR(INDEX('Raw Data'!U:U,MATCH($A104,'Raw Data'!$C:$C,0)),0)</f>
        <v>17100</v>
      </c>
      <c r="G104" s="23">
        <f>IFERROR(INDEX('Raw Data'!V:V,MATCH($A104,'Raw Data'!$C:$C,0)),0)</f>
        <v>25</v>
      </c>
      <c r="H104" s="12">
        <f>IFERROR(INDEX('Raw Data'!W:W,MATCH($A104,'Raw Data'!$C:$C,0)),0)</f>
        <v>6580.93</v>
      </c>
      <c r="I104" s="24">
        <f t="shared" si="5"/>
        <v>0.38484970760233922</v>
      </c>
    </row>
    <row r="105" spans="1:9" ht="15" customHeight="1" x14ac:dyDescent="0.35">
      <c r="A105" s="7" t="s">
        <v>106</v>
      </c>
      <c r="B105" s="10">
        <f>IFERROR(INDEX('Raw Data'!D:D,MATCH($A105,'Raw Data'!$C:$C,0)),0)</f>
        <v>743.99999999999898</v>
      </c>
      <c r="C105" s="9">
        <f>IFERROR(INDEX('Raw Data'!O:O,MATCH($A105,'Raw Data'!$C:$C,0)),0)</f>
        <v>0.54358239249999996</v>
      </c>
      <c r="D105" s="9">
        <f>IFERROR(INDEX('Raw Data'!P:P,MATCH($A105,'Raw Data'!$C:$C,0)),0)</f>
        <v>0.79129198889999997</v>
      </c>
      <c r="E105" s="8">
        <f>IFERROR(INDEX('Raw Data'!T:T,MATCH($A105,'Raw Data'!$C:$C,0)),0)</f>
        <v>641</v>
      </c>
      <c r="F105" s="8">
        <f>IFERROR(INDEX('Raw Data'!U:U,MATCH($A105,'Raw Data'!$C:$C,0)),0)</f>
        <v>16025</v>
      </c>
      <c r="G105" s="21">
        <f>IFERROR(INDEX('Raw Data'!V:V,MATCH($A105,'Raw Data'!$C:$C,0)),0)</f>
        <v>25</v>
      </c>
      <c r="H105" s="8">
        <f>IFERROR(INDEX('Raw Data'!W:W,MATCH($A105,'Raw Data'!$C:$C,0)),0)</f>
        <v>4924.08</v>
      </c>
      <c r="I105" s="22">
        <f t="shared" si="5"/>
        <v>0.3072748829953198</v>
      </c>
    </row>
    <row r="106" spans="1:9" ht="15" customHeight="1" x14ac:dyDescent="0.35">
      <c r="A106" s="11" t="s">
        <v>108</v>
      </c>
      <c r="B106" s="14">
        <f>IFERROR(INDEX('Raw Data'!D:D,MATCH($A106,'Raw Data'!$C:$C,0)),0)</f>
        <v>744.00009999999997</v>
      </c>
      <c r="C106" s="13">
        <f>IFERROR(INDEX('Raw Data'!O:O,MATCH($A106,'Raw Data'!$C:$C,0)),0)</f>
        <v>0.20008626339999999</v>
      </c>
      <c r="D106" s="13">
        <f>IFERROR(INDEX('Raw Data'!P:P,MATCH($A106,'Raw Data'!$C:$C,0)),0)</f>
        <v>0.7029641781</v>
      </c>
      <c r="E106" s="12">
        <f>IFERROR(INDEX('Raw Data'!T:T,MATCH($A106,'Raw Data'!$C:$C,0)),0)</f>
        <v>627</v>
      </c>
      <c r="F106" s="12">
        <f>IFERROR(INDEX('Raw Data'!U:U,MATCH($A106,'Raw Data'!$C:$C,0)),0)</f>
        <v>15675</v>
      </c>
      <c r="G106" s="23">
        <f>IFERROR(INDEX('Raw Data'!V:V,MATCH($A106,'Raw Data'!$C:$C,0)),0)</f>
        <v>25</v>
      </c>
      <c r="H106" s="12">
        <f>IFERROR(INDEX('Raw Data'!W:W,MATCH($A106,'Raw Data'!$C:$C,0)),0)</f>
        <v>5133.2</v>
      </c>
      <c r="I106" s="24">
        <f t="shared" si="5"/>
        <v>0.32747687400318976</v>
      </c>
    </row>
    <row r="107" spans="1:9" ht="15" customHeight="1" x14ac:dyDescent="0.35">
      <c r="A107" s="7" t="s">
        <v>116</v>
      </c>
      <c r="B107" s="10">
        <f>IFERROR(INDEX('Raw Data'!D:D,MATCH($A107,'Raw Data'!$C:$C,0)),0)</f>
        <v>743.99950000000001</v>
      </c>
      <c r="C107" s="9">
        <f>IFERROR(INDEX('Raw Data'!O:O,MATCH($A107,'Raw Data'!$C:$C,0)),0)</f>
        <v>0.49195906719999999</v>
      </c>
      <c r="D107" s="9">
        <f>IFERROR(INDEX('Raw Data'!P:P,MATCH($A107,'Raw Data'!$C:$C,0)),0)</f>
        <v>0.85462326509999997</v>
      </c>
      <c r="E107" s="8">
        <f>IFERROR(INDEX('Raw Data'!T:T,MATCH($A107,'Raw Data'!$C:$C,0)),0)</f>
        <v>624</v>
      </c>
      <c r="F107" s="8">
        <f>IFERROR(INDEX('Raw Data'!U:U,MATCH($A107,'Raw Data'!$C:$C,0)),0)</f>
        <v>15600</v>
      </c>
      <c r="G107" s="21">
        <f>IFERROR(INDEX('Raw Data'!V:V,MATCH($A107,'Raw Data'!$C:$C,0)),0)</f>
        <v>25</v>
      </c>
      <c r="H107" s="8">
        <f>IFERROR(INDEX('Raw Data'!W:W,MATCH($A107,'Raw Data'!$C:$C,0)),0)</f>
        <v>4572.28</v>
      </c>
      <c r="I107" s="22">
        <f t="shared" si="5"/>
        <v>0.29309487179487176</v>
      </c>
    </row>
    <row r="108" spans="1:9" ht="15" customHeight="1" x14ac:dyDescent="0.35">
      <c r="A108" s="11" t="s">
        <v>140</v>
      </c>
      <c r="B108" s="14">
        <f>IFERROR(INDEX('Raw Data'!D:D,MATCH($A108,'Raw Data'!$C:$C,0)),0)</f>
        <v>743.99950000000001</v>
      </c>
      <c r="C108" s="13">
        <f>IFERROR(INDEX('Raw Data'!O:O,MATCH($A108,'Raw Data'!$C:$C,0)),0)</f>
        <v>0.64993067869999999</v>
      </c>
      <c r="D108" s="13">
        <f>IFERROR(INDEX('Raw Data'!P:P,MATCH($A108,'Raw Data'!$C:$C,0)),0)</f>
        <v>0.78932023520000005</v>
      </c>
      <c r="E108" s="12">
        <f>IFERROR(INDEX('Raw Data'!T:T,MATCH($A108,'Raw Data'!$C:$C,0)),0)</f>
        <v>591</v>
      </c>
      <c r="F108" s="12">
        <f>IFERROR(INDEX('Raw Data'!U:U,MATCH($A108,'Raw Data'!$C:$C,0)),0)</f>
        <v>14775</v>
      </c>
      <c r="G108" s="23">
        <f>IFERROR(INDEX('Raw Data'!V:V,MATCH($A108,'Raw Data'!$C:$C,0)),0)</f>
        <v>25</v>
      </c>
      <c r="H108" s="12">
        <f>IFERROR(INDEX('Raw Data'!W:W,MATCH($A108,'Raw Data'!$C:$C,0)),0)</f>
        <v>5716.53999999999</v>
      </c>
      <c r="I108" s="24">
        <f t="shared" si="5"/>
        <v>0.38690626057529542</v>
      </c>
    </row>
    <row r="109" spans="1:9" ht="15" customHeight="1" x14ac:dyDescent="0.35">
      <c r="A109" s="7" t="s">
        <v>105</v>
      </c>
      <c r="B109" s="10">
        <f>IFERROR(INDEX('Raw Data'!D:D,MATCH($A109,'Raw Data'!$C:$C,0)),0)</f>
        <v>744.00059999999905</v>
      </c>
      <c r="C109" s="9">
        <f>IFERROR(INDEX('Raw Data'!O:O,MATCH($A109,'Raw Data'!$C:$C,0)),0)</f>
        <v>0.54483773270000002</v>
      </c>
      <c r="D109" s="9">
        <f>IFERROR(INDEX('Raw Data'!P:P,MATCH($A109,'Raw Data'!$C:$C,0)),0)</f>
        <v>0.79295173959999998</v>
      </c>
      <c r="E109" s="8">
        <f>IFERROR(INDEX('Raw Data'!T:T,MATCH($A109,'Raw Data'!$C:$C,0)),0)</f>
        <v>585</v>
      </c>
      <c r="F109" s="8">
        <f>IFERROR(INDEX('Raw Data'!U:U,MATCH($A109,'Raw Data'!$C:$C,0)),0)</f>
        <v>14625</v>
      </c>
      <c r="G109" s="21">
        <f>IFERROR(INDEX('Raw Data'!V:V,MATCH($A109,'Raw Data'!$C:$C,0)),0)</f>
        <v>25</v>
      </c>
      <c r="H109" s="8">
        <f>IFERROR(INDEX('Raw Data'!W:W,MATCH($A109,'Raw Data'!$C:$C,0)),0)</f>
        <v>4868.84</v>
      </c>
      <c r="I109" s="22">
        <f t="shared" si="5"/>
        <v>0.33291213675213677</v>
      </c>
    </row>
    <row r="110" spans="1:9" ht="15" customHeight="1" x14ac:dyDescent="0.35">
      <c r="A110" s="11" t="s">
        <v>128</v>
      </c>
      <c r="B110" s="14">
        <f>IFERROR(INDEX('Raw Data'!D:D,MATCH($A110,'Raw Data'!$C:$C,0)),0)</f>
        <v>744.00039999999899</v>
      </c>
      <c r="C110" s="13">
        <f>IFERROR(INDEX('Raw Data'!O:O,MATCH($A110,'Raw Data'!$C:$C,0)),0)</f>
        <v>0.56220695580000002</v>
      </c>
      <c r="D110" s="13">
        <f>IFERROR(INDEX('Raw Data'!P:P,MATCH($A110,'Raw Data'!$C:$C,0)),0)</f>
        <v>0.69053165540000006</v>
      </c>
      <c r="E110" s="12">
        <f>IFERROR(INDEX('Raw Data'!T:T,MATCH($A110,'Raw Data'!$C:$C,0)),0)</f>
        <v>566</v>
      </c>
      <c r="F110" s="12">
        <f>IFERROR(INDEX('Raw Data'!U:U,MATCH($A110,'Raw Data'!$C:$C,0)),0)</f>
        <v>14150</v>
      </c>
      <c r="G110" s="23">
        <f>IFERROR(INDEX('Raw Data'!V:V,MATCH($A110,'Raw Data'!$C:$C,0)),0)</f>
        <v>25</v>
      </c>
      <c r="H110" s="12">
        <f>IFERROR(INDEX('Raw Data'!W:W,MATCH($A110,'Raw Data'!$C:$C,0)),0)</f>
        <v>6004.5899999999901</v>
      </c>
      <c r="I110" s="24">
        <f t="shared" si="5"/>
        <v>0.42435265017667773</v>
      </c>
    </row>
    <row r="111" spans="1:9" ht="15" customHeight="1" x14ac:dyDescent="0.35">
      <c r="A111" s="7" t="s">
        <v>132</v>
      </c>
      <c r="B111" s="10">
        <f>IFERROR(INDEX('Raw Data'!D:D,MATCH($A111,'Raw Data'!$C:$C,0)),0)</f>
        <v>744.00099999999998</v>
      </c>
      <c r="C111" s="9">
        <f>IFERROR(INDEX('Raw Data'!O:O,MATCH($A111,'Raw Data'!$C:$C,0)),0)</f>
        <v>0.40256652879999999</v>
      </c>
      <c r="D111" s="9">
        <f>IFERROR(INDEX('Raw Data'!P:P,MATCH($A111,'Raw Data'!$C:$C,0)),0)</f>
        <v>0.77477338809999996</v>
      </c>
      <c r="E111" s="8">
        <f>IFERROR(INDEX('Raw Data'!T:T,MATCH($A111,'Raw Data'!$C:$C,0)),0)</f>
        <v>498</v>
      </c>
      <c r="F111" s="8">
        <f>IFERROR(INDEX('Raw Data'!U:U,MATCH($A111,'Raw Data'!$C:$C,0)),0)</f>
        <v>12450</v>
      </c>
      <c r="G111" s="21">
        <f>IFERROR(INDEX('Raw Data'!V:V,MATCH($A111,'Raw Data'!$C:$C,0)),0)</f>
        <v>25</v>
      </c>
      <c r="H111" s="8">
        <f>IFERROR(INDEX('Raw Data'!W:W,MATCH($A111,'Raw Data'!$C:$C,0)),0)</f>
        <v>3804.0499999999902</v>
      </c>
      <c r="I111" s="22">
        <f t="shared" si="5"/>
        <v>0.30554618473895501</v>
      </c>
    </row>
    <row r="112" spans="1:9" ht="15" customHeight="1" x14ac:dyDescent="0.35">
      <c r="A112" s="11" t="s">
        <v>103</v>
      </c>
      <c r="B112" s="14">
        <f>IFERROR(INDEX('Raw Data'!D:D,MATCH($A112,'Raw Data'!$C:$C,0)),0)</f>
        <v>744.00099999999895</v>
      </c>
      <c r="C112" s="13">
        <f>IFERROR(INDEX('Raw Data'!O:O,MATCH($A112,'Raw Data'!$C:$C,0)),0)</f>
        <v>0.35734857879999998</v>
      </c>
      <c r="D112" s="13">
        <f>IFERROR(INDEX('Raw Data'!P:P,MATCH($A112,'Raw Data'!$C:$C,0)),0)</f>
        <v>0.8412582649</v>
      </c>
      <c r="E112" s="12">
        <f>IFERROR(INDEX('Raw Data'!T:T,MATCH($A112,'Raw Data'!$C:$C,0)),0)</f>
        <v>474</v>
      </c>
      <c r="F112" s="12">
        <f>IFERROR(INDEX('Raw Data'!U:U,MATCH($A112,'Raw Data'!$C:$C,0)),0)</f>
        <v>11850</v>
      </c>
      <c r="G112" s="23">
        <f>IFERROR(INDEX('Raw Data'!V:V,MATCH($A112,'Raw Data'!$C:$C,0)),0)</f>
        <v>25</v>
      </c>
      <c r="H112" s="12">
        <f>IFERROR(INDEX('Raw Data'!W:W,MATCH($A112,'Raw Data'!$C:$C,0)),0)</f>
        <v>3718.28999999999</v>
      </c>
      <c r="I112" s="24">
        <f t="shared" si="5"/>
        <v>0.31377974683544219</v>
      </c>
    </row>
    <row r="113" spans="1:9" ht="15" customHeight="1" x14ac:dyDescent="0.35">
      <c r="A113" s="7" t="s">
        <v>127</v>
      </c>
      <c r="B113" s="10">
        <f>IFERROR(INDEX('Raw Data'!D:D,MATCH($A113,'Raw Data'!$C:$C,0)),0)</f>
        <v>744.00019999999995</v>
      </c>
      <c r="C113" s="9">
        <f>IFERROR(INDEX('Raw Data'!O:O,MATCH($A113,'Raw Data'!$C:$C,0)),0)</f>
        <v>0.55053184129999999</v>
      </c>
      <c r="D113" s="9">
        <f>IFERROR(INDEX('Raw Data'!P:P,MATCH($A113,'Raw Data'!$C:$C,0)),0)</f>
        <v>0.79112920590000002</v>
      </c>
      <c r="E113" s="8">
        <f>IFERROR(INDEX('Raw Data'!T:T,MATCH($A113,'Raw Data'!$C:$C,0)),0)</f>
        <v>468</v>
      </c>
      <c r="F113" s="8">
        <f>IFERROR(INDEX('Raw Data'!U:U,MATCH($A113,'Raw Data'!$C:$C,0)),0)</f>
        <v>11700</v>
      </c>
      <c r="G113" s="21">
        <f>IFERROR(INDEX('Raw Data'!V:V,MATCH($A113,'Raw Data'!$C:$C,0)),0)</f>
        <v>25</v>
      </c>
      <c r="H113" s="8">
        <f>IFERROR(INDEX('Raw Data'!W:W,MATCH($A113,'Raw Data'!$C:$C,0)),0)</f>
        <v>4953.9799999999996</v>
      </c>
      <c r="I113" s="22">
        <f t="shared" si="5"/>
        <v>0.42341709401709399</v>
      </c>
    </row>
    <row r="114" spans="1:9" ht="15" customHeight="1" x14ac:dyDescent="0.35">
      <c r="A114" s="11" t="s">
        <v>134</v>
      </c>
      <c r="B114" s="14">
        <f>IFERROR(INDEX('Raw Data'!D:D,MATCH($A114,'Raw Data'!$C:$C,0)),0)</f>
        <v>744.000799999999</v>
      </c>
      <c r="C114" s="13">
        <f>IFERROR(INDEX('Raw Data'!O:O,MATCH($A114,'Raw Data'!$C:$C,0)),0)</f>
        <v>0.65792993769999997</v>
      </c>
      <c r="D114" s="13">
        <f>IFERROR(INDEX('Raw Data'!P:P,MATCH($A114,'Raw Data'!$C:$C,0)),0)</f>
        <v>0.70523211009999998</v>
      </c>
      <c r="E114" s="12">
        <f>IFERROR(INDEX('Raw Data'!T:T,MATCH($A114,'Raw Data'!$C:$C,0)),0)</f>
        <v>460</v>
      </c>
      <c r="F114" s="12">
        <f>IFERROR(INDEX('Raw Data'!U:U,MATCH($A114,'Raw Data'!$C:$C,0)),0)</f>
        <v>11500</v>
      </c>
      <c r="G114" s="23">
        <f>IFERROR(INDEX('Raw Data'!V:V,MATCH($A114,'Raw Data'!$C:$C,0)),0)</f>
        <v>25</v>
      </c>
      <c r="H114" s="12">
        <f>IFERROR(INDEX('Raw Data'!W:W,MATCH($A114,'Raw Data'!$C:$C,0)),0)</f>
        <v>5689.92</v>
      </c>
      <c r="I114" s="24">
        <f t="shared" si="5"/>
        <v>0.49477565217391306</v>
      </c>
    </row>
    <row r="115" spans="1:9" ht="15" customHeight="1" x14ac:dyDescent="0.35">
      <c r="A115" s="7" t="s">
        <v>112</v>
      </c>
      <c r="B115" s="10">
        <f>IFERROR(INDEX('Raw Data'!D:D,MATCH($A115,'Raw Data'!$C:$C,0)),0)</f>
        <v>744.00009999999895</v>
      </c>
      <c r="C115" s="9">
        <f>IFERROR(INDEX('Raw Data'!O:O,MATCH($A115,'Raw Data'!$C:$C,0)),0)</f>
        <v>0.47192399569999999</v>
      </c>
      <c r="D115" s="9">
        <f>IFERROR(INDEX('Raw Data'!P:P,MATCH($A115,'Raw Data'!$C:$C,0)),0)</f>
        <v>0.76881588899999997</v>
      </c>
      <c r="E115" s="8">
        <f>IFERROR(INDEX('Raw Data'!T:T,MATCH($A115,'Raw Data'!$C:$C,0)),0)</f>
        <v>452</v>
      </c>
      <c r="F115" s="8">
        <f>IFERROR(INDEX('Raw Data'!U:U,MATCH($A115,'Raw Data'!$C:$C,0)),0)</f>
        <v>11300</v>
      </c>
      <c r="G115" s="21">
        <f>IFERROR(INDEX('Raw Data'!V:V,MATCH($A115,'Raw Data'!$C:$C,0)),0)</f>
        <v>25</v>
      </c>
      <c r="H115" s="8">
        <f>IFERROR(INDEX('Raw Data'!W:W,MATCH($A115,'Raw Data'!$C:$C,0)),0)</f>
        <v>4780.41</v>
      </c>
      <c r="I115" s="22">
        <f t="shared" si="5"/>
        <v>0.42304513274336281</v>
      </c>
    </row>
    <row r="116" spans="1:9" ht="15" customHeight="1" x14ac:dyDescent="0.35">
      <c r="A116" s="11" t="s">
        <v>130</v>
      </c>
      <c r="B116" s="14">
        <f>IFERROR(INDEX('Raw Data'!D:D,MATCH($A116,'Raw Data'!$C:$C,0)),0)</f>
        <v>744.00049999999896</v>
      </c>
      <c r="C116" s="13">
        <f>IFERROR(INDEX('Raw Data'!O:O,MATCH($A116,'Raw Data'!$C:$C,0)),0)</f>
        <v>0.64383626090000001</v>
      </c>
      <c r="D116" s="13">
        <f>IFERROR(INDEX('Raw Data'!P:P,MATCH($A116,'Raw Data'!$C:$C,0)),0)</f>
        <v>0.78602672780000005</v>
      </c>
      <c r="E116" s="12">
        <f>IFERROR(INDEX('Raw Data'!T:T,MATCH($A116,'Raw Data'!$C:$C,0)),0)</f>
        <v>413</v>
      </c>
      <c r="F116" s="12">
        <f>IFERROR(INDEX('Raw Data'!U:U,MATCH($A116,'Raw Data'!$C:$C,0)),0)</f>
        <v>10325</v>
      </c>
      <c r="G116" s="23">
        <f>IFERROR(INDEX('Raw Data'!V:V,MATCH($A116,'Raw Data'!$C:$C,0)),0)</f>
        <v>25</v>
      </c>
      <c r="H116" s="12">
        <f>IFERROR(INDEX('Raw Data'!W:W,MATCH($A116,'Raw Data'!$C:$C,0)),0)</f>
        <v>6074.69</v>
      </c>
      <c r="I116" s="24">
        <f t="shared" si="5"/>
        <v>0.58834769975786916</v>
      </c>
    </row>
    <row r="117" spans="1:9" ht="15" customHeight="1" x14ac:dyDescent="0.35">
      <c r="A117" s="7" t="s">
        <v>107</v>
      </c>
      <c r="B117" s="10">
        <f>IFERROR(INDEX('Raw Data'!D:D,MATCH($A117,'Raw Data'!$C:$C,0)),0)</f>
        <v>744.00099999999998</v>
      </c>
      <c r="C117" s="9">
        <f>IFERROR(INDEX('Raw Data'!O:O,MATCH($A117,'Raw Data'!$C:$C,0)),0)</f>
        <v>0.77646132199999995</v>
      </c>
      <c r="D117" s="9">
        <f>IFERROR(INDEX('Raw Data'!P:P,MATCH($A117,'Raw Data'!$C:$C,0)),0)</f>
        <v>0.68483783629999995</v>
      </c>
      <c r="E117" s="8">
        <f>IFERROR(INDEX('Raw Data'!T:T,MATCH($A117,'Raw Data'!$C:$C,0)),0)</f>
        <v>400</v>
      </c>
      <c r="F117" s="8">
        <f>IFERROR(INDEX('Raw Data'!U:U,MATCH($A117,'Raw Data'!$C:$C,0)),0)</f>
        <v>10000</v>
      </c>
      <c r="G117" s="21">
        <f>IFERROR(INDEX('Raw Data'!V:V,MATCH($A117,'Raw Data'!$C:$C,0)),0)</f>
        <v>25</v>
      </c>
      <c r="H117" s="8">
        <f>IFERROR(INDEX('Raw Data'!W:W,MATCH($A117,'Raw Data'!$C:$C,0)),0)</f>
        <v>7478.0599999999904</v>
      </c>
      <c r="I117" s="22">
        <f t="shared" si="5"/>
        <v>0.74780599999999908</v>
      </c>
    </row>
    <row r="118" spans="1:9" ht="15" customHeight="1" x14ac:dyDescent="0.35">
      <c r="A118" s="11" t="s">
        <v>126</v>
      </c>
      <c r="B118" s="14">
        <f>IFERROR(INDEX('Raw Data'!D:D,MATCH($A118,'Raw Data'!$C:$C,0)),0)</f>
        <v>744.00160000000005</v>
      </c>
      <c r="C118" s="13">
        <f>IFERROR(INDEX('Raw Data'!O:O,MATCH($A118,'Raw Data'!$C:$C,0)),0)</f>
        <v>0.39559498259999998</v>
      </c>
      <c r="D118" s="13">
        <f>IFERROR(INDEX('Raw Data'!P:P,MATCH($A118,'Raw Data'!$C:$C,0)),0)</f>
        <v>0.8269841362</v>
      </c>
      <c r="E118" s="12">
        <f>IFERROR(INDEX('Raw Data'!T:T,MATCH($A118,'Raw Data'!$C:$C,0)),0)</f>
        <v>385</v>
      </c>
      <c r="F118" s="12">
        <f>IFERROR(INDEX('Raw Data'!U:U,MATCH($A118,'Raw Data'!$C:$C,0)),0)</f>
        <v>9625</v>
      </c>
      <c r="G118" s="23">
        <f>IFERROR(INDEX('Raw Data'!V:V,MATCH($A118,'Raw Data'!$C:$C,0)),0)</f>
        <v>25</v>
      </c>
      <c r="H118" s="12">
        <f>IFERROR(INDEX('Raw Data'!W:W,MATCH($A118,'Raw Data'!$C:$C,0)),0)</f>
        <v>3751.70999999999</v>
      </c>
      <c r="I118" s="24">
        <f t="shared" si="5"/>
        <v>0.38978805194805094</v>
      </c>
    </row>
    <row r="119" spans="1:9" ht="15" customHeight="1" x14ac:dyDescent="0.35">
      <c r="A119" s="7" t="s">
        <v>129</v>
      </c>
      <c r="B119" s="10">
        <f>IFERROR(INDEX('Raw Data'!D:D,MATCH($A119,'Raw Data'!$C:$C,0)),0)</f>
        <v>744.00059999999996</v>
      </c>
      <c r="C119" s="9">
        <f>IFERROR(INDEX('Raw Data'!O:O,MATCH($A119,'Raw Data'!$C:$C,0)),0)</f>
        <v>0.69798922210000003</v>
      </c>
      <c r="D119" s="9">
        <f>IFERROR(INDEX('Raw Data'!P:P,MATCH($A119,'Raw Data'!$C:$C,0)),0)</f>
        <v>0.75608082659999998</v>
      </c>
      <c r="E119" s="8">
        <f>IFERROR(INDEX('Raw Data'!T:T,MATCH($A119,'Raw Data'!$C:$C,0)),0)</f>
        <v>366</v>
      </c>
      <c r="F119" s="8">
        <f>IFERROR(INDEX('Raw Data'!U:U,MATCH($A119,'Raw Data'!$C:$C,0)),0)</f>
        <v>9150</v>
      </c>
      <c r="G119" s="21">
        <f>IFERROR(INDEX('Raw Data'!V:V,MATCH($A119,'Raw Data'!$C:$C,0)),0)</f>
        <v>25</v>
      </c>
      <c r="H119" s="8">
        <f>IFERROR(INDEX('Raw Data'!W:W,MATCH($A119,'Raw Data'!$C:$C,0)),0)</f>
        <v>7447.74999999999</v>
      </c>
      <c r="I119" s="22">
        <f t="shared" si="5"/>
        <v>0.81396174863387871</v>
      </c>
    </row>
    <row r="120" spans="1:9" ht="15" customHeight="1" x14ac:dyDescent="0.35">
      <c r="A120" s="11" t="s">
        <v>139</v>
      </c>
      <c r="B120" s="14">
        <f>IFERROR(INDEX('Raw Data'!D:D,MATCH($A120,'Raw Data'!$C:$C,0)),0)</f>
        <v>743.999899999999</v>
      </c>
      <c r="C120" s="13">
        <f>IFERROR(INDEX('Raw Data'!O:O,MATCH($A120,'Raw Data'!$C:$C,0)),0)</f>
        <v>0.68829525380000001</v>
      </c>
      <c r="D120" s="13">
        <f>IFERROR(INDEX('Raw Data'!P:P,MATCH($A120,'Raw Data'!$C:$C,0)),0)</f>
        <v>0.76395844020000003</v>
      </c>
      <c r="E120" s="12">
        <f>IFERROR(INDEX('Raw Data'!T:T,MATCH($A120,'Raw Data'!$C:$C,0)),0)</f>
        <v>361</v>
      </c>
      <c r="F120" s="12">
        <f>IFERROR(INDEX('Raw Data'!U:U,MATCH($A120,'Raw Data'!$C:$C,0)),0)</f>
        <v>9025</v>
      </c>
      <c r="G120" s="23">
        <f>IFERROR(INDEX('Raw Data'!V:V,MATCH($A120,'Raw Data'!$C:$C,0)),0)</f>
        <v>25</v>
      </c>
      <c r="H120" s="12">
        <f>IFERROR(INDEX('Raw Data'!W:W,MATCH($A120,'Raw Data'!$C:$C,0)),0)</f>
        <v>6599.6699999999901</v>
      </c>
      <c r="I120" s="24">
        <f t="shared" si="5"/>
        <v>0.73126537396121771</v>
      </c>
    </row>
    <row r="121" spans="1:9" ht="15" customHeight="1" x14ac:dyDescent="0.35">
      <c r="A121" s="7" t="s">
        <v>131</v>
      </c>
      <c r="B121" s="10">
        <f>IFERROR(INDEX('Raw Data'!D:D,MATCH($A121,'Raw Data'!$C:$C,0)),0)</f>
        <v>743.99990000000003</v>
      </c>
      <c r="C121" s="9">
        <f>IFERROR(INDEX('Raw Data'!O:O,MATCH($A121,'Raw Data'!$C:$C,0)),0)</f>
        <v>0.44656202239999998</v>
      </c>
      <c r="D121" s="9">
        <f>IFERROR(INDEX('Raw Data'!P:P,MATCH($A121,'Raw Data'!$C:$C,0)),0)</f>
        <v>0.53813950730000004</v>
      </c>
      <c r="E121" s="8">
        <f>IFERROR(INDEX('Raw Data'!T:T,MATCH($A121,'Raw Data'!$C:$C,0)),0)</f>
        <v>351</v>
      </c>
      <c r="F121" s="8">
        <f>IFERROR(INDEX('Raw Data'!U:U,MATCH($A121,'Raw Data'!$C:$C,0)),0)</f>
        <v>8775</v>
      </c>
      <c r="G121" s="21">
        <f>IFERROR(INDEX('Raw Data'!V:V,MATCH($A121,'Raw Data'!$C:$C,0)),0)</f>
        <v>25</v>
      </c>
      <c r="H121" s="8">
        <f>IFERROR(INDEX('Raw Data'!W:W,MATCH($A121,'Raw Data'!$C:$C,0)),0)</f>
        <v>3912.6799999999898</v>
      </c>
      <c r="I121" s="22">
        <f t="shared" si="5"/>
        <v>0.44588945868945751</v>
      </c>
    </row>
    <row r="122" spans="1:9" ht="15" customHeight="1" x14ac:dyDescent="0.35">
      <c r="A122" s="11" t="s">
        <v>118</v>
      </c>
      <c r="B122" s="14">
        <f>IFERROR(INDEX('Raw Data'!D:D,MATCH($A122,'Raw Data'!$C:$C,0)),0)</f>
        <v>744.00009999999895</v>
      </c>
      <c r="C122" s="13">
        <f>IFERROR(INDEX('Raw Data'!O:O,MATCH($A122,'Raw Data'!$C:$C,0)),0)</f>
        <v>0.1166889628</v>
      </c>
      <c r="D122" s="13">
        <f>IFERROR(INDEX('Raw Data'!P:P,MATCH($A122,'Raw Data'!$C:$C,0)),0)</f>
        <v>0.57346751659999995</v>
      </c>
      <c r="E122" s="12">
        <f>IFERROR(INDEX('Raw Data'!T:T,MATCH($A122,'Raw Data'!$C:$C,0)),0)</f>
        <v>350</v>
      </c>
      <c r="F122" s="12">
        <f>IFERROR(INDEX('Raw Data'!U:U,MATCH($A122,'Raw Data'!$C:$C,0)),0)</f>
        <v>8750</v>
      </c>
      <c r="G122" s="23">
        <f>IFERROR(INDEX('Raw Data'!V:V,MATCH($A122,'Raw Data'!$C:$C,0)),0)</f>
        <v>25</v>
      </c>
      <c r="H122" s="12">
        <f>IFERROR(INDEX('Raw Data'!W:W,MATCH($A122,'Raw Data'!$C:$C,0)),0)</f>
        <v>3836.37</v>
      </c>
      <c r="I122" s="24">
        <f t="shared" si="5"/>
        <v>0.43844228571428573</v>
      </c>
    </row>
    <row r="123" spans="1:9" ht="15" customHeight="1" x14ac:dyDescent="0.35">
      <c r="A123" s="7" t="s">
        <v>121</v>
      </c>
      <c r="B123" s="10">
        <f>IFERROR(INDEX('Raw Data'!D:D,MATCH($A123,'Raw Data'!$C:$C,0)),0)</f>
        <v>744</v>
      </c>
      <c r="C123" s="9">
        <f>IFERROR(INDEX('Raw Data'!O:O,MATCH($A123,'Raw Data'!$C:$C,0)),0)</f>
        <v>0.39858145160000003</v>
      </c>
      <c r="D123" s="9">
        <f>IFERROR(INDEX('Raw Data'!P:P,MATCH($A123,'Raw Data'!$C:$C,0)),0)</f>
        <v>0.83451966420000001</v>
      </c>
      <c r="E123" s="8">
        <f>IFERROR(INDEX('Raw Data'!T:T,MATCH($A123,'Raw Data'!$C:$C,0)),0)</f>
        <v>344</v>
      </c>
      <c r="F123" s="8">
        <f>IFERROR(INDEX('Raw Data'!U:U,MATCH($A123,'Raw Data'!$C:$C,0)),0)</f>
        <v>8600</v>
      </c>
      <c r="G123" s="21">
        <f>IFERROR(INDEX('Raw Data'!V:V,MATCH($A123,'Raw Data'!$C:$C,0)),0)</f>
        <v>25</v>
      </c>
      <c r="H123" s="8">
        <f>IFERROR(INDEX('Raw Data'!W:W,MATCH($A123,'Raw Data'!$C:$C,0)),0)</f>
        <v>4115.75</v>
      </c>
      <c r="I123" s="22">
        <f t="shared" si="5"/>
        <v>0.47857558139534884</v>
      </c>
    </row>
    <row r="124" spans="1:9" ht="15" customHeight="1" x14ac:dyDescent="0.35">
      <c r="A124" s="11" t="s">
        <v>123</v>
      </c>
      <c r="B124" s="14">
        <f>IFERROR(INDEX('Raw Data'!D:D,MATCH($A124,'Raw Data'!$C:$C,0)),0)</f>
        <v>744.00080000000003</v>
      </c>
      <c r="C124" s="13">
        <f>IFERROR(INDEX('Raw Data'!O:O,MATCH($A124,'Raw Data'!$C:$C,0)),0)</f>
        <v>0.42917010300000002</v>
      </c>
      <c r="D124" s="13">
        <f>IFERROR(INDEX('Raw Data'!P:P,MATCH($A124,'Raw Data'!$C:$C,0)),0)</f>
        <v>0.76063073650000002</v>
      </c>
      <c r="E124" s="12">
        <f>IFERROR(INDEX('Raw Data'!T:T,MATCH($A124,'Raw Data'!$C:$C,0)),0)</f>
        <v>337</v>
      </c>
      <c r="F124" s="12">
        <f>IFERROR(INDEX('Raw Data'!U:U,MATCH($A124,'Raw Data'!$C:$C,0)),0)</f>
        <v>8425</v>
      </c>
      <c r="G124" s="23">
        <f>IFERROR(INDEX('Raw Data'!V:V,MATCH($A124,'Raw Data'!$C:$C,0)),0)</f>
        <v>25</v>
      </c>
      <c r="H124" s="12">
        <f>IFERROR(INDEX('Raw Data'!W:W,MATCH($A124,'Raw Data'!$C:$C,0)),0)</f>
        <v>3680.97999999999</v>
      </c>
      <c r="I124" s="24">
        <f t="shared" si="5"/>
        <v>0.43691157270029557</v>
      </c>
    </row>
    <row r="125" spans="1:9" ht="15" customHeight="1" x14ac:dyDescent="0.35">
      <c r="A125" s="7" t="s">
        <v>141</v>
      </c>
      <c r="B125" s="10">
        <f>IFERROR(INDEX('Raw Data'!D:D,MATCH($A125,'Raw Data'!$C:$C,0)),0)</f>
        <v>744.00019999999995</v>
      </c>
      <c r="C125" s="9">
        <f>IFERROR(INDEX('Raw Data'!O:O,MATCH($A125,'Raw Data'!$C:$C,0)),0)</f>
        <v>0.26878635249999999</v>
      </c>
      <c r="D125" s="9">
        <f>IFERROR(INDEX('Raw Data'!P:P,MATCH($A125,'Raw Data'!$C:$C,0)),0)</f>
        <v>0.75514246380000005</v>
      </c>
      <c r="E125" s="8">
        <f>IFERROR(INDEX('Raw Data'!T:T,MATCH($A125,'Raw Data'!$C:$C,0)),0)</f>
        <v>313</v>
      </c>
      <c r="F125" s="8">
        <f>IFERROR(INDEX('Raw Data'!U:U,MATCH($A125,'Raw Data'!$C:$C,0)),0)</f>
        <v>7825</v>
      </c>
      <c r="G125" s="21">
        <f>IFERROR(INDEX('Raw Data'!V:V,MATCH($A125,'Raw Data'!$C:$C,0)),0)</f>
        <v>25</v>
      </c>
      <c r="H125" s="8">
        <f>IFERROR(INDEX('Raw Data'!W:W,MATCH($A125,'Raw Data'!$C:$C,0)),0)</f>
        <v>3544.22</v>
      </c>
      <c r="I125" s="22">
        <f t="shared" si="5"/>
        <v>0.45293546325878592</v>
      </c>
    </row>
    <row r="126" spans="1:9" ht="15" customHeight="1" x14ac:dyDescent="0.35">
      <c r="A126" s="11" t="s">
        <v>115</v>
      </c>
      <c r="B126" s="14">
        <f>IFERROR(INDEX('Raw Data'!D:D,MATCH($A126,'Raw Data'!$C:$C,0)),0)</f>
        <v>744.00099999999998</v>
      </c>
      <c r="C126" s="13">
        <f>IFERROR(INDEX('Raw Data'!O:O,MATCH($A126,'Raw Data'!$C:$C,0)),0)</f>
        <v>0.54137507880000002</v>
      </c>
      <c r="D126" s="13">
        <f>IFERROR(INDEX('Raw Data'!P:P,MATCH($A126,'Raw Data'!$C:$C,0)),0)</f>
        <v>0.76592567320000005</v>
      </c>
      <c r="E126" s="12">
        <f>IFERROR(INDEX('Raw Data'!T:T,MATCH($A126,'Raw Data'!$C:$C,0)),0)</f>
        <v>304</v>
      </c>
      <c r="F126" s="12">
        <f>IFERROR(INDEX('Raw Data'!U:U,MATCH($A126,'Raw Data'!$C:$C,0)),0)</f>
        <v>7600</v>
      </c>
      <c r="G126" s="23">
        <f>IFERROR(INDEX('Raw Data'!V:V,MATCH($A126,'Raw Data'!$C:$C,0)),0)</f>
        <v>25</v>
      </c>
      <c r="H126" s="12">
        <f>IFERROR(INDEX('Raw Data'!W:W,MATCH($A126,'Raw Data'!$C:$C,0)),0)</f>
        <v>5750.8</v>
      </c>
      <c r="I126" s="24">
        <f t="shared" si="5"/>
        <v>0.75668421052631585</v>
      </c>
    </row>
    <row r="127" spans="1:9" ht="15" customHeight="1" x14ac:dyDescent="0.35">
      <c r="A127" s="7" t="s">
        <v>138</v>
      </c>
      <c r="B127" s="10">
        <f>IFERROR(INDEX('Raw Data'!D:D,MATCH($A127,'Raw Data'!$C:$C,0)),0)</f>
        <v>743.99959999999999</v>
      </c>
      <c r="C127" s="9">
        <f>IFERROR(INDEX('Raw Data'!O:O,MATCH($A127,'Raw Data'!$C:$C,0)),0)</f>
        <v>0.24103641989999999</v>
      </c>
      <c r="D127" s="9">
        <f>IFERROR(INDEX('Raw Data'!P:P,MATCH($A127,'Raw Data'!$C:$C,0)),0)</f>
        <v>0.85292559570000004</v>
      </c>
      <c r="E127" s="8">
        <f>IFERROR(INDEX('Raw Data'!T:T,MATCH($A127,'Raw Data'!$C:$C,0)),0)</f>
        <v>296</v>
      </c>
      <c r="F127" s="8">
        <f>IFERROR(INDEX('Raw Data'!U:U,MATCH($A127,'Raw Data'!$C:$C,0)),0)</f>
        <v>7400</v>
      </c>
      <c r="G127" s="21">
        <f>IFERROR(INDEX('Raw Data'!V:V,MATCH($A127,'Raw Data'!$C:$C,0)),0)</f>
        <v>25</v>
      </c>
      <c r="H127" s="8">
        <f>IFERROR(INDEX('Raw Data'!W:W,MATCH($A127,'Raw Data'!$C:$C,0)),0)</f>
        <v>2387.5299999999902</v>
      </c>
      <c r="I127" s="22">
        <f t="shared" si="5"/>
        <v>0.32263918918918788</v>
      </c>
    </row>
    <row r="128" spans="1:9" ht="15" customHeight="1" x14ac:dyDescent="0.35">
      <c r="A128" s="11" t="s">
        <v>147</v>
      </c>
      <c r="B128" s="14">
        <f>IFERROR(INDEX('Raw Data'!D:D,MATCH($A128,'Raw Data'!$C:$C,0)),0)</f>
        <v>744.00019999999904</v>
      </c>
      <c r="C128" s="13">
        <f>IFERROR(INDEX('Raw Data'!O:O,MATCH($A128,'Raw Data'!$C:$C,0)),0)</f>
        <v>0.52472512780000002</v>
      </c>
      <c r="D128" s="13">
        <f>IFERROR(INDEX('Raw Data'!P:P,MATCH($A128,'Raw Data'!$C:$C,0)),0)</f>
        <v>0.84172055219999997</v>
      </c>
      <c r="E128" s="12">
        <f>IFERROR(INDEX('Raw Data'!T:T,MATCH($A128,'Raw Data'!$C:$C,0)),0)</f>
        <v>271</v>
      </c>
      <c r="F128" s="12">
        <f>IFERROR(INDEX('Raw Data'!U:U,MATCH($A128,'Raw Data'!$C:$C,0)),0)</f>
        <v>6775</v>
      </c>
      <c r="G128" s="23">
        <f>IFERROR(INDEX('Raw Data'!V:V,MATCH($A128,'Raw Data'!$C:$C,0)),0)</f>
        <v>25</v>
      </c>
      <c r="H128" s="12">
        <f>IFERROR(INDEX('Raw Data'!W:W,MATCH($A128,'Raw Data'!$C:$C,0)),0)</f>
        <v>5119.8999999999996</v>
      </c>
      <c r="I128" s="24">
        <f t="shared" si="5"/>
        <v>0.75570479704797044</v>
      </c>
    </row>
    <row r="129" spans="1:9" ht="15" customHeight="1" x14ac:dyDescent="0.35">
      <c r="A129" s="7" t="s">
        <v>124</v>
      </c>
      <c r="B129" s="10">
        <f>IFERROR(INDEX('Raw Data'!D:D,MATCH($A129,'Raw Data'!$C:$C,0)),0)</f>
        <v>744.00039999999899</v>
      </c>
      <c r="C129" s="9">
        <f>IFERROR(INDEX('Raw Data'!O:O,MATCH($A129,'Raw Data'!$C:$C,0)),0)</f>
        <v>0.30081099420000001</v>
      </c>
      <c r="D129" s="9">
        <f>IFERROR(INDEX('Raw Data'!P:P,MATCH($A129,'Raw Data'!$C:$C,0)),0)</f>
        <v>0.70895584739999995</v>
      </c>
      <c r="E129" s="8">
        <f>IFERROR(INDEX('Raw Data'!T:T,MATCH($A129,'Raw Data'!$C:$C,0)),0)</f>
        <v>261</v>
      </c>
      <c r="F129" s="8">
        <f>IFERROR(INDEX('Raw Data'!U:U,MATCH($A129,'Raw Data'!$C:$C,0)),0)</f>
        <v>6525</v>
      </c>
      <c r="G129" s="21">
        <f>IFERROR(INDEX('Raw Data'!V:V,MATCH($A129,'Raw Data'!$C:$C,0)),0)</f>
        <v>25</v>
      </c>
      <c r="H129" s="8">
        <f>IFERROR(INDEX('Raw Data'!W:W,MATCH($A129,'Raw Data'!$C:$C,0)),0)</f>
        <v>2490.4699999999998</v>
      </c>
      <c r="I129" s="22">
        <f t="shared" si="5"/>
        <v>0.3816812260536398</v>
      </c>
    </row>
    <row r="130" spans="1:9" ht="15" customHeight="1" x14ac:dyDescent="0.35">
      <c r="A130" s="11" t="s">
        <v>133</v>
      </c>
      <c r="B130" s="14">
        <f>IFERROR(INDEX('Raw Data'!D:D,MATCH($A130,'Raw Data'!$C:$C,0)),0)</f>
        <v>744.00189999999998</v>
      </c>
      <c r="C130" s="13">
        <f>IFERROR(INDEX('Raw Data'!O:O,MATCH($A130,'Raw Data'!$C:$C,0)),0)</f>
        <v>0.67188202070000003</v>
      </c>
      <c r="D130" s="13">
        <f>IFERROR(INDEX('Raw Data'!P:P,MATCH($A130,'Raw Data'!$C:$C,0)),0)</f>
        <v>0.7861713226</v>
      </c>
      <c r="E130" s="12">
        <f>IFERROR(INDEX('Raw Data'!T:T,MATCH($A130,'Raw Data'!$C:$C,0)),0)</f>
        <v>251</v>
      </c>
      <c r="F130" s="12">
        <f>IFERROR(INDEX('Raw Data'!U:U,MATCH($A130,'Raw Data'!$C:$C,0)),0)</f>
        <v>6275</v>
      </c>
      <c r="G130" s="23">
        <f>IFERROR(INDEX('Raw Data'!V:V,MATCH($A130,'Raw Data'!$C:$C,0)),0)</f>
        <v>25</v>
      </c>
      <c r="H130" s="12">
        <f>IFERROR(INDEX('Raw Data'!W:W,MATCH($A130,'Raw Data'!$C:$C,0)),0)</f>
        <v>6705.11</v>
      </c>
      <c r="I130" s="24">
        <f t="shared" si="5"/>
        <v>1.0685434262948206</v>
      </c>
    </row>
    <row r="131" spans="1:9" ht="15" customHeight="1" x14ac:dyDescent="0.35">
      <c r="A131" s="7" t="s">
        <v>125</v>
      </c>
      <c r="B131" s="10">
        <f>IFERROR(INDEX('Raw Data'!D:D,MATCH($A131,'Raw Data'!$C:$C,0)),0)</f>
        <v>744.00139999999897</v>
      </c>
      <c r="C131" s="9">
        <f>IFERROR(INDEX('Raw Data'!O:O,MATCH($A131,'Raw Data'!$C:$C,0)),0)</f>
        <v>0.26406146549999998</v>
      </c>
      <c r="D131" s="9">
        <f>IFERROR(INDEX('Raw Data'!P:P,MATCH($A131,'Raw Data'!$C:$C,0)),0)</f>
        <v>0.6335649471</v>
      </c>
      <c r="E131" s="8">
        <f>IFERROR(INDEX('Raw Data'!T:T,MATCH($A131,'Raw Data'!$C:$C,0)),0)</f>
        <v>249</v>
      </c>
      <c r="F131" s="8">
        <f>IFERROR(INDEX('Raw Data'!U:U,MATCH($A131,'Raw Data'!$C:$C,0)),0)</f>
        <v>6225</v>
      </c>
      <c r="G131" s="21">
        <f>IFERROR(INDEX('Raw Data'!V:V,MATCH($A131,'Raw Data'!$C:$C,0)),0)</f>
        <v>25</v>
      </c>
      <c r="H131" s="8">
        <f>IFERROR(INDEX('Raw Data'!W:W,MATCH($A131,'Raw Data'!$C:$C,0)),0)</f>
        <v>2249.4399999999901</v>
      </c>
      <c r="I131" s="22">
        <f t="shared" ref="I131:I140" si="6">IFERROR(H131/F131,"-")</f>
        <v>0.36135582329317112</v>
      </c>
    </row>
    <row r="132" spans="1:9" ht="15" customHeight="1" x14ac:dyDescent="0.35">
      <c r="A132" s="11" t="s">
        <v>102</v>
      </c>
      <c r="B132" s="14">
        <f>IFERROR(INDEX('Raw Data'!D:D,MATCH($A132,'Raw Data'!$C:$C,0)),0)</f>
        <v>744.00129999999899</v>
      </c>
      <c r="C132" s="13">
        <f>IFERROR(INDEX('Raw Data'!O:O,MATCH($A132,'Raw Data'!$C:$C,0)),0)</f>
        <v>0.56314350530000001</v>
      </c>
      <c r="D132" s="13">
        <f>IFERROR(INDEX('Raw Data'!P:P,MATCH($A132,'Raw Data'!$C:$C,0)),0)</f>
        <v>0.71363658600000002</v>
      </c>
      <c r="E132" s="12">
        <f>IFERROR(INDEX('Raw Data'!T:T,MATCH($A132,'Raw Data'!$C:$C,0)),0)</f>
        <v>236</v>
      </c>
      <c r="F132" s="12">
        <f>IFERROR(INDEX('Raw Data'!U:U,MATCH($A132,'Raw Data'!$C:$C,0)),0)</f>
        <v>5900</v>
      </c>
      <c r="G132" s="23">
        <f>IFERROR(INDEX('Raw Data'!V:V,MATCH($A132,'Raw Data'!$C:$C,0)),0)</f>
        <v>25</v>
      </c>
      <c r="H132" s="12">
        <f>IFERROR(INDEX('Raw Data'!W:W,MATCH($A132,'Raw Data'!$C:$C,0)),0)</f>
        <v>4774.25</v>
      </c>
      <c r="I132" s="24">
        <f t="shared" si="6"/>
        <v>0.80919491525423726</v>
      </c>
    </row>
    <row r="133" spans="1:9" ht="15" customHeight="1" x14ac:dyDescent="0.35">
      <c r="A133" s="7" t="s">
        <v>104</v>
      </c>
      <c r="B133" s="10">
        <f>IFERROR(INDEX('Raw Data'!D:D,MATCH($A133,'Raw Data'!$C:$C,0)),0)</f>
        <v>744.00059999999996</v>
      </c>
      <c r="C133" s="9">
        <f>IFERROR(INDEX('Raw Data'!O:O,MATCH($A133,'Raw Data'!$C:$C,0)),0)</f>
        <v>0.39052266889999998</v>
      </c>
      <c r="D133" s="9">
        <f>IFERROR(INDEX('Raw Data'!P:P,MATCH($A133,'Raw Data'!$C:$C,0)),0)</f>
        <v>0.71071429919999995</v>
      </c>
      <c r="E133" s="8">
        <f>IFERROR(INDEX('Raw Data'!T:T,MATCH($A133,'Raw Data'!$C:$C,0)),0)</f>
        <v>231</v>
      </c>
      <c r="F133" s="8">
        <f>IFERROR(INDEX('Raw Data'!U:U,MATCH($A133,'Raw Data'!$C:$C,0)),0)</f>
        <v>5775</v>
      </c>
      <c r="G133" s="21">
        <f>IFERROR(INDEX('Raw Data'!V:V,MATCH($A133,'Raw Data'!$C:$C,0)),0)</f>
        <v>25</v>
      </c>
      <c r="H133" s="8">
        <f>IFERROR(INDEX('Raw Data'!W:W,MATCH($A133,'Raw Data'!$C:$C,0)),0)</f>
        <v>3311.53999999999</v>
      </c>
      <c r="I133" s="22">
        <f t="shared" si="6"/>
        <v>0.57342683982683806</v>
      </c>
    </row>
    <row r="134" spans="1:9" ht="15" customHeight="1" x14ac:dyDescent="0.35">
      <c r="A134" s="11" t="s">
        <v>117</v>
      </c>
      <c r="B134" s="14">
        <f>IFERROR(INDEX('Raw Data'!D:D,MATCH($A134,'Raw Data'!$C:$C,0)),0)</f>
        <v>744</v>
      </c>
      <c r="C134" s="13">
        <f>IFERROR(INDEX('Raw Data'!O:O,MATCH($A134,'Raw Data'!$C:$C,0)),0)</f>
        <v>1.6047715099999998E-2</v>
      </c>
      <c r="D134" s="13">
        <f>IFERROR(INDEX('Raw Data'!P:P,MATCH($A134,'Raw Data'!$C:$C,0)),0)</f>
        <v>0.82994262740000002</v>
      </c>
      <c r="E134" s="12">
        <f>IFERROR(INDEX('Raw Data'!T:T,MATCH($A134,'Raw Data'!$C:$C,0)),0)</f>
        <v>217</v>
      </c>
      <c r="F134" s="12">
        <f>IFERROR(INDEX('Raw Data'!U:U,MATCH($A134,'Raw Data'!$C:$C,0)),0)</f>
        <v>5425</v>
      </c>
      <c r="G134" s="23">
        <f>IFERROR(INDEX('Raw Data'!V:V,MATCH($A134,'Raw Data'!$C:$C,0)),0)</f>
        <v>25</v>
      </c>
      <c r="H134" s="12">
        <f>IFERROR(INDEX('Raw Data'!W:W,MATCH($A134,'Raw Data'!$C:$C,0)),0)</f>
        <v>1084.33</v>
      </c>
      <c r="I134" s="24">
        <f t="shared" si="6"/>
        <v>0.19987649769585253</v>
      </c>
    </row>
    <row r="135" spans="1:9" ht="15" customHeight="1" x14ac:dyDescent="0.35">
      <c r="A135" s="7" t="s">
        <v>114</v>
      </c>
      <c r="B135" s="10">
        <f>IFERROR(INDEX('Raw Data'!D:D,MATCH($A135,'Raw Data'!$C:$C,0)),0)</f>
        <v>738.04569999999899</v>
      </c>
      <c r="C135" s="9">
        <f>IFERROR(INDEX('Raw Data'!O:O,MATCH($A135,'Raw Data'!$C:$C,0)),0)</f>
        <v>0.2441580515</v>
      </c>
      <c r="D135" s="9">
        <f>IFERROR(INDEX('Raw Data'!P:P,MATCH($A135,'Raw Data'!$C:$C,0)),0)</f>
        <v>0.64915776820000004</v>
      </c>
      <c r="E135" s="8">
        <f>IFERROR(INDEX('Raw Data'!T:T,MATCH($A135,'Raw Data'!$C:$C,0)),0)</f>
        <v>164</v>
      </c>
      <c r="F135" s="8">
        <f>IFERROR(INDEX('Raw Data'!U:U,MATCH($A135,'Raw Data'!$C:$C,0)),0)</f>
        <v>4100</v>
      </c>
      <c r="G135" s="21">
        <f>IFERROR(INDEX('Raw Data'!V:V,MATCH($A135,'Raw Data'!$C:$C,0)),0)</f>
        <v>25</v>
      </c>
      <c r="H135" s="8">
        <f>IFERROR(INDEX('Raw Data'!W:W,MATCH($A135,'Raw Data'!$C:$C,0)),0)</f>
        <v>1816.21</v>
      </c>
      <c r="I135" s="22">
        <f t="shared" si="6"/>
        <v>0.4429780487804878</v>
      </c>
    </row>
    <row r="136" spans="1:9" ht="15" customHeight="1" x14ac:dyDescent="0.35">
      <c r="A136" s="11" t="s">
        <v>119</v>
      </c>
      <c r="B136" s="14">
        <f>IFERROR(INDEX('Raw Data'!D:D,MATCH($A136,'Raw Data'!$C:$C,0)),0)</f>
        <v>744.00059999999905</v>
      </c>
      <c r="C136" s="13">
        <f>IFERROR(INDEX('Raw Data'!O:O,MATCH($A136,'Raw Data'!$C:$C,0)),0)</f>
        <v>2.8713148899999999E-2</v>
      </c>
      <c r="D136" s="13">
        <f>IFERROR(INDEX('Raw Data'!P:P,MATCH($A136,'Raw Data'!$C:$C,0)),0)</f>
        <v>0.70144551690000001</v>
      </c>
      <c r="E136" s="12">
        <f>IFERROR(INDEX('Raw Data'!T:T,MATCH($A136,'Raw Data'!$C:$C,0)),0)</f>
        <v>135</v>
      </c>
      <c r="F136" s="12">
        <f>IFERROR(INDEX('Raw Data'!U:U,MATCH($A136,'Raw Data'!$C:$C,0)),0)</f>
        <v>3375</v>
      </c>
      <c r="G136" s="23">
        <f>IFERROR(INDEX('Raw Data'!V:V,MATCH($A136,'Raw Data'!$C:$C,0)),0)</f>
        <v>25</v>
      </c>
      <c r="H136" s="12">
        <f>IFERROR(INDEX('Raw Data'!W:W,MATCH($A136,'Raw Data'!$C:$C,0)),0)</f>
        <v>378.37</v>
      </c>
      <c r="I136" s="24">
        <f t="shared" si="6"/>
        <v>0.11210962962962963</v>
      </c>
    </row>
    <row r="137" spans="1:9" ht="15" customHeight="1" x14ac:dyDescent="0.35">
      <c r="A137" s="7" t="s">
        <v>170</v>
      </c>
      <c r="B137" s="10">
        <f>IFERROR(INDEX('Raw Data'!D:D,MATCH($A137,'Raw Data'!$C:$C,0)),0)</f>
        <v>743.99969999999996</v>
      </c>
      <c r="C137" s="9">
        <f>IFERROR(INDEX('Raw Data'!O:O,MATCH($A137,'Raw Data'!$C:$C,0)),0)</f>
        <v>0.72320405509999997</v>
      </c>
      <c r="D137" s="9">
        <f>IFERROR(INDEX('Raw Data'!P:P,MATCH($A137,'Raw Data'!$C:$C,0)),0)</f>
        <v>0.87097045780000004</v>
      </c>
      <c r="E137" s="8">
        <f>IFERROR(INDEX('Raw Data'!T:T,MATCH($A137,'Raw Data'!$C:$C,0)),0)</f>
        <v>80</v>
      </c>
      <c r="F137" s="8">
        <f>IFERROR(INDEX('Raw Data'!U:U,MATCH($A137,'Raw Data'!$C:$C,0)),0)</f>
        <v>3360</v>
      </c>
      <c r="G137" s="21">
        <f>IFERROR(INDEX('Raw Data'!V:V,MATCH($A137,'Raw Data'!$C:$C,0)),0)</f>
        <v>42</v>
      </c>
      <c r="H137" s="8">
        <f>IFERROR(INDEX('Raw Data'!W:W,MATCH($A137,'Raw Data'!$C:$C,0)),0)</f>
        <v>19766.919999999998</v>
      </c>
      <c r="I137" s="22">
        <f t="shared" si="6"/>
        <v>5.8830119047619043</v>
      </c>
    </row>
    <row r="138" spans="1:9" ht="15" customHeight="1" x14ac:dyDescent="0.35">
      <c r="A138" s="11" t="s">
        <v>120</v>
      </c>
      <c r="B138" s="14">
        <f>IFERROR(INDEX('Raw Data'!D:D,MATCH($A138,'Raw Data'!$C:$C,0)),0)</f>
        <v>744.000799999999</v>
      </c>
      <c r="C138" s="13">
        <f>IFERROR(INDEX('Raw Data'!O:O,MATCH($A138,'Raw Data'!$C:$C,0)),0)</f>
        <v>0.10150405749999999</v>
      </c>
      <c r="D138" s="13">
        <f>IFERROR(INDEX('Raw Data'!P:P,MATCH($A138,'Raw Data'!$C:$C,0)),0)</f>
        <v>0.78434197439999997</v>
      </c>
      <c r="E138" s="12">
        <f>IFERROR(INDEX('Raw Data'!T:T,MATCH($A138,'Raw Data'!$C:$C,0)),0)</f>
        <v>105</v>
      </c>
      <c r="F138" s="12">
        <f>IFERROR(INDEX('Raw Data'!U:U,MATCH($A138,'Raw Data'!$C:$C,0)),0)</f>
        <v>2625</v>
      </c>
      <c r="G138" s="23">
        <f>IFERROR(INDEX('Raw Data'!V:V,MATCH($A138,'Raw Data'!$C:$C,0)),0)</f>
        <v>25</v>
      </c>
      <c r="H138" s="12">
        <f>IFERROR(INDEX('Raw Data'!W:W,MATCH($A138,'Raw Data'!$C:$C,0)),0)</f>
        <v>1525.22</v>
      </c>
      <c r="I138" s="24">
        <f t="shared" si="6"/>
        <v>0.58103619047619048</v>
      </c>
    </row>
    <row r="139" spans="1:9" ht="15" customHeight="1" x14ac:dyDescent="0.35">
      <c r="A139" s="7" t="s">
        <v>177</v>
      </c>
      <c r="B139" s="10">
        <f>IFERROR(INDEX('Raw Data'!D:D,MATCH($A139,'Raw Data'!$C:$C,0)),0)</f>
        <v>744.000799999999</v>
      </c>
      <c r="C139" s="9">
        <f>IFERROR(INDEX('Raw Data'!O:O,MATCH($A139,'Raw Data'!$C:$C,0)),0)</f>
        <v>0.64991502700000003</v>
      </c>
      <c r="D139" s="9">
        <f>IFERROR(INDEX('Raw Data'!P:P,MATCH($A139,'Raw Data'!$C:$C,0)),0)</f>
        <v>0.85859705139999998</v>
      </c>
      <c r="E139" s="8">
        <f>IFERROR(INDEX('Raw Data'!T:T,MATCH($A139,'Raw Data'!$C:$C,0)),0)</f>
        <v>0</v>
      </c>
      <c r="F139" s="8">
        <f>IFERROR(INDEX('Raw Data'!U:U,MATCH($A139,'Raw Data'!$C:$C,0)),0)</f>
        <v>0</v>
      </c>
      <c r="G139" s="21">
        <f>IFERROR(INDEX('Raw Data'!V:V,MATCH($A139,'Raw Data'!$C:$C,0)),0)</f>
        <v>42</v>
      </c>
      <c r="H139" s="8">
        <f>IFERROR(INDEX('Raw Data'!W:W,MATCH($A139,'Raw Data'!$C:$C,0)),0)</f>
        <v>18738.73</v>
      </c>
      <c r="I139" s="22" t="str">
        <f t="shared" si="6"/>
        <v>-</v>
      </c>
    </row>
    <row r="140" spans="1:9" ht="15" customHeight="1" x14ac:dyDescent="0.35">
      <c r="A140" s="11" t="s">
        <v>168</v>
      </c>
      <c r="B140" s="14">
        <f>IFERROR(INDEX('Raw Data'!D:D,MATCH($A140,'Raw Data'!$C:$C,0)),0)</f>
        <v>744.00039999999899</v>
      </c>
      <c r="C140" s="13">
        <f>IFERROR(INDEX('Raw Data'!O:O,MATCH($A140,'Raw Data'!$C:$C,0)),0)</f>
        <v>0.90972625819999997</v>
      </c>
      <c r="D140" s="13">
        <f>IFERROR(INDEX('Raw Data'!P:P,MATCH($A140,'Raw Data'!$C:$C,0)),0)</f>
        <v>0.68849842210000001</v>
      </c>
      <c r="E140" s="12">
        <f>IFERROR(INDEX('Raw Data'!T:T,MATCH($A140,'Raw Data'!$C:$C,0)),0)</f>
        <v>0</v>
      </c>
      <c r="F140" s="12">
        <f>IFERROR(INDEX('Raw Data'!U:U,MATCH($A140,'Raw Data'!$C:$C,0)),0)</f>
        <v>0</v>
      </c>
      <c r="G140" s="23">
        <f>IFERROR(INDEX('Raw Data'!V:V,MATCH($A140,'Raw Data'!$C:$C,0)),0)</f>
        <v>28</v>
      </c>
      <c r="H140" s="12">
        <f>IFERROR(INDEX('Raw Data'!W:W,MATCH($A140,'Raw Data'!$C:$C,0)),0)</f>
        <v>9210.2000000000007</v>
      </c>
      <c r="I140" s="24" t="str">
        <f t="shared" si="6"/>
        <v>-</v>
      </c>
    </row>
  </sheetData>
  <mergeCells count="3">
    <mergeCell ref="A1:I1"/>
    <mergeCell ref="A3:I3"/>
    <mergeCell ref="A65:I6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9"/>
  <sheetViews>
    <sheetView showGridLines="0" zoomScaleNormal="100" workbookViewId="0">
      <pane ySplit="2" topLeftCell="A84" activePane="bottomLeft" state="frozen"/>
      <selection pane="bottomLeft" activeCell="C20" sqref="C20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38" customWidth="1"/>
    <col min="4" max="4" width="35" customWidth="1"/>
    <col min="5" max="5" width="48" customWidth="1"/>
    <col min="6" max="6" width="35" customWidth="1"/>
  </cols>
  <sheetData>
    <row r="1" spans="1:6" ht="27.75" customHeight="1" x14ac:dyDescent="0.35">
      <c r="A1" s="63" t="s">
        <v>314</v>
      </c>
      <c r="B1" s="63"/>
      <c r="C1" s="63"/>
      <c r="D1" s="63"/>
      <c r="E1" s="63"/>
      <c r="F1" s="63"/>
    </row>
    <row r="3" spans="1:6" ht="18" customHeight="1" x14ac:dyDescent="0.35">
      <c r="A3" s="60" t="s">
        <v>315</v>
      </c>
      <c r="B3" s="60"/>
      <c r="C3" s="60"/>
      <c r="D3" s="60"/>
      <c r="E3" s="60"/>
      <c r="F3" s="60"/>
    </row>
    <row r="4" spans="1:6" ht="21.75" customHeight="1" x14ac:dyDescent="0.35">
      <c r="A4" s="61" t="s">
        <v>316</v>
      </c>
      <c r="B4" s="61"/>
      <c r="C4" s="61"/>
      <c r="D4" s="61"/>
      <c r="E4" s="61"/>
      <c r="F4" s="61"/>
    </row>
    <row r="5" spans="1:6" ht="25.5" customHeight="1" x14ac:dyDescent="0.35">
      <c r="A5" s="25" t="s">
        <v>3</v>
      </c>
      <c r="B5" s="25" t="s">
        <v>246</v>
      </c>
      <c r="C5" s="25" t="s">
        <v>274</v>
      </c>
      <c r="D5" s="25" t="s">
        <v>309</v>
      </c>
      <c r="E5" s="25" t="s">
        <v>317</v>
      </c>
      <c r="F5" s="25" t="s">
        <v>318</v>
      </c>
    </row>
    <row r="6" spans="1:6" ht="15" customHeight="1" x14ac:dyDescent="0.35">
      <c r="A6" s="26" t="s">
        <v>36</v>
      </c>
      <c r="B6" s="26" t="s">
        <v>32</v>
      </c>
      <c r="C6" s="26">
        <v>744</v>
      </c>
      <c r="D6" s="26" t="s">
        <v>319</v>
      </c>
      <c r="E6" s="26" t="s">
        <v>320</v>
      </c>
      <c r="F6" s="26" t="s">
        <v>321</v>
      </c>
    </row>
    <row r="7" spans="1:6" ht="15" customHeight="1" x14ac:dyDescent="0.35">
      <c r="A7" s="27" t="s">
        <v>39</v>
      </c>
      <c r="B7" s="27" t="s">
        <v>32</v>
      </c>
      <c r="C7" s="27">
        <v>744</v>
      </c>
      <c r="D7" s="27" t="s">
        <v>319</v>
      </c>
      <c r="E7" s="27" t="s">
        <v>320</v>
      </c>
      <c r="F7" s="27" t="s">
        <v>321</v>
      </c>
    </row>
    <row r="8" spans="1:6" ht="15" customHeight="1" x14ac:dyDescent="0.35">
      <c r="A8" s="26" t="s">
        <v>42</v>
      </c>
      <c r="B8" s="26" t="s">
        <v>32</v>
      </c>
      <c r="C8" s="26">
        <v>744</v>
      </c>
      <c r="D8" s="26" t="s">
        <v>319</v>
      </c>
      <c r="E8" s="26" t="s">
        <v>320</v>
      </c>
      <c r="F8" s="26" t="s">
        <v>321</v>
      </c>
    </row>
    <row r="9" spans="1:6" ht="15" customHeight="1" x14ac:dyDescent="0.35">
      <c r="A9" s="27" t="s">
        <v>44</v>
      </c>
      <c r="B9" s="27" t="s">
        <v>32</v>
      </c>
      <c r="C9" s="27">
        <v>744</v>
      </c>
      <c r="D9" s="27" t="s">
        <v>319</v>
      </c>
      <c r="E9" s="27" t="s">
        <v>320</v>
      </c>
      <c r="F9" s="27" t="s">
        <v>321</v>
      </c>
    </row>
    <row r="10" spans="1:6" ht="15" customHeight="1" x14ac:dyDescent="0.35">
      <c r="A10" s="26" t="s">
        <v>52</v>
      </c>
      <c r="B10" s="26" t="s">
        <v>32</v>
      </c>
      <c r="C10" s="26">
        <v>744</v>
      </c>
      <c r="D10" s="26" t="s">
        <v>319</v>
      </c>
      <c r="E10" s="26" t="s">
        <v>320</v>
      </c>
      <c r="F10" s="26" t="s">
        <v>321</v>
      </c>
    </row>
    <row r="11" spans="1:6" ht="15" customHeight="1" x14ac:dyDescent="0.35">
      <c r="A11" s="27" t="s">
        <v>54</v>
      </c>
      <c r="B11" s="27" t="s">
        <v>32</v>
      </c>
      <c r="C11" s="27">
        <v>744</v>
      </c>
      <c r="D11" s="27" t="s">
        <v>319</v>
      </c>
      <c r="E11" s="27" t="s">
        <v>320</v>
      </c>
      <c r="F11" s="27" t="s">
        <v>321</v>
      </c>
    </row>
    <row r="12" spans="1:6" ht="15" customHeight="1" x14ac:dyDescent="0.35">
      <c r="A12" s="26" t="s">
        <v>77</v>
      </c>
      <c r="B12" s="26" t="s">
        <v>32</v>
      </c>
      <c r="C12" s="26">
        <v>744</v>
      </c>
      <c r="D12" s="26" t="s">
        <v>319</v>
      </c>
      <c r="E12" s="26" t="s">
        <v>320</v>
      </c>
      <c r="F12" s="26" t="s">
        <v>321</v>
      </c>
    </row>
    <row r="13" spans="1:6" ht="15" customHeight="1" x14ac:dyDescent="0.35">
      <c r="A13" s="27" t="s">
        <v>83</v>
      </c>
      <c r="B13" s="27" t="s">
        <v>32</v>
      </c>
      <c r="C13" s="27">
        <v>744</v>
      </c>
      <c r="D13" s="27" t="s">
        <v>319</v>
      </c>
      <c r="E13" s="27" t="s">
        <v>320</v>
      </c>
      <c r="F13" s="27" t="s">
        <v>321</v>
      </c>
    </row>
    <row r="14" spans="1:6" ht="15" customHeight="1" x14ac:dyDescent="0.35">
      <c r="A14" s="26" t="s">
        <v>113</v>
      </c>
      <c r="B14" s="26" t="s">
        <v>101</v>
      </c>
      <c r="C14" s="26">
        <v>744</v>
      </c>
      <c r="D14" s="26" t="s">
        <v>319</v>
      </c>
      <c r="E14" s="26" t="s">
        <v>320</v>
      </c>
      <c r="F14" s="26" t="s">
        <v>321</v>
      </c>
    </row>
    <row r="15" spans="1:6" ht="15" customHeight="1" x14ac:dyDescent="0.35">
      <c r="A15" s="27" t="s">
        <v>122</v>
      </c>
      <c r="B15" s="27" t="s">
        <v>101</v>
      </c>
      <c r="C15" s="27">
        <v>744</v>
      </c>
      <c r="D15" s="27">
        <v>526</v>
      </c>
      <c r="E15" s="27" t="s">
        <v>320</v>
      </c>
      <c r="F15" s="27" t="s">
        <v>321</v>
      </c>
    </row>
    <row r="16" spans="1:6" ht="15" customHeight="1" x14ac:dyDescent="0.35">
      <c r="A16" s="26" t="s">
        <v>176</v>
      </c>
      <c r="B16" s="26" t="s">
        <v>101</v>
      </c>
      <c r="C16" s="26">
        <v>744</v>
      </c>
      <c r="D16" s="26" t="s">
        <v>319</v>
      </c>
      <c r="E16" s="26" t="s">
        <v>320</v>
      </c>
      <c r="F16" s="26" t="s">
        <v>321</v>
      </c>
    </row>
    <row r="17" spans="1:6" ht="15" customHeight="1" x14ac:dyDescent="0.35">
      <c r="A17" s="27" t="s">
        <v>197</v>
      </c>
      <c r="B17" s="27" t="s">
        <v>181</v>
      </c>
      <c r="C17" s="27">
        <v>744</v>
      </c>
      <c r="D17" s="27" t="s">
        <v>319</v>
      </c>
      <c r="E17" s="27" t="s">
        <v>320</v>
      </c>
      <c r="F17" s="27" t="s">
        <v>321</v>
      </c>
    </row>
    <row r="18" spans="1:6" ht="15" customHeight="1" x14ac:dyDescent="0.35">
      <c r="A18" s="26" t="s">
        <v>207</v>
      </c>
      <c r="B18" s="26" t="s">
        <v>199</v>
      </c>
      <c r="C18" s="26">
        <v>744</v>
      </c>
      <c r="D18" s="26" t="s">
        <v>319</v>
      </c>
      <c r="E18" s="26" t="s">
        <v>320</v>
      </c>
      <c r="F18" s="26" t="s">
        <v>321</v>
      </c>
    </row>
    <row r="19" spans="1:6" ht="15" customHeight="1" x14ac:dyDescent="0.35">
      <c r="A19" s="27" t="s">
        <v>222</v>
      </c>
      <c r="B19" s="27" t="s">
        <v>199</v>
      </c>
      <c r="C19" s="27">
        <v>744</v>
      </c>
      <c r="D19" s="27">
        <v>15108</v>
      </c>
      <c r="E19" s="27" t="s">
        <v>320</v>
      </c>
      <c r="F19" s="27" t="s">
        <v>321</v>
      </c>
    </row>
    <row r="21" spans="1:6" ht="18" customHeight="1" x14ac:dyDescent="0.35">
      <c r="A21" s="60" t="s">
        <v>322</v>
      </c>
      <c r="B21" s="60"/>
      <c r="C21" s="60"/>
      <c r="D21" s="60"/>
      <c r="E21" s="60"/>
      <c r="F21" s="60"/>
    </row>
    <row r="22" spans="1:6" ht="21.75" customHeight="1" x14ac:dyDescent="0.35">
      <c r="A22" s="61" t="s">
        <v>323</v>
      </c>
      <c r="B22" s="61"/>
      <c r="C22" s="61"/>
      <c r="D22" s="61"/>
      <c r="E22" s="61"/>
      <c r="F22" s="61"/>
    </row>
    <row r="23" spans="1:6" ht="25.5" customHeight="1" x14ac:dyDescent="0.35">
      <c r="A23" s="25" t="s">
        <v>3</v>
      </c>
      <c r="B23" s="25" t="s">
        <v>246</v>
      </c>
      <c r="C23" s="25" t="s">
        <v>276</v>
      </c>
      <c r="D23" s="25" t="s">
        <v>274</v>
      </c>
      <c r="E23" s="25" t="s">
        <v>275</v>
      </c>
      <c r="F23" s="25" t="s">
        <v>273</v>
      </c>
    </row>
    <row r="24" spans="1:6" ht="15" customHeight="1" x14ac:dyDescent="0.35">
      <c r="A24" s="28" t="s">
        <v>179</v>
      </c>
      <c r="B24" s="28" t="s">
        <v>101</v>
      </c>
      <c r="C24" s="29">
        <v>1.6000000000000001E-3</v>
      </c>
      <c r="D24" s="30">
        <v>742.8</v>
      </c>
      <c r="E24" s="30">
        <v>0</v>
      </c>
      <c r="F24" s="30">
        <v>1.2</v>
      </c>
    </row>
    <row r="25" spans="1:6" ht="15" customHeight="1" x14ac:dyDescent="0.35">
      <c r="A25" s="31" t="s">
        <v>35</v>
      </c>
      <c r="B25" s="31" t="s">
        <v>32</v>
      </c>
      <c r="C25" s="32">
        <v>2.2000000000000001E-3</v>
      </c>
      <c r="D25" s="33">
        <v>742.4</v>
      </c>
      <c r="E25" s="33">
        <v>0.8</v>
      </c>
      <c r="F25" s="33">
        <v>1.6</v>
      </c>
    </row>
    <row r="26" spans="1:6" ht="15" customHeight="1" x14ac:dyDescent="0.35">
      <c r="A26" s="28" t="s">
        <v>230</v>
      </c>
      <c r="B26" s="28" t="s">
        <v>228</v>
      </c>
      <c r="C26" s="29">
        <v>1.17E-2</v>
      </c>
      <c r="D26" s="30">
        <v>731.2</v>
      </c>
      <c r="E26" s="30">
        <v>0.8</v>
      </c>
      <c r="F26" s="30">
        <v>8.6</v>
      </c>
    </row>
    <row r="27" spans="1:6" ht="15" customHeight="1" x14ac:dyDescent="0.35">
      <c r="A27" s="31" t="s">
        <v>117</v>
      </c>
      <c r="B27" s="31" t="s">
        <v>101</v>
      </c>
      <c r="C27" s="32">
        <v>1.6E-2</v>
      </c>
      <c r="D27" s="33">
        <v>732.1</v>
      </c>
      <c r="E27" s="33">
        <v>1.7</v>
      </c>
      <c r="F27" s="33">
        <v>11.9</v>
      </c>
    </row>
    <row r="28" spans="1:6" ht="15" customHeight="1" x14ac:dyDescent="0.35">
      <c r="A28" s="28" t="s">
        <v>33</v>
      </c>
      <c r="B28" s="28" t="s">
        <v>32</v>
      </c>
      <c r="C28" s="29">
        <v>2.3E-2</v>
      </c>
      <c r="D28" s="30">
        <v>726.9</v>
      </c>
      <c r="E28" s="30">
        <v>15</v>
      </c>
      <c r="F28" s="30">
        <v>17.100000000000001</v>
      </c>
    </row>
    <row r="29" spans="1:6" ht="15" customHeight="1" x14ac:dyDescent="0.35">
      <c r="A29" s="31" t="s">
        <v>119</v>
      </c>
      <c r="B29" s="31" t="s">
        <v>101</v>
      </c>
      <c r="C29" s="32">
        <v>2.87E-2</v>
      </c>
      <c r="D29" s="33">
        <v>722.6</v>
      </c>
      <c r="E29" s="33">
        <v>5.8</v>
      </c>
      <c r="F29" s="33">
        <v>21.4</v>
      </c>
    </row>
    <row r="30" spans="1:6" ht="15" customHeight="1" x14ac:dyDescent="0.35">
      <c r="A30" s="28" t="s">
        <v>224</v>
      </c>
      <c r="B30" s="28" t="s">
        <v>199</v>
      </c>
      <c r="C30" s="29">
        <v>6.9400000000000003E-2</v>
      </c>
      <c r="D30" s="30">
        <v>692.3</v>
      </c>
      <c r="E30" s="30">
        <v>7.2</v>
      </c>
      <c r="F30" s="30">
        <v>51.7</v>
      </c>
    </row>
    <row r="31" spans="1:6" ht="15" customHeight="1" x14ac:dyDescent="0.35">
      <c r="A31" s="31" t="s">
        <v>37</v>
      </c>
      <c r="B31" s="31" t="s">
        <v>32</v>
      </c>
      <c r="C31" s="32">
        <v>8.5699999999999998E-2</v>
      </c>
      <c r="D31" s="33">
        <v>676.2</v>
      </c>
      <c r="E31" s="33">
        <v>57.8</v>
      </c>
      <c r="F31" s="33">
        <v>63.4</v>
      </c>
    </row>
    <row r="32" spans="1:6" ht="15" customHeight="1" x14ac:dyDescent="0.35">
      <c r="A32" s="28" t="s">
        <v>40</v>
      </c>
      <c r="B32" s="28" t="s">
        <v>32</v>
      </c>
      <c r="C32" s="29">
        <v>9.6799999999999997E-2</v>
      </c>
      <c r="D32" s="30">
        <v>672</v>
      </c>
      <c r="E32" s="30">
        <v>71.900000000000006</v>
      </c>
      <c r="F32" s="30">
        <v>72</v>
      </c>
    </row>
    <row r="33" spans="1:6" ht="15" customHeight="1" x14ac:dyDescent="0.35">
      <c r="A33" s="31" t="s">
        <v>120</v>
      </c>
      <c r="B33" s="31" t="s">
        <v>101</v>
      </c>
      <c r="C33" s="32">
        <v>0.10150000000000001</v>
      </c>
      <c r="D33" s="33">
        <v>668.5</v>
      </c>
      <c r="E33" s="33">
        <v>13.2</v>
      </c>
      <c r="F33" s="33">
        <v>75.5</v>
      </c>
    </row>
    <row r="34" spans="1:6" ht="15" customHeight="1" x14ac:dyDescent="0.35">
      <c r="A34" s="28">
        <v>12</v>
      </c>
      <c r="B34" s="28" t="s">
        <v>32</v>
      </c>
      <c r="C34" s="29">
        <v>0.10589999999999999</v>
      </c>
      <c r="D34" s="30">
        <v>664.9</v>
      </c>
      <c r="E34" s="30">
        <v>67.5</v>
      </c>
      <c r="F34" s="30">
        <v>78.7</v>
      </c>
    </row>
    <row r="35" spans="1:6" ht="15" customHeight="1" x14ac:dyDescent="0.35">
      <c r="A35" s="31" t="s">
        <v>118</v>
      </c>
      <c r="B35" s="31" t="s">
        <v>101</v>
      </c>
      <c r="C35" s="32">
        <v>0.1167</v>
      </c>
      <c r="D35" s="33">
        <v>657.2</v>
      </c>
      <c r="E35" s="33">
        <v>35.4</v>
      </c>
      <c r="F35" s="33">
        <v>86.8</v>
      </c>
    </row>
    <row r="36" spans="1:6" ht="15" customHeight="1" x14ac:dyDescent="0.35">
      <c r="A36" s="28" t="s">
        <v>86</v>
      </c>
      <c r="B36" s="28" t="s">
        <v>32</v>
      </c>
      <c r="C36" s="29">
        <v>0.12280000000000001</v>
      </c>
      <c r="D36" s="30">
        <v>652.6</v>
      </c>
      <c r="E36" s="30">
        <v>91.3</v>
      </c>
      <c r="F36" s="30">
        <v>91.4</v>
      </c>
    </row>
    <row r="37" spans="1:6" ht="15" customHeight="1" x14ac:dyDescent="0.35">
      <c r="A37" s="31" t="s">
        <v>96</v>
      </c>
      <c r="B37" s="31" t="s">
        <v>32</v>
      </c>
      <c r="C37" s="32">
        <v>0.1231</v>
      </c>
      <c r="D37" s="33">
        <v>652.4</v>
      </c>
      <c r="E37" s="33">
        <v>60.7</v>
      </c>
      <c r="F37" s="33">
        <v>91.6</v>
      </c>
    </row>
    <row r="38" spans="1:6" ht="15" customHeight="1" x14ac:dyDescent="0.35">
      <c r="A38" s="28" t="s">
        <v>81</v>
      </c>
      <c r="B38" s="28" t="s">
        <v>32</v>
      </c>
      <c r="C38" s="29">
        <v>0.17249999999999999</v>
      </c>
      <c r="D38" s="30">
        <v>615.70000000000005</v>
      </c>
      <c r="E38" s="30">
        <v>55</v>
      </c>
      <c r="F38" s="30">
        <v>128.30000000000001</v>
      </c>
    </row>
    <row r="39" spans="1:6" ht="15" customHeight="1" x14ac:dyDescent="0.35">
      <c r="A39" s="31" t="s">
        <v>108</v>
      </c>
      <c r="B39" s="31" t="s">
        <v>101</v>
      </c>
      <c r="C39" s="32">
        <v>0.2001</v>
      </c>
      <c r="D39" s="33">
        <v>595.1</v>
      </c>
      <c r="E39" s="33">
        <v>41.4</v>
      </c>
      <c r="F39" s="33">
        <v>148.9</v>
      </c>
    </row>
    <row r="40" spans="1:6" ht="15" customHeight="1" x14ac:dyDescent="0.35">
      <c r="A40" s="28" t="s">
        <v>43</v>
      </c>
      <c r="B40" s="28" t="s">
        <v>32</v>
      </c>
      <c r="C40" s="29">
        <v>0.20669999999999999</v>
      </c>
      <c r="D40" s="30">
        <v>590.20000000000005</v>
      </c>
      <c r="E40" s="30">
        <v>116.6</v>
      </c>
      <c r="F40" s="30">
        <v>153.80000000000001</v>
      </c>
    </row>
    <row r="41" spans="1:6" ht="15" customHeight="1" x14ac:dyDescent="0.35">
      <c r="A41" s="31" t="s">
        <v>204</v>
      </c>
      <c r="B41" s="31" t="s">
        <v>199</v>
      </c>
      <c r="C41" s="32">
        <v>0.2114</v>
      </c>
      <c r="D41" s="33">
        <v>586.70000000000005</v>
      </c>
      <c r="E41" s="33">
        <v>15.2</v>
      </c>
      <c r="F41" s="33">
        <v>157.30000000000001</v>
      </c>
    </row>
    <row r="42" spans="1:6" ht="15" customHeight="1" x14ac:dyDescent="0.35">
      <c r="A42" s="28" t="s">
        <v>34</v>
      </c>
      <c r="B42" s="28" t="s">
        <v>32</v>
      </c>
      <c r="C42" s="29">
        <v>0.22739999999999999</v>
      </c>
      <c r="D42" s="30">
        <v>574.79999999999995</v>
      </c>
      <c r="E42" s="30">
        <v>112.2</v>
      </c>
      <c r="F42" s="30">
        <v>169.2</v>
      </c>
    </row>
    <row r="43" spans="1:6" ht="15" customHeight="1" x14ac:dyDescent="0.35">
      <c r="A43" s="31" t="s">
        <v>138</v>
      </c>
      <c r="B43" s="31" t="s">
        <v>101</v>
      </c>
      <c r="C43" s="32">
        <v>0.24099999999999999</v>
      </c>
      <c r="D43" s="33">
        <v>564.70000000000005</v>
      </c>
      <c r="E43" s="33">
        <v>24.4</v>
      </c>
      <c r="F43" s="33">
        <v>179.3</v>
      </c>
    </row>
    <row r="44" spans="1:6" ht="15" customHeight="1" x14ac:dyDescent="0.35">
      <c r="A44" s="28" t="s">
        <v>114</v>
      </c>
      <c r="B44" s="28" t="s">
        <v>101</v>
      </c>
      <c r="C44" s="29">
        <v>0.2442</v>
      </c>
      <c r="D44" s="30">
        <v>557.79999999999995</v>
      </c>
      <c r="E44" s="30">
        <v>60.1</v>
      </c>
      <c r="F44" s="30">
        <v>180.2</v>
      </c>
    </row>
    <row r="45" spans="1:6" ht="15" customHeight="1" x14ac:dyDescent="0.35">
      <c r="A45" s="31" t="s">
        <v>210</v>
      </c>
      <c r="B45" s="31" t="s">
        <v>199</v>
      </c>
      <c r="C45" s="32">
        <v>0.24540000000000001</v>
      </c>
      <c r="D45" s="33">
        <v>561.4</v>
      </c>
      <c r="E45" s="33">
        <v>30.6</v>
      </c>
      <c r="F45" s="33">
        <v>182.6</v>
      </c>
    </row>
    <row r="46" spans="1:6" ht="15" customHeight="1" x14ac:dyDescent="0.35">
      <c r="A46" s="28" t="s">
        <v>182</v>
      </c>
      <c r="B46" s="28" t="s">
        <v>181</v>
      </c>
      <c r="C46" s="29">
        <v>0.2467</v>
      </c>
      <c r="D46" s="30">
        <v>558.29999999999995</v>
      </c>
      <c r="E46" s="30">
        <v>80.099999999999994</v>
      </c>
      <c r="F46" s="30">
        <v>182.9</v>
      </c>
    </row>
    <row r="47" spans="1:6" ht="15" customHeight="1" x14ac:dyDescent="0.35">
      <c r="A47" s="31" t="s">
        <v>218</v>
      </c>
      <c r="B47" s="31" t="s">
        <v>199</v>
      </c>
      <c r="C47" s="32">
        <v>0.2525</v>
      </c>
      <c r="D47" s="33">
        <v>556.1</v>
      </c>
      <c r="E47" s="33">
        <v>6.2</v>
      </c>
      <c r="F47" s="33">
        <v>187.9</v>
      </c>
    </row>
    <row r="48" spans="1:6" ht="15" customHeight="1" x14ac:dyDescent="0.35">
      <c r="A48" s="28" t="s">
        <v>125</v>
      </c>
      <c r="B48" s="28" t="s">
        <v>101</v>
      </c>
      <c r="C48" s="29">
        <v>0.2641</v>
      </c>
      <c r="D48" s="30">
        <v>547.5</v>
      </c>
      <c r="E48" s="30">
        <v>45.3</v>
      </c>
      <c r="F48" s="30">
        <v>196.5</v>
      </c>
    </row>
    <row r="49" spans="1:6" ht="15" customHeight="1" x14ac:dyDescent="0.35">
      <c r="A49" s="31" t="s">
        <v>41</v>
      </c>
      <c r="B49" s="31" t="s">
        <v>32</v>
      </c>
      <c r="C49" s="32">
        <v>0.26490000000000002</v>
      </c>
      <c r="D49" s="33">
        <v>546.9</v>
      </c>
      <c r="E49" s="33">
        <v>185</v>
      </c>
      <c r="F49" s="33">
        <v>197.1</v>
      </c>
    </row>
    <row r="50" spans="1:6" ht="15" customHeight="1" x14ac:dyDescent="0.35">
      <c r="A50" s="28" t="s">
        <v>141</v>
      </c>
      <c r="B50" s="28" t="s">
        <v>101</v>
      </c>
      <c r="C50" s="29">
        <v>0.26879999999999998</v>
      </c>
      <c r="D50" s="30">
        <v>544</v>
      </c>
      <c r="E50" s="30">
        <v>45.5</v>
      </c>
      <c r="F50" s="30">
        <v>200</v>
      </c>
    </row>
    <row r="51" spans="1:6" ht="15" customHeight="1" x14ac:dyDescent="0.35">
      <c r="A51" s="31" t="s">
        <v>221</v>
      </c>
      <c r="B51" s="31" t="s">
        <v>199</v>
      </c>
      <c r="C51" s="32">
        <v>0.27479999999999999</v>
      </c>
      <c r="D51" s="33">
        <v>539.6</v>
      </c>
      <c r="E51" s="33">
        <v>18.3</v>
      </c>
      <c r="F51" s="33">
        <v>204.4</v>
      </c>
    </row>
    <row r="52" spans="1:6" ht="15" customHeight="1" x14ac:dyDescent="0.35">
      <c r="A52" s="28" t="s">
        <v>70</v>
      </c>
      <c r="B52" s="28" t="s">
        <v>32</v>
      </c>
      <c r="C52" s="29">
        <v>0.28270000000000001</v>
      </c>
      <c r="D52" s="30">
        <v>531.29999999999995</v>
      </c>
      <c r="E52" s="30">
        <v>109.8</v>
      </c>
      <c r="F52" s="30">
        <v>209.4</v>
      </c>
    </row>
    <row r="53" spans="1:6" ht="15" customHeight="1" x14ac:dyDescent="0.35">
      <c r="A53" s="31" t="s">
        <v>124</v>
      </c>
      <c r="B53" s="31" t="s">
        <v>101</v>
      </c>
      <c r="C53" s="32">
        <v>0.30080000000000001</v>
      </c>
      <c r="D53" s="33">
        <v>520.20000000000005</v>
      </c>
      <c r="E53" s="33">
        <v>62.3</v>
      </c>
      <c r="F53" s="33">
        <v>223.8</v>
      </c>
    </row>
    <row r="54" spans="1:6" ht="15" customHeight="1" x14ac:dyDescent="0.35">
      <c r="A54" s="28" t="s">
        <v>67</v>
      </c>
      <c r="B54" s="28" t="s">
        <v>32</v>
      </c>
      <c r="C54" s="29">
        <v>0.3044</v>
      </c>
      <c r="D54" s="30">
        <v>517.5</v>
      </c>
      <c r="E54" s="30">
        <v>68.7</v>
      </c>
      <c r="F54" s="30">
        <v>226.5</v>
      </c>
    </row>
    <row r="55" spans="1:6" ht="15" customHeight="1" x14ac:dyDescent="0.35">
      <c r="A55" s="31" t="s">
        <v>49</v>
      </c>
      <c r="B55" s="31" t="s">
        <v>32</v>
      </c>
      <c r="C55" s="32">
        <v>0.31409999999999999</v>
      </c>
      <c r="D55" s="33">
        <v>510.3</v>
      </c>
      <c r="E55" s="33">
        <v>57.9</v>
      </c>
      <c r="F55" s="33">
        <v>233.7</v>
      </c>
    </row>
    <row r="56" spans="1:6" ht="15" customHeight="1" x14ac:dyDescent="0.35">
      <c r="A56" s="28" t="s">
        <v>223</v>
      </c>
      <c r="B56" s="28" t="s">
        <v>199</v>
      </c>
      <c r="C56" s="29">
        <v>0.3528</v>
      </c>
      <c r="D56" s="30">
        <v>481.5</v>
      </c>
      <c r="E56" s="30">
        <v>47.2</v>
      </c>
      <c r="F56" s="30">
        <v>262.5</v>
      </c>
    </row>
    <row r="57" spans="1:6" ht="15" customHeight="1" x14ac:dyDescent="0.35">
      <c r="A57" s="31" t="s">
        <v>103</v>
      </c>
      <c r="B57" s="31" t="s">
        <v>101</v>
      </c>
      <c r="C57" s="32">
        <v>0.35730000000000001</v>
      </c>
      <c r="D57" s="33">
        <v>478.1</v>
      </c>
      <c r="E57" s="33">
        <v>39.1</v>
      </c>
      <c r="F57" s="33">
        <v>265.89999999999998</v>
      </c>
    </row>
    <row r="58" spans="1:6" ht="15" customHeight="1" x14ac:dyDescent="0.35">
      <c r="A58" s="28" t="s">
        <v>202</v>
      </c>
      <c r="B58" s="28" t="s">
        <v>199</v>
      </c>
      <c r="C58" s="29">
        <v>0.3634</v>
      </c>
      <c r="D58" s="30">
        <v>471.9</v>
      </c>
      <c r="E58" s="30">
        <v>1.8</v>
      </c>
      <c r="F58" s="30">
        <v>269.3</v>
      </c>
    </row>
    <row r="59" spans="1:6" ht="15" customHeight="1" x14ac:dyDescent="0.35">
      <c r="A59" s="31" t="s">
        <v>38</v>
      </c>
      <c r="B59" s="31" t="s">
        <v>32</v>
      </c>
      <c r="C59" s="32">
        <v>0.36370000000000002</v>
      </c>
      <c r="D59" s="33">
        <v>473.4</v>
      </c>
      <c r="E59" s="33">
        <v>250.7</v>
      </c>
      <c r="F59" s="33">
        <v>270.60000000000002</v>
      </c>
    </row>
    <row r="60" spans="1:6" ht="15" customHeight="1" x14ac:dyDescent="0.35">
      <c r="A60" s="28" t="s">
        <v>149</v>
      </c>
      <c r="B60" s="28" t="s">
        <v>101</v>
      </c>
      <c r="C60" s="29">
        <v>0.36620000000000003</v>
      </c>
      <c r="D60" s="30">
        <v>471.6</v>
      </c>
      <c r="E60" s="30">
        <v>31.7</v>
      </c>
      <c r="F60" s="30">
        <v>272.39999999999998</v>
      </c>
    </row>
    <row r="61" spans="1:6" ht="15" customHeight="1" x14ac:dyDescent="0.35">
      <c r="A61" s="31" t="s">
        <v>187</v>
      </c>
      <c r="B61" s="31" t="s">
        <v>181</v>
      </c>
      <c r="C61" s="32">
        <v>0.36630000000000001</v>
      </c>
      <c r="D61" s="33">
        <v>469.3</v>
      </c>
      <c r="E61" s="33">
        <v>73.5</v>
      </c>
      <c r="F61" s="33">
        <v>271.3</v>
      </c>
    </row>
    <row r="62" spans="1:6" ht="15" customHeight="1" x14ac:dyDescent="0.35">
      <c r="A62" s="28" t="s">
        <v>104</v>
      </c>
      <c r="B62" s="28" t="s">
        <v>101</v>
      </c>
      <c r="C62" s="29">
        <v>0.39050000000000001</v>
      </c>
      <c r="D62" s="30">
        <v>453.5</v>
      </c>
      <c r="E62" s="30">
        <v>84.1</v>
      </c>
      <c r="F62" s="30">
        <v>290.5</v>
      </c>
    </row>
    <row r="63" spans="1:6" ht="15" customHeight="1" x14ac:dyDescent="0.35">
      <c r="A63" s="31" t="s">
        <v>87</v>
      </c>
      <c r="B63" s="31" t="s">
        <v>32</v>
      </c>
      <c r="C63" s="32">
        <v>0.39439999999999997</v>
      </c>
      <c r="D63" s="33">
        <v>450.6</v>
      </c>
      <c r="E63" s="33">
        <v>119.9</v>
      </c>
      <c r="F63" s="33">
        <v>293.39999999999998</v>
      </c>
    </row>
    <row r="64" spans="1:6" ht="15" customHeight="1" x14ac:dyDescent="0.35">
      <c r="A64" s="28" t="s">
        <v>126</v>
      </c>
      <c r="B64" s="28" t="s">
        <v>101</v>
      </c>
      <c r="C64" s="29">
        <v>0.39560000000000001</v>
      </c>
      <c r="D64" s="30">
        <v>449.7</v>
      </c>
      <c r="E64" s="30">
        <v>45.7</v>
      </c>
      <c r="F64" s="30">
        <v>294.3</v>
      </c>
    </row>
    <row r="65" spans="1:8" ht="15" customHeight="1" x14ac:dyDescent="0.35">
      <c r="A65" s="31" t="s">
        <v>121</v>
      </c>
      <c r="B65" s="31" t="s">
        <v>101</v>
      </c>
      <c r="C65" s="32">
        <v>0.39860000000000001</v>
      </c>
      <c r="D65" s="33">
        <v>447.5</v>
      </c>
      <c r="E65" s="33">
        <v>44.4</v>
      </c>
      <c r="F65" s="33">
        <v>296.5</v>
      </c>
    </row>
    <row r="67" spans="1:8" ht="18" customHeight="1" x14ac:dyDescent="0.35">
      <c r="A67" s="60" t="s">
        <v>324</v>
      </c>
      <c r="B67" s="60"/>
      <c r="C67" s="60"/>
      <c r="D67" s="60"/>
      <c r="E67" s="60"/>
      <c r="F67" s="60"/>
    </row>
    <row r="68" spans="1:8" ht="21.75" customHeight="1" x14ac:dyDescent="0.35">
      <c r="A68" s="61" t="s">
        <v>325</v>
      </c>
      <c r="B68" s="61"/>
      <c r="C68" s="61"/>
      <c r="D68" s="61"/>
      <c r="E68" s="61"/>
      <c r="F68" s="61"/>
    </row>
    <row r="69" spans="1:8" ht="25.5" customHeight="1" x14ac:dyDescent="0.35">
      <c r="A69" s="25" t="s">
        <v>3</v>
      </c>
      <c r="B69" s="25" t="s">
        <v>246</v>
      </c>
      <c r="C69" s="25" t="s">
        <v>326</v>
      </c>
      <c r="D69" s="25" t="s">
        <v>327</v>
      </c>
      <c r="E69" s="25" t="s">
        <v>297</v>
      </c>
      <c r="F69" s="25" t="s">
        <v>309</v>
      </c>
      <c r="G69" s="25" t="s">
        <v>328</v>
      </c>
      <c r="H69" s="25" t="s">
        <v>318</v>
      </c>
    </row>
    <row r="70" spans="1:8" ht="15" customHeight="1" x14ac:dyDescent="0.35">
      <c r="A70" s="28" t="s">
        <v>185</v>
      </c>
      <c r="B70" s="28" t="s">
        <v>181</v>
      </c>
      <c r="C70" s="30">
        <v>744</v>
      </c>
      <c r="D70" s="30">
        <v>744</v>
      </c>
      <c r="E70" s="29">
        <v>1</v>
      </c>
      <c r="F70" s="34" t="s">
        <v>319</v>
      </c>
      <c r="G70" s="34">
        <v>10997</v>
      </c>
      <c r="H70" s="28" t="s">
        <v>329</v>
      </c>
    </row>
    <row r="71" spans="1:8" ht="15" customHeight="1" x14ac:dyDescent="0.35">
      <c r="A71" s="31" t="s">
        <v>190</v>
      </c>
      <c r="B71" s="31" t="s">
        <v>181</v>
      </c>
      <c r="C71" s="33">
        <v>744</v>
      </c>
      <c r="D71" s="33">
        <v>744</v>
      </c>
      <c r="E71" s="32">
        <v>1</v>
      </c>
      <c r="F71" s="35" t="s">
        <v>319</v>
      </c>
      <c r="G71" s="35">
        <v>10997</v>
      </c>
      <c r="H71" s="31" t="s">
        <v>329</v>
      </c>
    </row>
    <row r="72" spans="1:8" ht="15" customHeight="1" x14ac:dyDescent="0.35">
      <c r="A72" s="28" t="s">
        <v>238</v>
      </c>
      <c r="B72" s="28" t="s">
        <v>236</v>
      </c>
      <c r="C72" s="30">
        <v>501.4</v>
      </c>
      <c r="D72" s="30">
        <v>619.20000000000005</v>
      </c>
      <c r="E72" s="29">
        <v>0.80979999999999996</v>
      </c>
      <c r="F72" s="34">
        <v>825</v>
      </c>
      <c r="G72" s="34">
        <v>4348</v>
      </c>
      <c r="H72" s="28" t="s">
        <v>329</v>
      </c>
    </row>
    <row r="73" spans="1:8" ht="15" customHeight="1" x14ac:dyDescent="0.35">
      <c r="A73" s="31" t="s">
        <v>239</v>
      </c>
      <c r="B73" s="31" t="s">
        <v>236</v>
      </c>
      <c r="C73" s="33">
        <v>469.5</v>
      </c>
      <c r="D73" s="33">
        <v>555.20000000000005</v>
      </c>
      <c r="E73" s="32">
        <v>0.84570000000000001</v>
      </c>
      <c r="F73" s="35">
        <v>1203</v>
      </c>
      <c r="G73" s="35">
        <v>5911</v>
      </c>
      <c r="H73" s="31" t="s">
        <v>329</v>
      </c>
    </row>
    <row r="74" spans="1:8" ht="15" customHeight="1" x14ac:dyDescent="0.35">
      <c r="A74" s="28" t="s">
        <v>237</v>
      </c>
      <c r="B74" s="28" t="s">
        <v>236</v>
      </c>
      <c r="C74" s="30">
        <v>468.4</v>
      </c>
      <c r="D74" s="30">
        <v>474.1</v>
      </c>
      <c r="E74" s="29">
        <v>0.98819999999999997</v>
      </c>
      <c r="F74" s="34">
        <v>781</v>
      </c>
      <c r="G74" s="34">
        <v>26827</v>
      </c>
      <c r="H74" s="28" t="s">
        <v>329</v>
      </c>
    </row>
    <row r="75" spans="1:8" ht="15" customHeight="1" x14ac:dyDescent="0.35">
      <c r="A75" s="31" t="s">
        <v>241</v>
      </c>
      <c r="B75" s="31" t="s">
        <v>236</v>
      </c>
      <c r="C75" s="33">
        <v>457</v>
      </c>
      <c r="D75" s="33">
        <v>564.1</v>
      </c>
      <c r="E75" s="32">
        <v>0.81020000000000003</v>
      </c>
      <c r="F75" s="35">
        <v>1510</v>
      </c>
      <c r="G75" s="35">
        <v>4014</v>
      </c>
      <c r="H75" s="31" t="s">
        <v>329</v>
      </c>
    </row>
    <row r="76" spans="1:8" ht="15" customHeight="1" x14ac:dyDescent="0.35">
      <c r="A76" s="28">
        <v>6</v>
      </c>
      <c r="B76" s="28" t="s">
        <v>236</v>
      </c>
      <c r="C76" s="30">
        <v>344.9</v>
      </c>
      <c r="D76" s="30">
        <v>555.6</v>
      </c>
      <c r="E76" s="29">
        <v>0.62080000000000002</v>
      </c>
      <c r="F76" s="34">
        <v>1126</v>
      </c>
      <c r="G76" s="34">
        <v>6461</v>
      </c>
      <c r="H76" s="28" t="s">
        <v>329</v>
      </c>
    </row>
    <row r="77" spans="1:8" ht="15" customHeight="1" x14ac:dyDescent="0.35">
      <c r="A77" s="31" t="s">
        <v>48</v>
      </c>
      <c r="B77" s="31" t="s">
        <v>32</v>
      </c>
      <c r="C77" s="33">
        <v>265.8</v>
      </c>
      <c r="D77" s="33">
        <v>644.20000000000005</v>
      </c>
      <c r="E77" s="32">
        <v>0.41270000000000001</v>
      </c>
      <c r="F77" s="35">
        <v>5352</v>
      </c>
      <c r="G77" s="35">
        <v>3503</v>
      </c>
      <c r="H77" s="31" t="s">
        <v>329</v>
      </c>
    </row>
    <row r="78" spans="1:8" ht="15" customHeight="1" x14ac:dyDescent="0.35">
      <c r="A78" s="28" t="s">
        <v>186</v>
      </c>
      <c r="B78" s="28" t="s">
        <v>181</v>
      </c>
      <c r="C78" s="30">
        <v>265.2</v>
      </c>
      <c r="D78" s="30">
        <v>700.6</v>
      </c>
      <c r="E78" s="29">
        <v>0.37859999999999999</v>
      </c>
      <c r="F78" s="34">
        <v>11145</v>
      </c>
      <c r="G78" s="34">
        <v>6473</v>
      </c>
      <c r="H78" s="28" t="s">
        <v>329</v>
      </c>
    </row>
    <row r="79" spans="1:8" ht="15" customHeight="1" x14ac:dyDescent="0.35">
      <c r="A79" s="31" t="s">
        <v>78</v>
      </c>
      <c r="B79" s="31" t="s">
        <v>32</v>
      </c>
      <c r="C79" s="33">
        <v>264.7</v>
      </c>
      <c r="D79" s="33">
        <v>541.9</v>
      </c>
      <c r="E79" s="32">
        <v>0.48849999999999999</v>
      </c>
      <c r="F79" s="35">
        <v>2633</v>
      </c>
      <c r="G79" s="35">
        <v>2176</v>
      </c>
      <c r="H79" s="31" t="s">
        <v>329</v>
      </c>
    </row>
    <row r="82" spans="1:6" ht="27.75" customHeight="1" x14ac:dyDescent="0.35">
      <c r="A82" s="62" t="s">
        <v>330</v>
      </c>
      <c r="B82" s="62"/>
      <c r="C82" s="62"/>
      <c r="D82" s="62"/>
      <c r="E82" s="62"/>
      <c r="F82" s="62"/>
    </row>
    <row r="83" spans="1:6" ht="25.5" customHeight="1" x14ac:dyDescent="0.35">
      <c r="A83" s="36" t="s">
        <v>331</v>
      </c>
      <c r="B83" s="36" t="s">
        <v>332</v>
      </c>
      <c r="C83" s="36" t="s">
        <v>333</v>
      </c>
      <c r="D83" s="36" t="s">
        <v>334</v>
      </c>
      <c r="E83" s="36" t="s">
        <v>335</v>
      </c>
      <c r="F83" s="36" t="s">
        <v>336</v>
      </c>
    </row>
    <row r="84" spans="1:6" ht="49.5" customHeight="1" x14ac:dyDescent="0.35">
      <c r="A84" s="37" t="s">
        <v>337</v>
      </c>
      <c r="B84" s="38" t="s">
        <v>338</v>
      </c>
      <c r="C84" s="39" t="s">
        <v>339</v>
      </c>
      <c r="D84" s="39" t="s">
        <v>340</v>
      </c>
      <c r="E84" s="39" t="s">
        <v>341</v>
      </c>
      <c r="F84" s="39" t="s">
        <v>342</v>
      </c>
    </row>
    <row r="85" spans="1:6" ht="49.5" customHeight="1" x14ac:dyDescent="0.35">
      <c r="A85" s="37" t="s">
        <v>337</v>
      </c>
      <c r="B85" s="38" t="s">
        <v>343</v>
      </c>
      <c r="C85" s="39" t="s">
        <v>344</v>
      </c>
      <c r="D85" s="39" t="s">
        <v>345</v>
      </c>
      <c r="E85" s="39" t="s">
        <v>346</v>
      </c>
      <c r="F85" s="39" t="s">
        <v>347</v>
      </c>
    </row>
    <row r="86" spans="1:6" ht="49.5" customHeight="1" x14ac:dyDescent="0.35">
      <c r="A86" s="40" t="s">
        <v>348</v>
      </c>
      <c r="B86" s="41" t="s">
        <v>349</v>
      </c>
      <c r="C86" s="42" t="s">
        <v>350</v>
      </c>
      <c r="D86" s="42" t="s">
        <v>351</v>
      </c>
      <c r="E86" s="42" t="s">
        <v>352</v>
      </c>
      <c r="F86" s="42" t="s">
        <v>353</v>
      </c>
    </row>
    <row r="87" spans="1:6" ht="49.5" customHeight="1" x14ac:dyDescent="0.35">
      <c r="A87" s="40" t="s">
        <v>348</v>
      </c>
      <c r="B87" s="41" t="s">
        <v>354</v>
      </c>
      <c r="C87" s="42" t="s">
        <v>355</v>
      </c>
      <c r="D87" s="42" t="s">
        <v>356</v>
      </c>
      <c r="E87" s="42" t="s">
        <v>357</v>
      </c>
      <c r="F87" s="42" t="s">
        <v>358</v>
      </c>
    </row>
    <row r="88" spans="1:6" ht="49.5" customHeight="1" x14ac:dyDescent="0.35">
      <c r="A88" s="43" t="s">
        <v>359</v>
      </c>
      <c r="B88" s="44" t="s">
        <v>360</v>
      </c>
      <c r="C88" s="45" t="s">
        <v>361</v>
      </c>
      <c r="D88" s="45" t="s">
        <v>362</v>
      </c>
      <c r="E88" s="45" t="s">
        <v>363</v>
      </c>
      <c r="F88" s="45" t="s">
        <v>364</v>
      </c>
    </row>
    <row r="89" spans="1:6" ht="49.5" customHeight="1" x14ac:dyDescent="0.35">
      <c r="A89" s="43" t="s">
        <v>359</v>
      </c>
      <c r="B89" s="44" t="s">
        <v>365</v>
      </c>
      <c r="C89" s="45" t="s">
        <v>366</v>
      </c>
      <c r="D89" s="45" t="s">
        <v>367</v>
      </c>
      <c r="E89" s="45" t="s">
        <v>368</v>
      </c>
      <c r="F89" s="45" t="s">
        <v>369</v>
      </c>
    </row>
  </sheetData>
  <mergeCells count="8">
    <mergeCell ref="A67:F67"/>
    <mergeCell ref="A68:F68"/>
    <mergeCell ref="A82:F82"/>
    <mergeCell ref="A1:F1"/>
    <mergeCell ref="A3:F3"/>
    <mergeCell ref="A4:F4"/>
    <mergeCell ref="A21:F21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Executive Summary</vt:lpstr>
      <vt:lpstr>Avail &amp; Utilization</vt:lpstr>
      <vt:lpstr>Fuel Analysis</vt:lpstr>
      <vt:lpstr>Idle Time Analysis</vt:lpstr>
      <vt:lpstr>Production KPIs</vt:lpstr>
      <vt:lpstr>Improvement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Sushant Rathore</cp:lastModifiedBy>
  <cp:revision>0</cp:revision>
  <dcterms:created xsi:type="dcterms:W3CDTF">2026-06-08T09:02:57Z</dcterms:created>
  <dcterms:modified xsi:type="dcterms:W3CDTF">2026-07-17T05:54:26Z</dcterms:modified>
  <dc:language>en-US</dc:language>
</cp:coreProperties>
</file>