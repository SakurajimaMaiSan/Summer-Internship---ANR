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b0bb3afb583f103/Desktop/ANR/"/>
    </mc:Choice>
  </mc:AlternateContent>
  <xr:revisionPtr revIDLastSave="8" documentId="13_ncr:1_{7D1BDFC1-00C8-489C-AB93-379BB6198CE8}" xr6:coauthVersionLast="47" xr6:coauthVersionMax="47" xr10:uidLastSave="{1BED00A8-4C89-473A-98F9-B9D9E5B041BF}"/>
  <bookViews>
    <workbookView xWindow="-110" yWindow="-110" windowWidth="19420" windowHeight="12220" xr2:uid="{00000000-000D-0000-FFFF-FFFF00000000}"/>
  </bookViews>
  <sheets>
    <sheet name="Raw Data" sheetId="1" r:id="rId1"/>
    <sheet name="Executive Summary" sheetId="2" r:id="rId2"/>
    <sheet name="Avail &amp; Utilization" sheetId="3" r:id="rId3"/>
    <sheet name="Fuel Analysis" sheetId="4" r:id="rId4"/>
    <sheet name="Idle Time Analysis" sheetId="5" r:id="rId5"/>
    <sheet name="Production KPIs" sheetId="6" r:id="rId6"/>
    <sheet name="Improvement Opportunities" sheetId="7" r:id="rId7"/>
  </sheets>
  <definedNames>
    <definedName name="_xlnm._FilterDatabase" localSheetId="0" hidden="1">'Raw Data'!$A$2:$AE$209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" i="1" l="1"/>
  <c r="U5" i="1"/>
  <c r="U6" i="1"/>
  <c r="U7" i="1"/>
  <c r="G187" i="4" s="1"/>
  <c r="U8" i="1"/>
  <c r="G188" i="4" s="1"/>
  <c r="U9" i="1"/>
  <c r="U10" i="1"/>
  <c r="G186" i="4" s="1"/>
  <c r="U11" i="1"/>
  <c r="G184" i="4" s="1"/>
  <c r="U12" i="1"/>
  <c r="G195" i="4" s="1"/>
  <c r="U13" i="1"/>
  <c r="G196" i="4" s="1"/>
  <c r="U14" i="1"/>
  <c r="G197" i="4" s="1"/>
  <c r="U15" i="1"/>
  <c r="U16" i="1"/>
  <c r="U17" i="1"/>
  <c r="U18" i="1"/>
  <c r="U19" i="1"/>
  <c r="U20" i="1"/>
  <c r="U21" i="1"/>
  <c r="G157" i="4" s="1"/>
  <c r="U22" i="1"/>
  <c r="G177" i="4" s="1"/>
  <c r="U23" i="1"/>
  <c r="G139" i="4" s="1"/>
  <c r="U24" i="1"/>
  <c r="G190" i="4" s="1"/>
  <c r="U25" i="1"/>
  <c r="G155" i="4" s="1"/>
  <c r="U26" i="1"/>
  <c r="G165" i="4" s="1"/>
  <c r="U27" i="1"/>
  <c r="G198" i="4" s="1"/>
  <c r="U28" i="1"/>
  <c r="U29" i="1"/>
  <c r="U30" i="1"/>
  <c r="U31" i="1"/>
  <c r="G175" i="4" s="1"/>
  <c r="U32" i="1"/>
  <c r="G138" i="4" s="1"/>
  <c r="U33" i="1"/>
  <c r="G158" i="4" s="1"/>
  <c r="U34" i="1"/>
  <c r="G159" i="4" s="1"/>
  <c r="U35" i="1"/>
  <c r="G167" i="4" s="1"/>
  <c r="U36" i="1"/>
  <c r="G146" i="4" s="1"/>
  <c r="U37" i="1"/>
  <c r="G173" i="4" s="1"/>
  <c r="U38" i="1"/>
  <c r="G199" i="4" s="1"/>
  <c r="U39" i="1"/>
  <c r="G154" i="4" s="1"/>
  <c r="U40" i="1"/>
  <c r="U41" i="1"/>
  <c r="U42" i="1"/>
  <c r="U43" i="1"/>
  <c r="G144" i="4" s="1"/>
  <c r="U44" i="1"/>
  <c r="U45" i="1"/>
  <c r="G145" i="4" s="1"/>
  <c r="U46" i="1"/>
  <c r="G161" i="4" s="1"/>
  <c r="U47" i="1"/>
  <c r="G183" i="4" s="1"/>
  <c r="U48" i="1"/>
  <c r="G168" i="4" s="1"/>
  <c r="U49" i="1"/>
  <c r="G140" i="4" s="1"/>
  <c r="U50" i="1"/>
  <c r="G129" i="4" s="1"/>
  <c r="U51" i="1"/>
  <c r="G160" i="4" s="1"/>
  <c r="U52" i="1"/>
  <c r="U53" i="1"/>
  <c r="U54" i="1"/>
  <c r="U55" i="1"/>
  <c r="G125" i="4" s="1"/>
  <c r="U56" i="1"/>
  <c r="U57" i="1"/>
  <c r="G135" i="4" s="1"/>
  <c r="U58" i="1"/>
  <c r="G132" i="4" s="1"/>
  <c r="U59" i="1"/>
  <c r="G153" i="4" s="1"/>
  <c r="U60" i="1"/>
  <c r="G123" i="4" s="1"/>
  <c r="U61" i="1"/>
  <c r="G99" i="4" s="1"/>
  <c r="U62" i="1"/>
  <c r="G108" i="4" s="1"/>
  <c r="U63" i="1"/>
  <c r="G117" i="4" s="1"/>
  <c r="U64" i="1"/>
  <c r="U65" i="1"/>
  <c r="U66" i="1"/>
  <c r="U67" i="1"/>
  <c r="G106" i="4" s="1"/>
  <c r="U68" i="1"/>
  <c r="G131" i="4" s="1"/>
  <c r="U69" i="1"/>
  <c r="G114" i="4" s="1"/>
  <c r="U70" i="1"/>
  <c r="U71" i="1"/>
  <c r="G143" i="4" s="1"/>
  <c r="U72" i="1"/>
  <c r="G162" i="4" s="1"/>
  <c r="U73" i="1"/>
  <c r="G112" i="4" s="1"/>
  <c r="U74" i="1"/>
  <c r="G97" i="4" s="1"/>
  <c r="U75" i="1"/>
  <c r="F120" i="6" s="1"/>
  <c r="U76" i="1"/>
  <c r="U77" i="1"/>
  <c r="U78" i="1"/>
  <c r="U79" i="1"/>
  <c r="G75" i="4" s="1"/>
  <c r="U80" i="1"/>
  <c r="G107" i="4" s="1"/>
  <c r="U81" i="1"/>
  <c r="F144" i="6" s="1"/>
  <c r="U82" i="1"/>
  <c r="F142" i="6" s="1"/>
  <c r="U83" i="1"/>
  <c r="F101" i="6" s="1"/>
  <c r="U84" i="1"/>
  <c r="G120" i="4" s="1"/>
  <c r="U85" i="1"/>
  <c r="G116" i="4" s="1"/>
  <c r="U86" i="1"/>
  <c r="G164" i="4" s="1"/>
  <c r="U87" i="1"/>
  <c r="G94" i="4" s="1"/>
  <c r="U88" i="1"/>
  <c r="U89" i="1"/>
  <c r="U90" i="1"/>
  <c r="U91" i="1"/>
  <c r="F125" i="6" s="1"/>
  <c r="U92" i="1"/>
  <c r="G178" i="4" s="1"/>
  <c r="U93" i="1"/>
  <c r="G152" i="4" s="1"/>
  <c r="U94" i="1"/>
  <c r="G147" i="4" s="1"/>
  <c r="U95" i="1"/>
  <c r="G137" i="4" s="1"/>
  <c r="U96" i="1"/>
  <c r="F97" i="6" s="1"/>
  <c r="U97" i="1"/>
  <c r="G127" i="4" s="1"/>
  <c r="U98" i="1"/>
  <c r="G68" i="4" s="1"/>
  <c r="U99" i="1"/>
  <c r="G98" i="4" s="1"/>
  <c r="U100" i="1"/>
  <c r="U101" i="1"/>
  <c r="F126" i="6" s="1"/>
  <c r="U102" i="1"/>
  <c r="U103" i="1"/>
  <c r="G113" i="4" s="1"/>
  <c r="U104" i="1"/>
  <c r="F113" i="6" s="1"/>
  <c r="U105" i="1"/>
  <c r="F98" i="6" s="1"/>
  <c r="U106" i="1"/>
  <c r="F129" i="6" s="1"/>
  <c r="U107" i="1"/>
  <c r="G92" i="4" s="1"/>
  <c r="U108" i="1"/>
  <c r="F127" i="6" s="1"/>
  <c r="U109" i="1"/>
  <c r="F103" i="6" s="1"/>
  <c r="U110" i="1"/>
  <c r="G100" i="4" s="1"/>
  <c r="U111" i="1"/>
  <c r="F94" i="6" s="1"/>
  <c r="U112" i="1"/>
  <c r="U113" i="1"/>
  <c r="U114" i="1"/>
  <c r="U115" i="1"/>
  <c r="U116" i="1"/>
  <c r="G128" i="4" s="1"/>
  <c r="U117" i="1"/>
  <c r="F107" i="6" s="1"/>
  <c r="U118" i="1"/>
  <c r="G65" i="4" s="1"/>
  <c r="U119" i="1"/>
  <c r="G66" i="4" s="1"/>
  <c r="U120" i="1"/>
  <c r="G76" i="4" s="1"/>
  <c r="U121" i="1"/>
  <c r="G64" i="4" s="1"/>
  <c r="U122" i="1"/>
  <c r="G69" i="4" s="1"/>
  <c r="U123" i="1"/>
  <c r="G84" i="4" s="1"/>
  <c r="U124" i="1"/>
  <c r="U125" i="1"/>
  <c r="U126" i="1"/>
  <c r="U127" i="1"/>
  <c r="F79" i="6" s="1"/>
  <c r="U128" i="1"/>
  <c r="F76" i="6" s="1"/>
  <c r="U129" i="1"/>
  <c r="G80" i="4" s="1"/>
  <c r="U130" i="1"/>
  <c r="U131" i="1"/>
  <c r="G50" i="4" s="1"/>
  <c r="U132" i="1"/>
  <c r="G62" i="4" s="1"/>
  <c r="U133" i="1"/>
  <c r="G56" i="4" s="1"/>
  <c r="U134" i="1"/>
  <c r="F87" i="6" s="1"/>
  <c r="U135" i="1"/>
  <c r="G61" i="4" s="1"/>
  <c r="U136" i="1"/>
  <c r="U137" i="1"/>
  <c r="U138" i="1"/>
  <c r="U139" i="1"/>
  <c r="G29" i="4" s="1"/>
  <c r="U140" i="1"/>
  <c r="F72" i="6" s="1"/>
  <c r="U141" i="1"/>
  <c r="G27" i="4" s="1"/>
  <c r="U142" i="1"/>
  <c r="F138" i="6" s="1"/>
  <c r="U143" i="1"/>
  <c r="F96" i="6" s="1"/>
  <c r="U144" i="1"/>
  <c r="F74" i="6" s="1"/>
  <c r="U145" i="1"/>
  <c r="G200" i="4" s="1"/>
  <c r="U146" i="1"/>
  <c r="F83" i="6" s="1"/>
  <c r="U147" i="1"/>
  <c r="G42" i="4" s="1"/>
  <c r="U148" i="1"/>
  <c r="F139" i="6" s="1"/>
  <c r="U149" i="1"/>
  <c r="U150" i="1"/>
  <c r="U151" i="1"/>
  <c r="G51" i="4" s="1"/>
  <c r="U152" i="1"/>
  <c r="G86" i="4" s="1"/>
  <c r="U153" i="1"/>
  <c r="G192" i="4" s="1"/>
  <c r="U154" i="1"/>
  <c r="G109" i="4" s="1"/>
  <c r="U155" i="1"/>
  <c r="G59" i="4" s="1"/>
  <c r="U156" i="1"/>
  <c r="G105" i="4" s="1"/>
  <c r="U157" i="1"/>
  <c r="G48" i="4" s="1"/>
  <c r="U158" i="1"/>
  <c r="G201" i="4" s="1"/>
  <c r="U159" i="1"/>
  <c r="G67" i="4" s="1"/>
  <c r="U160" i="1"/>
  <c r="U161" i="1"/>
  <c r="U162" i="1"/>
  <c r="U163" i="1"/>
  <c r="G46" i="4" s="1"/>
  <c r="U164" i="1"/>
  <c r="G57" i="4" s="1"/>
  <c r="U165" i="1"/>
  <c r="U166" i="1"/>
  <c r="U167" i="1"/>
  <c r="G15" i="4" s="1"/>
  <c r="U168" i="1"/>
  <c r="G53" i="4" s="1"/>
  <c r="U169" i="1"/>
  <c r="G49" i="4" s="1"/>
  <c r="U170" i="1"/>
  <c r="G119" i="4" s="1"/>
  <c r="U171" i="1"/>
  <c r="G202" i="4" s="1"/>
  <c r="U172" i="1"/>
  <c r="U173" i="1"/>
  <c r="U174" i="1"/>
  <c r="U175" i="1"/>
  <c r="G31" i="4" s="1"/>
  <c r="U176" i="1"/>
  <c r="G35" i="4" s="1"/>
  <c r="U177" i="1"/>
  <c r="G37" i="4" s="1"/>
  <c r="U178" i="1"/>
  <c r="G44" i="4" s="1"/>
  <c r="U179" i="1"/>
  <c r="G36" i="4" s="1"/>
  <c r="U180" i="1"/>
  <c r="G43" i="4" s="1"/>
  <c r="U181" i="1"/>
  <c r="G38" i="4" s="1"/>
  <c r="U182" i="1"/>
  <c r="G19" i="4" s="1"/>
  <c r="U183" i="1"/>
  <c r="G174" i="4" s="1"/>
  <c r="U184" i="1"/>
  <c r="U185" i="1"/>
  <c r="U186" i="1"/>
  <c r="U187" i="1"/>
  <c r="G26" i="4" s="1"/>
  <c r="U188" i="1"/>
  <c r="G118" i="4" s="1"/>
  <c r="U189" i="1"/>
  <c r="G20" i="4" s="1"/>
  <c r="U190" i="1"/>
  <c r="G23" i="4" s="1"/>
  <c r="U191" i="1"/>
  <c r="U192" i="1"/>
  <c r="G17" i="4" s="1"/>
  <c r="U193" i="1"/>
  <c r="G16" i="4" s="1"/>
  <c r="U194" i="1"/>
  <c r="G22" i="4" s="1"/>
  <c r="U195" i="1"/>
  <c r="U196" i="1"/>
  <c r="U197" i="1"/>
  <c r="U198" i="1"/>
  <c r="U199" i="1"/>
  <c r="G34" i="4" s="1"/>
  <c r="U200" i="1"/>
  <c r="G18" i="4" s="1"/>
  <c r="U201" i="1"/>
  <c r="G21" i="4" s="1"/>
  <c r="U202" i="1"/>
  <c r="U203" i="1"/>
  <c r="G180" i="4" s="1"/>
  <c r="U204" i="1"/>
  <c r="G181" i="4" s="1"/>
  <c r="U205" i="1"/>
  <c r="G185" i="4" s="1"/>
  <c r="U206" i="1"/>
  <c r="G204" i="4" s="1"/>
  <c r="U207" i="1"/>
  <c r="G176" i="4" s="1"/>
  <c r="U208" i="1"/>
  <c r="U209" i="1"/>
  <c r="U3" i="1"/>
  <c r="G194" i="4" s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3" i="1"/>
  <c r="H146" i="6"/>
  <c r="G146" i="6"/>
  <c r="F146" i="6"/>
  <c r="E146" i="6"/>
  <c r="D146" i="6"/>
  <c r="C146" i="6"/>
  <c r="B146" i="6"/>
  <c r="H145" i="6"/>
  <c r="G145" i="6"/>
  <c r="E145" i="6"/>
  <c r="D145" i="6"/>
  <c r="C145" i="6"/>
  <c r="B145" i="6"/>
  <c r="H144" i="6"/>
  <c r="G144" i="6"/>
  <c r="E144" i="6"/>
  <c r="D144" i="6"/>
  <c r="C144" i="6"/>
  <c r="B144" i="6"/>
  <c r="H143" i="6"/>
  <c r="G143" i="6"/>
  <c r="E143" i="6"/>
  <c r="D143" i="6"/>
  <c r="C143" i="6"/>
  <c r="B143" i="6"/>
  <c r="H142" i="6"/>
  <c r="G142" i="6"/>
  <c r="E142" i="6"/>
  <c r="D142" i="6"/>
  <c r="C142" i="6"/>
  <c r="B142" i="6"/>
  <c r="H141" i="6"/>
  <c r="G141" i="6"/>
  <c r="E141" i="6"/>
  <c r="D141" i="6"/>
  <c r="C141" i="6"/>
  <c r="B141" i="6"/>
  <c r="H140" i="6"/>
  <c r="G140" i="6"/>
  <c r="F140" i="6"/>
  <c r="E140" i="6"/>
  <c r="D140" i="6"/>
  <c r="C140" i="6"/>
  <c r="B140" i="6"/>
  <c r="H139" i="6"/>
  <c r="G139" i="6"/>
  <c r="E139" i="6"/>
  <c r="D139" i="6"/>
  <c r="C139" i="6"/>
  <c r="B139" i="6"/>
  <c r="H138" i="6"/>
  <c r="G138" i="6"/>
  <c r="E138" i="6"/>
  <c r="D138" i="6"/>
  <c r="C138" i="6"/>
  <c r="B138" i="6"/>
  <c r="H137" i="6"/>
  <c r="G137" i="6"/>
  <c r="E137" i="6"/>
  <c r="D137" i="6"/>
  <c r="C137" i="6"/>
  <c r="B137" i="6"/>
  <c r="H136" i="6"/>
  <c r="G136" i="6"/>
  <c r="E136" i="6"/>
  <c r="D136" i="6"/>
  <c r="C136" i="6"/>
  <c r="B136" i="6"/>
  <c r="H135" i="6"/>
  <c r="G135" i="6"/>
  <c r="E135" i="6"/>
  <c r="D135" i="6"/>
  <c r="C135" i="6"/>
  <c r="B135" i="6"/>
  <c r="H134" i="6"/>
  <c r="G134" i="6"/>
  <c r="E134" i="6"/>
  <c r="D134" i="6"/>
  <c r="C134" i="6"/>
  <c r="B134" i="6"/>
  <c r="H133" i="6"/>
  <c r="G133" i="6"/>
  <c r="F133" i="6"/>
  <c r="E133" i="6"/>
  <c r="D133" i="6"/>
  <c r="C133" i="6"/>
  <c r="B133" i="6"/>
  <c r="H132" i="6"/>
  <c r="G132" i="6"/>
  <c r="E132" i="6"/>
  <c r="D132" i="6"/>
  <c r="C132" i="6"/>
  <c r="B132" i="6"/>
  <c r="H131" i="6"/>
  <c r="G131" i="6"/>
  <c r="E131" i="6"/>
  <c r="D131" i="6"/>
  <c r="C131" i="6"/>
  <c r="B131" i="6"/>
  <c r="H130" i="6"/>
  <c r="G130" i="6"/>
  <c r="F130" i="6"/>
  <c r="E130" i="6"/>
  <c r="D130" i="6"/>
  <c r="C130" i="6"/>
  <c r="B130" i="6"/>
  <c r="H129" i="6"/>
  <c r="G129" i="6"/>
  <c r="E129" i="6"/>
  <c r="D129" i="6"/>
  <c r="C129" i="6"/>
  <c r="B129" i="6"/>
  <c r="H128" i="6"/>
  <c r="G128" i="6"/>
  <c r="E128" i="6"/>
  <c r="D128" i="6"/>
  <c r="C128" i="6"/>
  <c r="B128" i="6"/>
  <c r="H127" i="6"/>
  <c r="G127" i="6"/>
  <c r="E127" i="6"/>
  <c r="D127" i="6"/>
  <c r="C127" i="6"/>
  <c r="B127" i="6"/>
  <c r="H126" i="6"/>
  <c r="G126" i="6"/>
  <c r="E126" i="6"/>
  <c r="D126" i="6"/>
  <c r="C126" i="6"/>
  <c r="B126" i="6"/>
  <c r="H125" i="6"/>
  <c r="G125" i="6"/>
  <c r="E125" i="6"/>
  <c r="D125" i="6"/>
  <c r="C125" i="6"/>
  <c r="B125" i="6"/>
  <c r="H124" i="6"/>
  <c r="G124" i="6"/>
  <c r="F124" i="6"/>
  <c r="E124" i="6"/>
  <c r="D124" i="6"/>
  <c r="C124" i="6"/>
  <c r="B124" i="6"/>
  <c r="H123" i="6"/>
  <c r="G123" i="6"/>
  <c r="E123" i="6"/>
  <c r="D123" i="6"/>
  <c r="C123" i="6"/>
  <c r="B123" i="6"/>
  <c r="H122" i="6"/>
  <c r="G122" i="6"/>
  <c r="E122" i="6"/>
  <c r="D122" i="6"/>
  <c r="C122" i="6"/>
  <c r="B122" i="6"/>
  <c r="H121" i="6"/>
  <c r="G121" i="6"/>
  <c r="E121" i="6"/>
  <c r="D121" i="6"/>
  <c r="C121" i="6"/>
  <c r="B121" i="6"/>
  <c r="H120" i="6"/>
  <c r="G120" i="6"/>
  <c r="E120" i="6"/>
  <c r="D120" i="6"/>
  <c r="C120" i="6"/>
  <c r="B120" i="6"/>
  <c r="H119" i="6"/>
  <c r="G119" i="6"/>
  <c r="E119" i="6"/>
  <c r="D119" i="6"/>
  <c r="C119" i="6"/>
  <c r="B119" i="6"/>
  <c r="H118" i="6"/>
  <c r="G118" i="6"/>
  <c r="E118" i="6"/>
  <c r="D118" i="6"/>
  <c r="C118" i="6"/>
  <c r="B118" i="6"/>
  <c r="H117" i="6"/>
  <c r="G117" i="6"/>
  <c r="E117" i="6"/>
  <c r="D117" i="6"/>
  <c r="C117" i="6"/>
  <c r="B117" i="6"/>
  <c r="H116" i="6"/>
  <c r="G116" i="6"/>
  <c r="E116" i="6"/>
  <c r="D116" i="6"/>
  <c r="C116" i="6"/>
  <c r="B116" i="6"/>
  <c r="H115" i="6"/>
  <c r="G115" i="6"/>
  <c r="F115" i="6"/>
  <c r="E115" i="6"/>
  <c r="D115" i="6"/>
  <c r="C115" i="6"/>
  <c r="B115" i="6"/>
  <c r="H114" i="6"/>
  <c r="G114" i="6"/>
  <c r="E114" i="6"/>
  <c r="D114" i="6"/>
  <c r="C114" i="6"/>
  <c r="B114" i="6"/>
  <c r="H113" i="6"/>
  <c r="G113" i="6"/>
  <c r="E113" i="6"/>
  <c r="D113" i="6"/>
  <c r="C113" i="6"/>
  <c r="B113" i="6"/>
  <c r="H112" i="6"/>
  <c r="G112" i="6"/>
  <c r="F112" i="6"/>
  <c r="E112" i="6"/>
  <c r="D112" i="6"/>
  <c r="C112" i="6"/>
  <c r="B112" i="6"/>
  <c r="H111" i="6"/>
  <c r="G111" i="6"/>
  <c r="F111" i="6"/>
  <c r="E111" i="6"/>
  <c r="D111" i="6"/>
  <c r="C111" i="6"/>
  <c r="B111" i="6"/>
  <c r="H110" i="6"/>
  <c r="G110" i="6"/>
  <c r="E110" i="6"/>
  <c r="D110" i="6"/>
  <c r="C110" i="6"/>
  <c r="B110" i="6"/>
  <c r="H109" i="6"/>
  <c r="G109" i="6"/>
  <c r="F109" i="6"/>
  <c r="E109" i="6"/>
  <c r="D109" i="6"/>
  <c r="C109" i="6"/>
  <c r="B109" i="6"/>
  <c r="H108" i="6"/>
  <c r="G108" i="6"/>
  <c r="F108" i="6"/>
  <c r="E108" i="6"/>
  <c r="D108" i="6"/>
  <c r="C108" i="6"/>
  <c r="B108" i="6"/>
  <c r="H107" i="6"/>
  <c r="G107" i="6"/>
  <c r="E107" i="6"/>
  <c r="D107" i="6"/>
  <c r="C107" i="6"/>
  <c r="B107" i="6"/>
  <c r="H106" i="6"/>
  <c r="G106" i="6"/>
  <c r="F106" i="6"/>
  <c r="E106" i="6"/>
  <c r="D106" i="6"/>
  <c r="C106" i="6"/>
  <c r="B106" i="6"/>
  <c r="H105" i="6"/>
  <c r="G105" i="6"/>
  <c r="E105" i="6"/>
  <c r="D105" i="6"/>
  <c r="C105" i="6"/>
  <c r="B105" i="6"/>
  <c r="H104" i="6"/>
  <c r="G104" i="6"/>
  <c r="E104" i="6"/>
  <c r="D104" i="6"/>
  <c r="C104" i="6"/>
  <c r="B104" i="6"/>
  <c r="H103" i="6"/>
  <c r="G103" i="6"/>
  <c r="E103" i="6"/>
  <c r="D103" i="6"/>
  <c r="C103" i="6"/>
  <c r="B103" i="6"/>
  <c r="H102" i="6"/>
  <c r="G102" i="6"/>
  <c r="E102" i="6"/>
  <c r="D102" i="6"/>
  <c r="C102" i="6"/>
  <c r="B102" i="6"/>
  <c r="H101" i="6"/>
  <c r="G101" i="6"/>
  <c r="E101" i="6"/>
  <c r="D101" i="6"/>
  <c r="C101" i="6"/>
  <c r="B101" i="6"/>
  <c r="H100" i="6"/>
  <c r="G100" i="6"/>
  <c r="F100" i="6"/>
  <c r="E100" i="6"/>
  <c r="D100" i="6"/>
  <c r="C100" i="6"/>
  <c r="B100" i="6"/>
  <c r="H99" i="6"/>
  <c r="G99" i="6"/>
  <c r="F99" i="6"/>
  <c r="E99" i="6"/>
  <c r="D99" i="6"/>
  <c r="C99" i="6"/>
  <c r="B99" i="6"/>
  <c r="H98" i="6"/>
  <c r="G98" i="6"/>
  <c r="E98" i="6"/>
  <c r="D98" i="6"/>
  <c r="C98" i="6"/>
  <c r="B98" i="6"/>
  <c r="H97" i="6"/>
  <c r="G97" i="6"/>
  <c r="E97" i="6"/>
  <c r="D97" i="6"/>
  <c r="C97" i="6"/>
  <c r="B97" i="6"/>
  <c r="H96" i="6"/>
  <c r="G96" i="6"/>
  <c r="E96" i="6"/>
  <c r="D96" i="6"/>
  <c r="C96" i="6"/>
  <c r="B96" i="6"/>
  <c r="H95" i="6"/>
  <c r="G95" i="6"/>
  <c r="F95" i="6"/>
  <c r="E95" i="6"/>
  <c r="D95" i="6"/>
  <c r="C95" i="6"/>
  <c r="B95" i="6"/>
  <c r="H94" i="6"/>
  <c r="G94" i="6"/>
  <c r="E94" i="6"/>
  <c r="D94" i="6"/>
  <c r="C94" i="6"/>
  <c r="B94" i="6"/>
  <c r="H93" i="6"/>
  <c r="G93" i="6"/>
  <c r="E93" i="6"/>
  <c r="D93" i="6"/>
  <c r="C93" i="6"/>
  <c r="B93" i="6"/>
  <c r="H92" i="6"/>
  <c r="G92" i="6"/>
  <c r="E92" i="6"/>
  <c r="D92" i="6"/>
  <c r="C92" i="6"/>
  <c r="B92" i="6"/>
  <c r="H91" i="6"/>
  <c r="G91" i="6"/>
  <c r="F91" i="6"/>
  <c r="E91" i="6"/>
  <c r="D91" i="6"/>
  <c r="C91" i="6"/>
  <c r="B91" i="6"/>
  <c r="H90" i="6"/>
  <c r="G90" i="6"/>
  <c r="E90" i="6"/>
  <c r="D90" i="6"/>
  <c r="C90" i="6"/>
  <c r="B90" i="6"/>
  <c r="H89" i="6"/>
  <c r="G89" i="6"/>
  <c r="E89" i="6"/>
  <c r="D89" i="6"/>
  <c r="C89" i="6"/>
  <c r="B89" i="6"/>
  <c r="H88" i="6"/>
  <c r="G88" i="6"/>
  <c r="F88" i="6"/>
  <c r="E88" i="6"/>
  <c r="D88" i="6"/>
  <c r="C88" i="6"/>
  <c r="B88" i="6"/>
  <c r="H87" i="6"/>
  <c r="G87" i="6"/>
  <c r="E87" i="6"/>
  <c r="D87" i="6"/>
  <c r="C87" i="6"/>
  <c r="B87" i="6"/>
  <c r="H86" i="6"/>
  <c r="G86" i="6"/>
  <c r="E86" i="6"/>
  <c r="D86" i="6"/>
  <c r="C86" i="6"/>
  <c r="B86" i="6"/>
  <c r="H85" i="6"/>
  <c r="G85" i="6"/>
  <c r="E85" i="6"/>
  <c r="D85" i="6"/>
  <c r="C85" i="6"/>
  <c r="B85" i="6"/>
  <c r="H84" i="6"/>
  <c r="G84" i="6"/>
  <c r="F84" i="6"/>
  <c r="E84" i="6"/>
  <c r="D84" i="6"/>
  <c r="C84" i="6"/>
  <c r="B84" i="6"/>
  <c r="H83" i="6"/>
  <c r="G83" i="6"/>
  <c r="E83" i="6"/>
  <c r="D83" i="6"/>
  <c r="C83" i="6"/>
  <c r="B83" i="6"/>
  <c r="H82" i="6"/>
  <c r="G82" i="6"/>
  <c r="E82" i="6"/>
  <c r="D82" i="6"/>
  <c r="C82" i="6"/>
  <c r="B82" i="6"/>
  <c r="H81" i="6"/>
  <c r="G81" i="6"/>
  <c r="E81" i="6"/>
  <c r="D81" i="6"/>
  <c r="C81" i="6"/>
  <c r="B81" i="6"/>
  <c r="H80" i="6"/>
  <c r="G80" i="6"/>
  <c r="E80" i="6"/>
  <c r="D80" i="6"/>
  <c r="C80" i="6"/>
  <c r="B80" i="6"/>
  <c r="H79" i="6"/>
  <c r="G79" i="6"/>
  <c r="E79" i="6"/>
  <c r="D79" i="6"/>
  <c r="C79" i="6"/>
  <c r="B79" i="6"/>
  <c r="H78" i="6"/>
  <c r="G78" i="6"/>
  <c r="E78" i="6"/>
  <c r="D78" i="6"/>
  <c r="C78" i="6"/>
  <c r="B78" i="6"/>
  <c r="H77" i="6"/>
  <c r="G77" i="6"/>
  <c r="F77" i="6"/>
  <c r="E77" i="6"/>
  <c r="D77" i="6"/>
  <c r="C77" i="6"/>
  <c r="B77" i="6"/>
  <c r="H76" i="6"/>
  <c r="G76" i="6"/>
  <c r="E76" i="6"/>
  <c r="D76" i="6"/>
  <c r="C76" i="6"/>
  <c r="B76" i="6"/>
  <c r="H75" i="6"/>
  <c r="G75" i="6"/>
  <c r="E75" i="6"/>
  <c r="D75" i="6"/>
  <c r="C75" i="6"/>
  <c r="B75" i="6"/>
  <c r="H74" i="6"/>
  <c r="G74" i="6"/>
  <c r="E74" i="6"/>
  <c r="D74" i="6"/>
  <c r="C74" i="6"/>
  <c r="B74" i="6"/>
  <c r="H73" i="6"/>
  <c r="G73" i="6"/>
  <c r="E73" i="6"/>
  <c r="D73" i="6"/>
  <c r="C73" i="6"/>
  <c r="B73" i="6"/>
  <c r="H72" i="6"/>
  <c r="G72" i="6"/>
  <c r="E72" i="6"/>
  <c r="D72" i="6"/>
  <c r="C72" i="6"/>
  <c r="B72" i="6"/>
  <c r="H67" i="6"/>
  <c r="F67" i="6"/>
  <c r="E67" i="6"/>
  <c r="D67" i="6"/>
  <c r="C67" i="6"/>
  <c r="B67" i="6"/>
  <c r="H66" i="6"/>
  <c r="F66" i="6"/>
  <c r="E66" i="6"/>
  <c r="D66" i="6"/>
  <c r="C66" i="6"/>
  <c r="B66" i="6"/>
  <c r="H65" i="6"/>
  <c r="F65" i="6"/>
  <c r="E65" i="6"/>
  <c r="D65" i="6"/>
  <c r="C65" i="6"/>
  <c r="B65" i="6"/>
  <c r="H64" i="6"/>
  <c r="F64" i="6"/>
  <c r="E64" i="6"/>
  <c r="D64" i="6"/>
  <c r="C64" i="6"/>
  <c r="B64" i="6"/>
  <c r="H63" i="6"/>
  <c r="F63" i="6"/>
  <c r="E63" i="6"/>
  <c r="D63" i="6"/>
  <c r="C63" i="6"/>
  <c r="B63" i="6"/>
  <c r="H62" i="6"/>
  <c r="F62" i="6"/>
  <c r="E62" i="6"/>
  <c r="D62" i="6"/>
  <c r="C62" i="6"/>
  <c r="B62" i="6"/>
  <c r="H61" i="6"/>
  <c r="F61" i="6"/>
  <c r="E61" i="6"/>
  <c r="D61" i="6"/>
  <c r="C61" i="6"/>
  <c r="B61" i="6"/>
  <c r="H60" i="6"/>
  <c r="F60" i="6"/>
  <c r="E60" i="6"/>
  <c r="D60" i="6"/>
  <c r="C60" i="6"/>
  <c r="B60" i="6"/>
  <c r="H59" i="6"/>
  <c r="F59" i="6"/>
  <c r="E59" i="6"/>
  <c r="D59" i="6"/>
  <c r="C59" i="6"/>
  <c r="B59" i="6"/>
  <c r="H58" i="6"/>
  <c r="F58" i="6"/>
  <c r="E58" i="6"/>
  <c r="D58" i="6"/>
  <c r="C58" i="6"/>
  <c r="B58" i="6"/>
  <c r="H57" i="6"/>
  <c r="F57" i="6"/>
  <c r="E57" i="6"/>
  <c r="D57" i="6"/>
  <c r="C57" i="6"/>
  <c r="B57" i="6"/>
  <c r="H56" i="6"/>
  <c r="F56" i="6"/>
  <c r="E56" i="6"/>
  <c r="D56" i="6"/>
  <c r="C56" i="6"/>
  <c r="B56" i="6"/>
  <c r="H55" i="6"/>
  <c r="F55" i="6"/>
  <c r="E55" i="6"/>
  <c r="D55" i="6"/>
  <c r="C55" i="6"/>
  <c r="B55" i="6"/>
  <c r="H54" i="6"/>
  <c r="F54" i="6"/>
  <c r="E54" i="6"/>
  <c r="D54" i="6"/>
  <c r="C54" i="6"/>
  <c r="B54" i="6"/>
  <c r="H53" i="6"/>
  <c r="F53" i="6"/>
  <c r="E53" i="6"/>
  <c r="D53" i="6"/>
  <c r="C53" i="6"/>
  <c r="B53" i="6"/>
  <c r="H52" i="6"/>
  <c r="F52" i="6"/>
  <c r="E52" i="6"/>
  <c r="D52" i="6"/>
  <c r="C52" i="6"/>
  <c r="B52" i="6"/>
  <c r="H51" i="6"/>
  <c r="F51" i="6"/>
  <c r="E51" i="6"/>
  <c r="D51" i="6"/>
  <c r="C51" i="6"/>
  <c r="B51" i="6"/>
  <c r="H50" i="6"/>
  <c r="F50" i="6"/>
  <c r="E50" i="6"/>
  <c r="D50" i="6"/>
  <c r="C50" i="6"/>
  <c r="B50" i="6"/>
  <c r="H49" i="6"/>
  <c r="F49" i="6"/>
  <c r="E49" i="6"/>
  <c r="D49" i="6"/>
  <c r="C49" i="6"/>
  <c r="B49" i="6"/>
  <c r="H48" i="6"/>
  <c r="F48" i="6"/>
  <c r="E48" i="6"/>
  <c r="D48" i="6"/>
  <c r="C48" i="6"/>
  <c r="B48" i="6"/>
  <c r="H47" i="6"/>
  <c r="F47" i="6"/>
  <c r="E47" i="6"/>
  <c r="D47" i="6"/>
  <c r="C47" i="6"/>
  <c r="B47" i="6"/>
  <c r="H46" i="6"/>
  <c r="F46" i="6"/>
  <c r="E46" i="6"/>
  <c r="D46" i="6"/>
  <c r="C46" i="6"/>
  <c r="B46" i="6"/>
  <c r="H45" i="6"/>
  <c r="F45" i="6"/>
  <c r="E45" i="6"/>
  <c r="D45" i="6"/>
  <c r="C45" i="6"/>
  <c r="B45" i="6"/>
  <c r="H44" i="6"/>
  <c r="F44" i="6"/>
  <c r="E44" i="6"/>
  <c r="D44" i="6"/>
  <c r="C44" i="6"/>
  <c r="B44" i="6"/>
  <c r="H43" i="6"/>
  <c r="F43" i="6"/>
  <c r="E43" i="6"/>
  <c r="D43" i="6"/>
  <c r="C43" i="6"/>
  <c r="B43" i="6"/>
  <c r="H42" i="6"/>
  <c r="F42" i="6"/>
  <c r="E42" i="6"/>
  <c r="D42" i="6"/>
  <c r="C42" i="6"/>
  <c r="B42" i="6"/>
  <c r="H41" i="6"/>
  <c r="F41" i="6"/>
  <c r="E41" i="6"/>
  <c r="D41" i="6"/>
  <c r="C41" i="6"/>
  <c r="B41" i="6"/>
  <c r="H40" i="6"/>
  <c r="F40" i="6"/>
  <c r="E40" i="6"/>
  <c r="D40" i="6"/>
  <c r="C40" i="6"/>
  <c r="B40" i="6"/>
  <c r="H39" i="6"/>
  <c r="F39" i="6"/>
  <c r="E39" i="6"/>
  <c r="D39" i="6"/>
  <c r="C39" i="6"/>
  <c r="B39" i="6"/>
  <c r="H38" i="6"/>
  <c r="F38" i="6"/>
  <c r="E38" i="6"/>
  <c r="D38" i="6"/>
  <c r="C38" i="6"/>
  <c r="B38" i="6"/>
  <c r="H37" i="6"/>
  <c r="F37" i="6"/>
  <c r="E37" i="6"/>
  <c r="D37" i="6"/>
  <c r="C37" i="6"/>
  <c r="B37" i="6"/>
  <c r="H36" i="6"/>
  <c r="F36" i="6"/>
  <c r="E36" i="6"/>
  <c r="D36" i="6"/>
  <c r="C36" i="6"/>
  <c r="B36" i="6"/>
  <c r="H35" i="6"/>
  <c r="F35" i="6"/>
  <c r="E35" i="6"/>
  <c r="D35" i="6"/>
  <c r="C35" i="6"/>
  <c r="B35" i="6"/>
  <c r="H34" i="6"/>
  <c r="F34" i="6"/>
  <c r="E34" i="6"/>
  <c r="D34" i="6"/>
  <c r="C34" i="6"/>
  <c r="B34" i="6"/>
  <c r="H33" i="6"/>
  <c r="F33" i="6"/>
  <c r="E33" i="6"/>
  <c r="D33" i="6"/>
  <c r="C33" i="6"/>
  <c r="B33" i="6"/>
  <c r="H32" i="6"/>
  <c r="F32" i="6"/>
  <c r="E32" i="6"/>
  <c r="D32" i="6"/>
  <c r="C32" i="6"/>
  <c r="B32" i="6"/>
  <c r="H31" i="6"/>
  <c r="F31" i="6"/>
  <c r="E31" i="6"/>
  <c r="D31" i="6"/>
  <c r="C31" i="6"/>
  <c r="B31" i="6"/>
  <c r="H30" i="6"/>
  <c r="F30" i="6"/>
  <c r="E30" i="6"/>
  <c r="D30" i="6"/>
  <c r="C30" i="6"/>
  <c r="B30" i="6"/>
  <c r="H29" i="6"/>
  <c r="F29" i="6"/>
  <c r="E29" i="6"/>
  <c r="D29" i="6"/>
  <c r="C29" i="6"/>
  <c r="B29" i="6"/>
  <c r="H28" i="6"/>
  <c r="F28" i="6"/>
  <c r="E28" i="6"/>
  <c r="D28" i="6"/>
  <c r="C28" i="6"/>
  <c r="B28" i="6"/>
  <c r="H27" i="6"/>
  <c r="F27" i="6"/>
  <c r="E27" i="6"/>
  <c r="D27" i="6"/>
  <c r="C27" i="6"/>
  <c r="B27" i="6"/>
  <c r="H26" i="6"/>
  <c r="F26" i="6"/>
  <c r="E26" i="6"/>
  <c r="D26" i="6"/>
  <c r="C26" i="6"/>
  <c r="B26" i="6"/>
  <c r="H25" i="6"/>
  <c r="F25" i="6"/>
  <c r="E25" i="6"/>
  <c r="D25" i="6"/>
  <c r="C25" i="6"/>
  <c r="B25" i="6"/>
  <c r="H24" i="6"/>
  <c r="F24" i="6"/>
  <c r="E24" i="6"/>
  <c r="D24" i="6"/>
  <c r="C24" i="6"/>
  <c r="B24" i="6"/>
  <c r="H23" i="6"/>
  <c r="F23" i="6"/>
  <c r="E23" i="6"/>
  <c r="D23" i="6"/>
  <c r="C23" i="6"/>
  <c r="B23" i="6"/>
  <c r="H22" i="6"/>
  <c r="F22" i="6"/>
  <c r="E22" i="6"/>
  <c r="D22" i="6"/>
  <c r="C22" i="6"/>
  <c r="B22" i="6"/>
  <c r="H21" i="6"/>
  <c r="F21" i="6"/>
  <c r="E21" i="6"/>
  <c r="D21" i="6"/>
  <c r="C21" i="6"/>
  <c r="B21" i="6"/>
  <c r="H20" i="6"/>
  <c r="F20" i="6"/>
  <c r="E20" i="6"/>
  <c r="D20" i="6"/>
  <c r="C20" i="6"/>
  <c r="B20" i="6"/>
  <c r="H19" i="6"/>
  <c r="F19" i="6"/>
  <c r="E19" i="6"/>
  <c r="D19" i="6"/>
  <c r="C19" i="6"/>
  <c r="B19" i="6"/>
  <c r="H18" i="6"/>
  <c r="F18" i="6"/>
  <c r="E18" i="6"/>
  <c r="D18" i="6"/>
  <c r="C18" i="6"/>
  <c r="B18" i="6"/>
  <c r="H17" i="6"/>
  <c r="F17" i="6"/>
  <c r="E17" i="6"/>
  <c r="D17" i="6"/>
  <c r="C17" i="6"/>
  <c r="B17" i="6"/>
  <c r="H16" i="6"/>
  <c r="F16" i="6"/>
  <c r="E16" i="6"/>
  <c r="D16" i="6"/>
  <c r="C16" i="6"/>
  <c r="B16" i="6"/>
  <c r="H15" i="6"/>
  <c r="F15" i="6"/>
  <c r="E15" i="6"/>
  <c r="D15" i="6"/>
  <c r="C15" i="6"/>
  <c r="B15" i="6"/>
  <c r="H14" i="6"/>
  <c r="F14" i="6"/>
  <c r="E14" i="6"/>
  <c r="D14" i="6"/>
  <c r="C14" i="6"/>
  <c r="B14" i="6"/>
  <c r="H13" i="6"/>
  <c r="F13" i="6"/>
  <c r="E13" i="6"/>
  <c r="D13" i="6"/>
  <c r="C13" i="6"/>
  <c r="B13" i="6"/>
  <c r="H12" i="6"/>
  <c r="F12" i="6"/>
  <c r="E12" i="6"/>
  <c r="D12" i="6"/>
  <c r="C12" i="6"/>
  <c r="B12" i="6"/>
  <c r="H11" i="6"/>
  <c r="F11" i="6"/>
  <c r="E11" i="6"/>
  <c r="D11" i="6"/>
  <c r="C11" i="6"/>
  <c r="B11" i="6"/>
  <c r="H10" i="6"/>
  <c r="F10" i="6"/>
  <c r="E10" i="6"/>
  <c r="D10" i="6"/>
  <c r="C10" i="6"/>
  <c r="B10" i="6"/>
  <c r="H9" i="6"/>
  <c r="F9" i="6"/>
  <c r="E9" i="6"/>
  <c r="D9" i="6"/>
  <c r="C9" i="6"/>
  <c r="B9" i="6"/>
  <c r="H8" i="6"/>
  <c r="F8" i="6"/>
  <c r="E8" i="6"/>
  <c r="D8" i="6"/>
  <c r="C8" i="6"/>
  <c r="B8" i="6"/>
  <c r="H7" i="6"/>
  <c r="F7" i="6"/>
  <c r="E7" i="6"/>
  <c r="D7" i="6"/>
  <c r="C7" i="6"/>
  <c r="B7" i="6"/>
  <c r="H6" i="6"/>
  <c r="F6" i="6"/>
  <c r="E6" i="6"/>
  <c r="D6" i="6"/>
  <c r="C6" i="6"/>
  <c r="B6" i="6"/>
  <c r="H5" i="6"/>
  <c r="F5" i="6"/>
  <c r="E5" i="6"/>
  <c r="D5" i="6"/>
  <c r="C5" i="6"/>
  <c r="B5" i="6"/>
  <c r="G44" i="5"/>
  <c r="E44" i="5"/>
  <c r="D44" i="5"/>
  <c r="C44" i="5"/>
  <c r="G43" i="5"/>
  <c r="E43" i="5"/>
  <c r="D43" i="5"/>
  <c r="F43" i="5" s="1"/>
  <c r="C43" i="5"/>
  <c r="G42" i="5"/>
  <c r="E42" i="5"/>
  <c r="D42" i="5"/>
  <c r="C42" i="5"/>
  <c r="G41" i="5"/>
  <c r="E41" i="5"/>
  <c r="D41" i="5"/>
  <c r="C41" i="5"/>
  <c r="G40" i="5"/>
  <c r="E40" i="5"/>
  <c r="D40" i="5"/>
  <c r="C40" i="5"/>
  <c r="G39" i="5"/>
  <c r="E39" i="5"/>
  <c r="D39" i="5"/>
  <c r="C39" i="5"/>
  <c r="G38" i="5"/>
  <c r="E38" i="5"/>
  <c r="D38" i="5"/>
  <c r="C38" i="5"/>
  <c r="G37" i="5"/>
  <c r="E37" i="5"/>
  <c r="D37" i="5"/>
  <c r="C37" i="5"/>
  <c r="G36" i="5"/>
  <c r="E36" i="5"/>
  <c r="D36" i="5"/>
  <c r="C36" i="5"/>
  <c r="G35" i="5"/>
  <c r="E35" i="5"/>
  <c r="D35" i="5"/>
  <c r="C35" i="5"/>
  <c r="G34" i="5"/>
  <c r="E34" i="5"/>
  <c r="D34" i="5"/>
  <c r="C34" i="5"/>
  <c r="G33" i="5"/>
  <c r="E33" i="5"/>
  <c r="D33" i="5"/>
  <c r="C33" i="5"/>
  <c r="G32" i="5"/>
  <c r="E32" i="5"/>
  <c r="D32" i="5"/>
  <c r="C32" i="5"/>
  <c r="G31" i="5"/>
  <c r="E31" i="5"/>
  <c r="D31" i="5"/>
  <c r="C31" i="5"/>
  <c r="G30" i="5"/>
  <c r="E30" i="5"/>
  <c r="D30" i="5"/>
  <c r="C30" i="5"/>
  <c r="G29" i="5"/>
  <c r="E29" i="5"/>
  <c r="D29" i="5"/>
  <c r="C29" i="5"/>
  <c r="G28" i="5"/>
  <c r="E28" i="5"/>
  <c r="D28" i="5"/>
  <c r="C28" i="5"/>
  <c r="G27" i="5"/>
  <c r="E27" i="5"/>
  <c r="D27" i="5"/>
  <c r="C27" i="5"/>
  <c r="G26" i="5"/>
  <c r="E26" i="5"/>
  <c r="D26" i="5"/>
  <c r="C26" i="5"/>
  <c r="G25" i="5"/>
  <c r="E25" i="5"/>
  <c r="D25" i="5"/>
  <c r="C25" i="5"/>
  <c r="G24" i="5"/>
  <c r="E24" i="5"/>
  <c r="D24" i="5"/>
  <c r="C24" i="5"/>
  <c r="G23" i="5"/>
  <c r="E23" i="5"/>
  <c r="D23" i="5"/>
  <c r="C23" i="5"/>
  <c r="G22" i="5"/>
  <c r="E22" i="5"/>
  <c r="D22" i="5"/>
  <c r="C22" i="5"/>
  <c r="G21" i="5"/>
  <c r="E21" i="5"/>
  <c r="D21" i="5"/>
  <c r="C21" i="5"/>
  <c r="G20" i="5"/>
  <c r="E20" i="5"/>
  <c r="D20" i="5"/>
  <c r="C20" i="5"/>
  <c r="G19" i="5"/>
  <c r="E19" i="5"/>
  <c r="D19" i="5"/>
  <c r="C19" i="5"/>
  <c r="G18" i="5"/>
  <c r="E18" i="5"/>
  <c r="D18" i="5"/>
  <c r="C18" i="5"/>
  <c r="G17" i="5"/>
  <c r="E17" i="5"/>
  <c r="D17" i="5"/>
  <c r="C17" i="5"/>
  <c r="G16" i="5"/>
  <c r="E16" i="5"/>
  <c r="D16" i="5"/>
  <c r="C16" i="5"/>
  <c r="G15" i="5"/>
  <c r="E15" i="5"/>
  <c r="D15" i="5"/>
  <c r="C15" i="5"/>
  <c r="H204" i="4"/>
  <c r="F204" i="4"/>
  <c r="E204" i="4"/>
  <c r="D204" i="4"/>
  <c r="C204" i="4"/>
  <c r="H203" i="4"/>
  <c r="G203" i="4"/>
  <c r="F203" i="4"/>
  <c r="E203" i="4"/>
  <c r="D203" i="4"/>
  <c r="C203" i="4"/>
  <c r="H202" i="4"/>
  <c r="F202" i="4"/>
  <c r="E202" i="4"/>
  <c r="D202" i="4"/>
  <c r="C202" i="4"/>
  <c r="H201" i="4"/>
  <c r="F201" i="4"/>
  <c r="E201" i="4"/>
  <c r="D201" i="4"/>
  <c r="C201" i="4"/>
  <c r="H200" i="4"/>
  <c r="F200" i="4"/>
  <c r="E200" i="4"/>
  <c r="D200" i="4"/>
  <c r="C200" i="4"/>
  <c r="H199" i="4"/>
  <c r="F199" i="4"/>
  <c r="E199" i="4"/>
  <c r="D199" i="4"/>
  <c r="C199" i="4"/>
  <c r="H198" i="4"/>
  <c r="F198" i="4"/>
  <c r="E198" i="4"/>
  <c r="D198" i="4"/>
  <c r="C198" i="4"/>
  <c r="H197" i="4"/>
  <c r="F197" i="4"/>
  <c r="E197" i="4"/>
  <c r="D197" i="4"/>
  <c r="C197" i="4"/>
  <c r="H196" i="4"/>
  <c r="F196" i="4"/>
  <c r="E196" i="4"/>
  <c r="D196" i="4"/>
  <c r="C196" i="4"/>
  <c r="H195" i="4"/>
  <c r="F195" i="4"/>
  <c r="E195" i="4"/>
  <c r="D195" i="4"/>
  <c r="C195" i="4"/>
  <c r="H194" i="4"/>
  <c r="F194" i="4"/>
  <c r="E194" i="4"/>
  <c r="D194" i="4"/>
  <c r="C194" i="4"/>
  <c r="H193" i="4"/>
  <c r="G193" i="4"/>
  <c r="F193" i="4"/>
  <c r="E193" i="4"/>
  <c r="D193" i="4"/>
  <c r="C193" i="4"/>
  <c r="H192" i="4"/>
  <c r="F192" i="4"/>
  <c r="E192" i="4"/>
  <c r="D192" i="4"/>
  <c r="C192" i="4"/>
  <c r="H191" i="4"/>
  <c r="G191" i="4"/>
  <c r="F191" i="4"/>
  <c r="E191" i="4"/>
  <c r="D191" i="4"/>
  <c r="C191" i="4"/>
  <c r="H190" i="4"/>
  <c r="F190" i="4"/>
  <c r="E190" i="4"/>
  <c r="D190" i="4"/>
  <c r="C190" i="4"/>
  <c r="H189" i="4"/>
  <c r="F189" i="4"/>
  <c r="E189" i="4"/>
  <c r="D189" i="4"/>
  <c r="C189" i="4"/>
  <c r="H188" i="4"/>
  <c r="F188" i="4"/>
  <c r="E188" i="4"/>
  <c r="D188" i="4"/>
  <c r="C188" i="4"/>
  <c r="H187" i="4"/>
  <c r="F187" i="4"/>
  <c r="E187" i="4"/>
  <c r="D187" i="4"/>
  <c r="C187" i="4"/>
  <c r="H186" i="4"/>
  <c r="F186" i="4"/>
  <c r="E186" i="4"/>
  <c r="D186" i="4"/>
  <c r="C186" i="4"/>
  <c r="H185" i="4"/>
  <c r="F185" i="4"/>
  <c r="E185" i="4"/>
  <c r="D185" i="4"/>
  <c r="C185" i="4"/>
  <c r="H184" i="4"/>
  <c r="F184" i="4"/>
  <c r="E184" i="4"/>
  <c r="D184" i="4"/>
  <c r="C184" i="4"/>
  <c r="H183" i="4"/>
  <c r="F183" i="4"/>
  <c r="E183" i="4"/>
  <c r="D183" i="4"/>
  <c r="C183" i="4"/>
  <c r="H182" i="4"/>
  <c r="G182" i="4"/>
  <c r="F182" i="4"/>
  <c r="E182" i="4"/>
  <c r="D182" i="4"/>
  <c r="C182" i="4"/>
  <c r="H181" i="4"/>
  <c r="F181" i="4"/>
  <c r="E181" i="4"/>
  <c r="D181" i="4"/>
  <c r="C181" i="4"/>
  <c r="H180" i="4"/>
  <c r="F180" i="4"/>
  <c r="E180" i="4"/>
  <c r="D180" i="4"/>
  <c r="C180" i="4"/>
  <c r="H179" i="4"/>
  <c r="G179" i="4"/>
  <c r="F179" i="4"/>
  <c r="E179" i="4"/>
  <c r="D179" i="4"/>
  <c r="C179" i="4"/>
  <c r="H178" i="4"/>
  <c r="F178" i="4"/>
  <c r="E178" i="4"/>
  <c r="D178" i="4"/>
  <c r="C178" i="4"/>
  <c r="H177" i="4"/>
  <c r="F177" i="4"/>
  <c r="E177" i="4"/>
  <c r="D177" i="4"/>
  <c r="C177" i="4"/>
  <c r="H176" i="4"/>
  <c r="F176" i="4"/>
  <c r="E176" i="4"/>
  <c r="D176" i="4"/>
  <c r="C176" i="4"/>
  <c r="H175" i="4"/>
  <c r="F175" i="4"/>
  <c r="E175" i="4"/>
  <c r="D175" i="4"/>
  <c r="C175" i="4"/>
  <c r="H174" i="4"/>
  <c r="F174" i="4"/>
  <c r="E174" i="4"/>
  <c r="D174" i="4"/>
  <c r="C174" i="4"/>
  <c r="H173" i="4"/>
  <c r="F173" i="4"/>
  <c r="E173" i="4"/>
  <c r="D173" i="4"/>
  <c r="C173" i="4"/>
  <c r="H172" i="4"/>
  <c r="F172" i="4"/>
  <c r="E172" i="4"/>
  <c r="D172" i="4"/>
  <c r="C172" i="4"/>
  <c r="H171" i="4"/>
  <c r="G171" i="4"/>
  <c r="F171" i="4"/>
  <c r="E171" i="4"/>
  <c r="D171" i="4"/>
  <c r="C171" i="4"/>
  <c r="H170" i="4"/>
  <c r="G170" i="4"/>
  <c r="F170" i="4"/>
  <c r="E170" i="4"/>
  <c r="D170" i="4"/>
  <c r="C170" i="4"/>
  <c r="H169" i="4"/>
  <c r="G169" i="4"/>
  <c r="F169" i="4"/>
  <c r="E169" i="4"/>
  <c r="D169" i="4"/>
  <c r="C169" i="4"/>
  <c r="H168" i="4"/>
  <c r="F168" i="4"/>
  <c r="E168" i="4"/>
  <c r="D168" i="4"/>
  <c r="C168" i="4"/>
  <c r="H167" i="4"/>
  <c r="F167" i="4"/>
  <c r="E167" i="4"/>
  <c r="D167" i="4"/>
  <c r="C167" i="4"/>
  <c r="H166" i="4"/>
  <c r="G166" i="4"/>
  <c r="F166" i="4"/>
  <c r="E166" i="4"/>
  <c r="D166" i="4"/>
  <c r="C166" i="4"/>
  <c r="H165" i="4"/>
  <c r="F165" i="4"/>
  <c r="E165" i="4"/>
  <c r="D165" i="4"/>
  <c r="C165" i="4"/>
  <c r="H164" i="4"/>
  <c r="F164" i="4"/>
  <c r="E164" i="4"/>
  <c r="D164" i="4"/>
  <c r="C164" i="4"/>
  <c r="H163" i="4"/>
  <c r="G163" i="4"/>
  <c r="F163" i="4"/>
  <c r="E163" i="4"/>
  <c r="D163" i="4"/>
  <c r="C163" i="4"/>
  <c r="H162" i="4"/>
  <c r="F162" i="4"/>
  <c r="E162" i="4"/>
  <c r="D162" i="4"/>
  <c r="C162" i="4"/>
  <c r="H161" i="4"/>
  <c r="F161" i="4"/>
  <c r="E161" i="4"/>
  <c r="D161" i="4"/>
  <c r="C161" i="4"/>
  <c r="H160" i="4"/>
  <c r="F160" i="4"/>
  <c r="E160" i="4"/>
  <c r="D160" i="4"/>
  <c r="C160" i="4"/>
  <c r="H159" i="4"/>
  <c r="F159" i="4"/>
  <c r="E159" i="4"/>
  <c r="D159" i="4"/>
  <c r="C159" i="4"/>
  <c r="H158" i="4"/>
  <c r="F158" i="4"/>
  <c r="E158" i="4"/>
  <c r="D158" i="4"/>
  <c r="C158" i="4"/>
  <c r="H157" i="4"/>
  <c r="F157" i="4"/>
  <c r="E157" i="4"/>
  <c r="D157" i="4"/>
  <c r="C157" i="4"/>
  <c r="H156" i="4"/>
  <c r="F156" i="4"/>
  <c r="E156" i="4"/>
  <c r="D156" i="4"/>
  <c r="C156" i="4"/>
  <c r="H155" i="4"/>
  <c r="F155" i="4"/>
  <c r="E155" i="4"/>
  <c r="D155" i="4"/>
  <c r="C155" i="4"/>
  <c r="H154" i="4"/>
  <c r="F154" i="4"/>
  <c r="E154" i="4"/>
  <c r="D154" i="4"/>
  <c r="C154" i="4"/>
  <c r="H153" i="4"/>
  <c r="F153" i="4"/>
  <c r="E153" i="4"/>
  <c r="D153" i="4"/>
  <c r="C153" i="4"/>
  <c r="H152" i="4"/>
  <c r="F152" i="4"/>
  <c r="E152" i="4"/>
  <c r="D152" i="4"/>
  <c r="C152" i="4"/>
  <c r="H151" i="4"/>
  <c r="G151" i="4"/>
  <c r="F151" i="4"/>
  <c r="E151" i="4"/>
  <c r="D151" i="4"/>
  <c r="C151" i="4"/>
  <c r="H150" i="4"/>
  <c r="G150" i="4"/>
  <c r="F150" i="4"/>
  <c r="E150" i="4"/>
  <c r="D150" i="4"/>
  <c r="C150" i="4"/>
  <c r="H149" i="4"/>
  <c r="G149" i="4"/>
  <c r="F149" i="4"/>
  <c r="E149" i="4"/>
  <c r="D149" i="4"/>
  <c r="C149" i="4"/>
  <c r="H148" i="4"/>
  <c r="G148" i="4"/>
  <c r="F148" i="4"/>
  <c r="E148" i="4"/>
  <c r="D148" i="4"/>
  <c r="C148" i="4"/>
  <c r="H147" i="4"/>
  <c r="F147" i="4"/>
  <c r="E147" i="4"/>
  <c r="D147" i="4"/>
  <c r="C147" i="4"/>
  <c r="H146" i="4"/>
  <c r="F146" i="4"/>
  <c r="E146" i="4"/>
  <c r="D146" i="4"/>
  <c r="C146" i="4"/>
  <c r="H145" i="4"/>
  <c r="F145" i="4"/>
  <c r="E145" i="4"/>
  <c r="D145" i="4"/>
  <c r="C145" i="4"/>
  <c r="H144" i="4"/>
  <c r="F144" i="4"/>
  <c r="E144" i="4"/>
  <c r="D144" i="4"/>
  <c r="C144" i="4"/>
  <c r="H143" i="4"/>
  <c r="F143" i="4"/>
  <c r="E143" i="4"/>
  <c r="D143" i="4"/>
  <c r="C143" i="4"/>
  <c r="H142" i="4"/>
  <c r="G142" i="4"/>
  <c r="F142" i="4"/>
  <c r="E142" i="4"/>
  <c r="D142" i="4"/>
  <c r="C142" i="4"/>
  <c r="H141" i="4"/>
  <c r="G141" i="4"/>
  <c r="F141" i="4"/>
  <c r="E141" i="4"/>
  <c r="D141" i="4"/>
  <c r="C141" i="4"/>
  <c r="H140" i="4"/>
  <c r="F140" i="4"/>
  <c r="E140" i="4"/>
  <c r="D140" i="4"/>
  <c r="C140" i="4"/>
  <c r="H139" i="4"/>
  <c r="F139" i="4"/>
  <c r="E139" i="4"/>
  <c r="D139" i="4"/>
  <c r="C139" i="4"/>
  <c r="H138" i="4"/>
  <c r="F138" i="4"/>
  <c r="E138" i="4"/>
  <c r="D138" i="4"/>
  <c r="C138" i="4"/>
  <c r="H137" i="4"/>
  <c r="F137" i="4"/>
  <c r="E137" i="4"/>
  <c r="D137" i="4"/>
  <c r="C137" i="4"/>
  <c r="H136" i="4"/>
  <c r="G136" i="4"/>
  <c r="F136" i="4"/>
  <c r="E136" i="4"/>
  <c r="D136" i="4"/>
  <c r="C136" i="4"/>
  <c r="H135" i="4"/>
  <c r="F135" i="4"/>
  <c r="E135" i="4"/>
  <c r="D135" i="4"/>
  <c r="C135" i="4"/>
  <c r="H134" i="4"/>
  <c r="F134" i="4"/>
  <c r="E134" i="4"/>
  <c r="D134" i="4"/>
  <c r="C134" i="4"/>
  <c r="H133" i="4"/>
  <c r="G133" i="4"/>
  <c r="F133" i="4"/>
  <c r="E133" i="4"/>
  <c r="D133" i="4"/>
  <c r="C133" i="4"/>
  <c r="H132" i="4"/>
  <c r="F132" i="4"/>
  <c r="E132" i="4"/>
  <c r="D132" i="4"/>
  <c r="C132" i="4"/>
  <c r="H131" i="4"/>
  <c r="F131" i="4"/>
  <c r="E131" i="4"/>
  <c r="D131" i="4"/>
  <c r="C131" i="4"/>
  <c r="H130" i="4"/>
  <c r="G130" i="4"/>
  <c r="F130" i="4"/>
  <c r="E130" i="4"/>
  <c r="D130" i="4"/>
  <c r="C130" i="4"/>
  <c r="H129" i="4"/>
  <c r="F129" i="4"/>
  <c r="E129" i="4"/>
  <c r="D129" i="4"/>
  <c r="C129" i="4"/>
  <c r="H128" i="4"/>
  <c r="F128" i="4"/>
  <c r="E128" i="4"/>
  <c r="D128" i="4"/>
  <c r="C128" i="4"/>
  <c r="H127" i="4"/>
  <c r="F127" i="4"/>
  <c r="E127" i="4"/>
  <c r="D127" i="4"/>
  <c r="C127" i="4"/>
  <c r="H126" i="4"/>
  <c r="G126" i="4"/>
  <c r="F126" i="4"/>
  <c r="E126" i="4"/>
  <c r="D126" i="4"/>
  <c r="C126" i="4"/>
  <c r="H125" i="4"/>
  <c r="F125" i="4"/>
  <c r="E125" i="4"/>
  <c r="D125" i="4"/>
  <c r="C125" i="4"/>
  <c r="H124" i="4"/>
  <c r="G124" i="4"/>
  <c r="F124" i="4"/>
  <c r="E124" i="4"/>
  <c r="D124" i="4"/>
  <c r="C124" i="4"/>
  <c r="H123" i="4"/>
  <c r="F123" i="4"/>
  <c r="E123" i="4"/>
  <c r="D123" i="4"/>
  <c r="C123" i="4"/>
  <c r="H122" i="4"/>
  <c r="F122" i="4"/>
  <c r="E122" i="4"/>
  <c r="D122" i="4"/>
  <c r="C122" i="4"/>
  <c r="H121" i="4"/>
  <c r="G121" i="4"/>
  <c r="F121" i="4"/>
  <c r="E121" i="4"/>
  <c r="D121" i="4"/>
  <c r="C121" i="4"/>
  <c r="H120" i="4"/>
  <c r="F120" i="4"/>
  <c r="E120" i="4"/>
  <c r="D120" i="4"/>
  <c r="C120" i="4"/>
  <c r="H119" i="4"/>
  <c r="F119" i="4"/>
  <c r="E119" i="4"/>
  <c r="D119" i="4"/>
  <c r="C119" i="4"/>
  <c r="H118" i="4"/>
  <c r="F118" i="4"/>
  <c r="E118" i="4"/>
  <c r="D118" i="4"/>
  <c r="C118" i="4"/>
  <c r="H117" i="4"/>
  <c r="F117" i="4"/>
  <c r="E117" i="4"/>
  <c r="D117" i="4"/>
  <c r="C117" i="4"/>
  <c r="H116" i="4"/>
  <c r="F116" i="4"/>
  <c r="E116" i="4"/>
  <c r="D116" i="4"/>
  <c r="C116" i="4"/>
  <c r="H115" i="4"/>
  <c r="G115" i="4"/>
  <c r="F115" i="4"/>
  <c r="E115" i="4"/>
  <c r="D115" i="4"/>
  <c r="C115" i="4"/>
  <c r="H114" i="4"/>
  <c r="F114" i="4"/>
  <c r="E114" i="4"/>
  <c r="D114" i="4"/>
  <c r="C114" i="4"/>
  <c r="H113" i="4"/>
  <c r="F113" i="4"/>
  <c r="E113" i="4"/>
  <c r="D113" i="4"/>
  <c r="C113" i="4"/>
  <c r="H112" i="4"/>
  <c r="F112" i="4"/>
  <c r="E112" i="4"/>
  <c r="D112" i="4"/>
  <c r="C112" i="4"/>
  <c r="H111" i="4"/>
  <c r="G111" i="4"/>
  <c r="F111" i="4"/>
  <c r="E111" i="4"/>
  <c r="D111" i="4"/>
  <c r="C111" i="4"/>
  <c r="H110" i="4"/>
  <c r="F110" i="4"/>
  <c r="E110" i="4"/>
  <c r="D110" i="4"/>
  <c r="C110" i="4"/>
  <c r="H109" i="4"/>
  <c r="F109" i="4"/>
  <c r="E109" i="4"/>
  <c r="D109" i="4"/>
  <c r="C109" i="4"/>
  <c r="H108" i="4"/>
  <c r="F108" i="4"/>
  <c r="E108" i="4"/>
  <c r="D108" i="4"/>
  <c r="C108" i="4"/>
  <c r="H107" i="4"/>
  <c r="F107" i="4"/>
  <c r="E107" i="4"/>
  <c r="D107" i="4"/>
  <c r="C107" i="4"/>
  <c r="H106" i="4"/>
  <c r="F106" i="4"/>
  <c r="E106" i="4"/>
  <c r="D106" i="4"/>
  <c r="C106" i="4"/>
  <c r="H105" i="4"/>
  <c r="F105" i="4"/>
  <c r="E105" i="4"/>
  <c r="D105" i="4"/>
  <c r="C105" i="4"/>
  <c r="H104" i="4"/>
  <c r="G104" i="4"/>
  <c r="F104" i="4"/>
  <c r="E104" i="4"/>
  <c r="D104" i="4"/>
  <c r="C104" i="4"/>
  <c r="H103" i="4"/>
  <c r="F103" i="4"/>
  <c r="E103" i="4"/>
  <c r="D103" i="4"/>
  <c r="C103" i="4"/>
  <c r="H102" i="4"/>
  <c r="G102" i="4"/>
  <c r="F102" i="4"/>
  <c r="E102" i="4"/>
  <c r="D102" i="4"/>
  <c r="C102" i="4"/>
  <c r="H101" i="4"/>
  <c r="G101" i="4"/>
  <c r="F101" i="4"/>
  <c r="E101" i="4"/>
  <c r="D101" i="4"/>
  <c r="C101" i="4"/>
  <c r="H100" i="4"/>
  <c r="F100" i="4"/>
  <c r="E100" i="4"/>
  <c r="D100" i="4"/>
  <c r="C100" i="4"/>
  <c r="H99" i="4"/>
  <c r="F99" i="4"/>
  <c r="E99" i="4"/>
  <c r="D99" i="4"/>
  <c r="C99" i="4"/>
  <c r="H98" i="4"/>
  <c r="F98" i="4"/>
  <c r="E98" i="4"/>
  <c r="D98" i="4"/>
  <c r="C98" i="4"/>
  <c r="H97" i="4"/>
  <c r="F97" i="4"/>
  <c r="E97" i="4"/>
  <c r="D97" i="4"/>
  <c r="C97" i="4"/>
  <c r="H96" i="4"/>
  <c r="G96" i="4"/>
  <c r="F96" i="4"/>
  <c r="E96" i="4"/>
  <c r="D96" i="4"/>
  <c r="C96" i="4"/>
  <c r="H95" i="4"/>
  <c r="F95" i="4"/>
  <c r="E95" i="4"/>
  <c r="D95" i="4"/>
  <c r="C95" i="4"/>
  <c r="H94" i="4"/>
  <c r="F94" i="4"/>
  <c r="E94" i="4"/>
  <c r="D94" i="4"/>
  <c r="C94" i="4"/>
  <c r="H93" i="4"/>
  <c r="G93" i="4"/>
  <c r="F93" i="4"/>
  <c r="E93" i="4"/>
  <c r="D93" i="4"/>
  <c r="C93" i="4"/>
  <c r="H92" i="4"/>
  <c r="F92" i="4"/>
  <c r="E92" i="4"/>
  <c r="D92" i="4"/>
  <c r="C92" i="4"/>
  <c r="H91" i="4"/>
  <c r="G91" i="4"/>
  <c r="F91" i="4"/>
  <c r="E91" i="4"/>
  <c r="D91" i="4"/>
  <c r="C91" i="4"/>
  <c r="H90" i="4"/>
  <c r="G90" i="4"/>
  <c r="F90" i="4"/>
  <c r="E90" i="4"/>
  <c r="D90" i="4"/>
  <c r="C90" i="4"/>
  <c r="H89" i="4"/>
  <c r="F89" i="4"/>
  <c r="E89" i="4"/>
  <c r="D89" i="4"/>
  <c r="C89" i="4"/>
  <c r="H88" i="4"/>
  <c r="G88" i="4"/>
  <c r="F88" i="4"/>
  <c r="E88" i="4"/>
  <c r="D88" i="4"/>
  <c r="C88" i="4"/>
  <c r="H87" i="4"/>
  <c r="G87" i="4"/>
  <c r="F87" i="4"/>
  <c r="E87" i="4"/>
  <c r="D87" i="4"/>
  <c r="C87" i="4"/>
  <c r="H86" i="4"/>
  <c r="F86" i="4"/>
  <c r="E86" i="4"/>
  <c r="D86" i="4"/>
  <c r="C86" i="4"/>
  <c r="H85" i="4"/>
  <c r="G85" i="4"/>
  <c r="F85" i="4"/>
  <c r="E85" i="4"/>
  <c r="D85" i="4"/>
  <c r="C85" i="4"/>
  <c r="H84" i="4"/>
  <c r="F84" i="4"/>
  <c r="E84" i="4"/>
  <c r="D84" i="4"/>
  <c r="C84" i="4"/>
  <c r="H83" i="4"/>
  <c r="G83" i="4"/>
  <c r="F83" i="4"/>
  <c r="E83" i="4"/>
  <c r="D83" i="4"/>
  <c r="C83" i="4"/>
  <c r="H82" i="4"/>
  <c r="F82" i="4"/>
  <c r="E82" i="4"/>
  <c r="D82" i="4"/>
  <c r="C82" i="4"/>
  <c r="H81" i="4"/>
  <c r="G81" i="4"/>
  <c r="F81" i="4"/>
  <c r="E81" i="4"/>
  <c r="D81" i="4"/>
  <c r="C81" i="4"/>
  <c r="H80" i="4"/>
  <c r="F80" i="4"/>
  <c r="E80" i="4"/>
  <c r="D80" i="4"/>
  <c r="C80" i="4"/>
  <c r="H79" i="4"/>
  <c r="F79" i="4"/>
  <c r="E79" i="4"/>
  <c r="D79" i="4"/>
  <c r="C79" i="4"/>
  <c r="H78" i="4"/>
  <c r="G78" i="4"/>
  <c r="F78" i="4"/>
  <c r="E78" i="4"/>
  <c r="D78" i="4"/>
  <c r="C78" i="4"/>
  <c r="H77" i="4"/>
  <c r="F77" i="4"/>
  <c r="E77" i="4"/>
  <c r="D77" i="4"/>
  <c r="C77" i="4"/>
  <c r="H76" i="4"/>
  <c r="F76" i="4"/>
  <c r="E76" i="4"/>
  <c r="D76" i="4"/>
  <c r="C76" i="4"/>
  <c r="H75" i="4"/>
  <c r="F75" i="4"/>
  <c r="E75" i="4"/>
  <c r="D75" i="4"/>
  <c r="C75" i="4"/>
  <c r="H74" i="4"/>
  <c r="G74" i="4"/>
  <c r="F74" i="4"/>
  <c r="E74" i="4"/>
  <c r="D74" i="4"/>
  <c r="C74" i="4"/>
  <c r="H73" i="4"/>
  <c r="F73" i="4"/>
  <c r="E73" i="4"/>
  <c r="D73" i="4"/>
  <c r="C73" i="4"/>
  <c r="H72" i="4"/>
  <c r="G72" i="4"/>
  <c r="F72" i="4"/>
  <c r="E72" i="4"/>
  <c r="D72" i="4"/>
  <c r="C72" i="4"/>
  <c r="H71" i="4"/>
  <c r="F71" i="4"/>
  <c r="E71" i="4"/>
  <c r="D71" i="4"/>
  <c r="C71" i="4"/>
  <c r="H70" i="4"/>
  <c r="G70" i="4"/>
  <c r="F70" i="4"/>
  <c r="E70" i="4"/>
  <c r="D70" i="4"/>
  <c r="C70" i="4"/>
  <c r="H69" i="4"/>
  <c r="F69" i="4"/>
  <c r="E69" i="4"/>
  <c r="D69" i="4"/>
  <c r="C69" i="4"/>
  <c r="H68" i="4"/>
  <c r="F68" i="4"/>
  <c r="E68" i="4"/>
  <c r="D68" i="4"/>
  <c r="C68" i="4"/>
  <c r="H67" i="4"/>
  <c r="F67" i="4"/>
  <c r="E67" i="4"/>
  <c r="D67" i="4"/>
  <c r="C67" i="4"/>
  <c r="H66" i="4"/>
  <c r="F66" i="4"/>
  <c r="E66" i="4"/>
  <c r="D66" i="4"/>
  <c r="C66" i="4"/>
  <c r="H65" i="4"/>
  <c r="F65" i="4"/>
  <c r="E65" i="4"/>
  <c r="D65" i="4"/>
  <c r="C65" i="4"/>
  <c r="H64" i="4"/>
  <c r="F64" i="4"/>
  <c r="E64" i="4"/>
  <c r="D64" i="4"/>
  <c r="C64" i="4"/>
  <c r="H63" i="4"/>
  <c r="F63" i="4"/>
  <c r="E63" i="4"/>
  <c r="D63" i="4"/>
  <c r="C63" i="4"/>
  <c r="H62" i="4"/>
  <c r="F62" i="4"/>
  <c r="E62" i="4"/>
  <c r="D62" i="4"/>
  <c r="C62" i="4"/>
  <c r="H61" i="4"/>
  <c r="F61" i="4"/>
  <c r="E61" i="4"/>
  <c r="D61" i="4"/>
  <c r="C61" i="4"/>
  <c r="H60" i="4"/>
  <c r="G60" i="4"/>
  <c r="F60" i="4"/>
  <c r="E60" i="4"/>
  <c r="D60" i="4"/>
  <c r="C60" i="4"/>
  <c r="H59" i="4"/>
  <c r="F59" i="4"/>
  <c r="E59" i="4"/>
  <c r="D59" i="4"/>
  <c r="C59" i="4"/>
  <c r="H58" i="4"/>
  <c r="G58" i="4"/>
  <c r="F58" i="4"/>
  <c r="E58" i="4"/>
  <c r="D58" i="4"/>
  <c r="C58" i="4"/>
  <c r="H57" i="4"/>
  <c r="F57" i="4"/>
  <c r="E57" i="4"/>
  <c r="D57" i="4"/>
  <c r="C57" i="4"/>
  <c r="H56" i="4"/>
  <c r="F56" i="4"/>
  <c r="E56" i="4"/>
  <c r="D56" i="4"/>
  <c r="C56" i="4"/>
  <c r="H55" i="4"/>
  <c r="G55" i="4"/>
  <c r="F55" i="4"/>
  <c r="E55" i="4"/>
  <c r="D55" i="4"/>
  <c r="C55" i="4"/>
  <c r="H54" i="4"/>
  <c r="G54" i="4"/>
  <c r="F54" i="4"/>
  <c r="E54" i="4"/>
  <c r="D54" i="4"/>
  <c r="C54" i="4"/>
  <c r="H53" i="4"/>
  <c r="F53" i="4"/>
  <c r="E53" i="4"/>
  <c r="D53" i="4"/>
  <c r="C53" i="4"/>
  <c r="H52" i="4"/>
  <c r="F52" i="4"/>
  <c r="E52" i="4"/>
  <c r="D52" i="4"/>
  <c r="C52" i="4"/>
  <c r="H51" i="4"/>
  <c r="F51" i="4"/>
  <c r="E51" i="4"/>
  <c r="D51" i="4"/>
  <c r="C51" i="4"/>
  <c r="H50" i="4"/>
  <c r="F50" i="4"/>
  <c r="E50" i="4"/>
  <c r="D50" i="4"/>
  <c r="C50" i="4"/>
  <c r="H49" i="4"/>
  <c r="F49" i="4"/>
  <c r="E49" i="4"/>
  <c r="D49" i="4"/>
  <c r="C49" i="4"/>
  <c r="H48" i="4"/>
  <c r="F48" i="4"/>
  <c r="E48" i="4"/>
  <c r="D48" i="4"/>
  <c r="C48" i="4"/>
  <c r="H47" i="4"/>
  <c r="G47" i="4"/>
  <c r="F47" i="4"/>
  <c r="E47" i="4"/>
  <c r="D47" i="4"/>
  <c r="C47" i="4"/>
  <c r="H46" i="4"/>
  <c r="F46" i="4"/>
  <c r="E46" i="4"/>
  <c r="D46" i="4"/>
  <c r="C46" i="4"/>
  <c r="H45" i="4"/>
  <c r="G45" i="4"/>
  <c r="F45" i="4"/>
  <c r="E45" i="4"/>
  <c r="D45" i="4"/>
  <c r="C45" i="4"/>
  <c r="H44" i="4"/>
  <c r="F44" i="4"/>
  <c r="E44" i="4"/>
  <c r="D44" i="4"/>
  <c r="C44" i="4"/>
  <c r="H43" i="4"/>
  <c r="F43" i="4"/>
  <c r="E43" i="4"/>
  <c r="D43" i="4"/>
  <c r="C43" i="4"/>
  <c r="H42" i="4"/>
  <c r="F42" i="4"/>
  <c r="E42" i="4"/>
  <c r="D42" i="4"/>
  <c r="C42" i="4"/>
  <c r="H41" i="4"/>
  <c r="G41" i="4"/>
  <c r="F41" i="4"/>
  <c r="E41" i="4"/>
  <c r="D41" i="4"/>
  <c r="C41" i="4"/>
  <c r="H40" i="4"/>
  <c r="G40" i="4"/>
  <c r="F40" i="4"/>
  <c r="E40" i="4"/>
  <c r="D40" i="4"/>
  <c r="C40" i="4"/>
  <c r="H39" i="4"/>
  <c r="G39" i="4"/>
  <c r="F39" i="4"/>
  <c r="E39" i="4"/>
  <c r="D39" i="4"/>
  <c r="C39" i="4"/>
  <c r="H38" i="4"/>
  <c r="F38" i="4"/>
  <c r="E38" i="4"/>
  <c r="D38" i="4"/>
  <c r="C38" i="4"/>
  <c r="H37" i="4"/>
  <c r="F37" i="4"/>
  <c r="E37" i="4"/>
  <c r="D37" i="4"/>
  <c r="C37" i="4"/>
  <c r="H36" i="4"/>
  <c r="F36" i="4"/>
  <c r="E36" i="4"/>
  <c r="D36" i="4"/>
  <c r="C36" i="4"/>
  <c r="H35" i="4"/>
  <c r="F35" i="4"/>
  <c r="E35" i="4"/>
  <c r="D35" i="4"/>
  <c r="C35" i="4"/>
  <c r="H34" i="4"/>
  <c r="F34" i="4"/>
  <c r="E34" i="4"/>
  <c r="D34" i="4"/>
  <c r="C34" i="4"/>
  <c r="H33" i="4"/>
  <c r="F33" i="4"/>
  <c r="E33" i="4"/>
  <c r="D33" i="4"/>
  <c r="C33" i="4"/>
  <c r="H32" i="4"/>
  <c r="G32" i="4"/>
  <c r="F32" i="4"/>
  <c r="E32" i="4"/>
  <c r="D32" i="4"/>
  <c r="C32" i="4"/>
  <c r="H31" i="4"/>
  <c r="F31" i="4"/>
  <c r="E31" i="4"/>
  <c r="D31" i="4"/>
  <c r="C31" i="4"/>
  <c r="H30" i="4"/>
  <c r="F30" i="4"/>
  <c r="E30" i="4"/>
  <c r="D30" i="4"/>
  <c r="C30" i="4"/>
  <c r="H29" i="4"/>
  <c r="F29" i="4"/>
  <c r="E29" i="4"/>
  <c r="D29" i="4"/>
  <c r="C29" i="4"/>
  <c r="H28" i="4"/>
  <c r="F28" i="4"/>
  <c r="E28" i="4"/>
  <c r="D28" i="4"/>
  <c r="C28" i="4"/>
  <c r="H27" i="4"/>
  <c r="F27" i="4"/>
  <c r="E27" i="4"/>
  <c r="D27" i="4"/>
  <c r="C27" i="4"/>
  <c r="H26" i="4"/>
  <c r="F26" i="4"/>
  <c r="E26" i="4"/>
  <c r="D26" i="4"/>
  <c r="C26" i="4"/>
  <c r="H25" i="4"/>
  <c r="F25" i="4"/>
  <c r="E25" i="4"/>
  <c r="D25" i="4"/>
  <c r="C25" i="4"/>
  <c r="H24" i="4"/>
  <c r="G24" i="4"/>
  <c r="F24" i="4"/>
  <c r="E24" i="4"/>
  <c r="D24" i="4"/>
  <c r="C24" i="4"/>
  <c r="H23" i="4"/>
  <c r="F23" i="4"/>
  <c r="E23" i="4"/>
  <c r="D23" i="4"/>
  <c r="C23" i="4"/>
  <c r="H22" i="4"/>
  <c r="F22" i="4"/>
  <c r="E22" i="4"/>
  <c r="D22" i="4"/>
  <c r="C22" i="4"/>
  <c r="H21" i="4"/>
  <c r="F21" i="4"/>
  <c r="E21" i="4"/>
  <c r="D21" i="4"/>
  <c r="C21" i="4"/>
  <c r="H20" i="4"/>
  <c r="F20" i="4"/>
  <c r="E20" i="4"/>
  <c r="D20" i="4"/>
  <c r="C20" i="4"/>
  <c r="H19" i="4"/>
  <c r="F19" i="4"/>
  <c r="E19" i="4"/>
  <c r="D19" i="4"/>
  <c r="C19" i="4"/>
  <c r="H18" i="4"/>
  <c r="F18" i="4"/>
  <c r="E18" i="4"/>
  <c r="D18" i="4"/>
  <c r="C18" i="4"/>
  <c r="H17" i="4"/>
  <c r="F17" i="4"/>
  <c r="E17" i="4"/>
  <c r="D17" i="4"/>
  <c r="C17" i="4"/>
  <c r="H16" i="4"/>
  <c r="F16" i="4"/>
  <c r="E16" i="4"/>
  <c r="D16" i="4"/>
  <c r="C16" i="4"/>
  <c r="H15" i="4"/>
  <c r="F15" i="4"/>
  <c r="E15" i="4"/>
  <c r="D15" i="4"/>
  <c r="C15" i="4"/>
  <c r="H202" i="3"/>
  <c r="G202" i="3"/>
  <c r="F202" i="3"/>
  <c r="E202" i="3"/>
  <c r="D202" i="3"/>
  <c r="C202" i="3"/>
  <c r="H201" i="3"/>
  <c r="G201" i="3"/>
  <c r="F201" i="3"/>
  <c r="E201" i="3"/>
  <c r="D201" i="3"/>
  <c r="C201" i="3"/>
  <c r="H200" i="3"/>
  <c r="G200" i="3"/>
  <c r="F200" i="3"/>
  <c r="E200" i="3"/>
  <c r="D200" i="3"/>
  <c r="C200" i="3"/>
  <c r="H199" i="3"/>
  <c r="G199" i="3"/>
  <c r="F199" i="3"/>
  <c r="E199" i="3"/>
  <c r="D199" i="3"/>
  <c r="C199" i="3"/>
  <c r="H198" i="3"/>
  <c r="G198" i="3"/>
  <c r="F198" i="3"/>
  <c r="E198" i="3"/>
  <c r="D198" i="3"/>
  <c r="C198" i="3"/>
  <c r="H197" i="3"/>
  <c r="G197" i="3"/>
  <c r="F197" i="3"/>
  <c r="E197" i="3"/>
  <c r="D197" i="3"/>
  <c r="C197" i="3"/>
  <c r="H196" i="3"/>
  <c r="G196" i="3"/>
  <c r="F196" i="3"/>
  <c r="E196" i="3"/>
  <c r="D196" i="3"/>
  <c r="C196" i="3"/>
  <c r="H195" i="3"/>
  <c r="G195" i="3"/>
  <c r="F195" i="3"/>
  <c r="E195" i="3"/>
  <c r="D195" i="3"/>
  <c r="C195" i="3"/>
  <c r="H194" i="3"/>
  <c r="G194" i="3"/>
  <c r="F194" i="3"/>
  <c r="E194" i="3"/>
  <c r="D194" i="3"/>
  <c r="C194" i="3"/>
  <c r="H193" i="3"/>
  <c r="G193" i="3"/>
  <c r="F193" i="3"/>
  <c r="E193" i="3"/>
  <c r="D193" i="3"/>
  <c r="C193" i="3"/>
  <c r="H192" i="3"/>
  <c r="G192" i="3"/>
  <c r="F192" i="3"/>
  <c r="E192" i="3"/>
  <c r="D192" i="3"/>
  <c r="C192" i="3"/>
  <c r="H191" i="3"/>
  <c r="G191" i="3"/>
  <c r="F191" i="3"/>
  <c r="E191" i="3"/>
  <c r="D191" i="3"/>
  <c r="C191" i="3"/>
  <c r="H190" i="3"/>
  <c r="G190" i="3"/>
  <c r="F190" i="3"/>
  <c r="E190" i="3"/>
  <c r="D190" i="3"/>
  <c r="C190" i="3"/>
  <c r="H189" i="3"/>
  <c r="G189" i="3"/>
  <c r="F189" i="3"/>
  <c r="E189" i="3"/>
  <c r="D189" i="3"/>
  <c r="C189" i="3"/>
  <c r="H188" i="3"/>
  <c r="G188" i="3"/>
  <c r="F188" i="3"/>
  <c r="E188" i="3"/>
  <c r="D188" i="3"/>
  <c r="C188" i="3"/>
  <c r="H187" i="3"/>
  <c r="G187" i="3"/>
  <c r="F187" i="3"/>
  <c r="E187" i="3"/>
  <c r="D187" i="3"/>
  <c r="C187" i="3"/>
  <c r="H186" i="3"/>
  <c r="G186" i="3"/>
  <c r="F186" i="3"/>
  <c r="E186" i="3"/>
  <c r="D186" i="3"/>
  <c r="C186" i="3"/>
  <c r="H185" i="3"/>
  <c r="G185" i="3"/>
  <c r="F185" i="3"/>
  <c r="E185" i="3"/>
  <c r="D185" i="3"/>
  <c r="C185" i="3"/>
  <c r="H184" i="3"/>
  <c r="G184" i="3"/>
  <c r="F184" i="3"/>
  <c r="E184" i="3"/>
  <c r="D184" i="3"/>
  <c r="C184" i="3"/>
  <c r="H183" i="3"/>
  <c r="G183" i="3"/>
  <c r="F183" i="3"/>
  <c r="E183" i="3"/>
  <c r="D183" i="3"/>
  <c r="C183" i="3"/>
  <c r="H182" i="3"/>
  <c r="G182" i="3"/>
  <c r="F182" i="3"/>
  <c r="E182" i="3"/>
  <c r="D182" i="3"/>
  <c r="C182" i="3"/>
  <c r="H181" i="3"/>
  <c r="G181" i="3"/>
  <c r="F181" i="3"/>
  <c r="E181" i="3"/>
  <c r="D181" i="3"/>
  <c r="C181" i="3"/>
  <c r="H180" i="3"/>
  <c r="G180" i="3"/>
  <c r="F180" i="3"/>
  <c r="E180" i="3"/>
  <c r="D180" i="3"/>
  <c r="C180" i="3"/>
  <c r="H179" i="3"/>
  <c r="G179" i="3"/>
  <c r="F179" i="3"/>
  <c r="E179" i="3"/>
  <c r="D179" i="3"/>
  <c r="C179" i="3"/>
  <c r="H178" i="3"/>
  <c r="G178" i="3"/>
  <c r="F178" i="3"/>
  <c r="E178" i="3"/>
  <c r="D178" i="3"/>
  <c r="C178" i="3"/>
  <c r="H177" i="3"/>
  <c r="G177" i="3"/>
  <c r="F177" i="3"/>
  <c r="E177" i="3"/>
  <c r="D177" i="3"/>
  <c r="C177" i="3"/>
  <c r="H176" i="3"/>
  <c r="G176" i="3"/>
  <c r="F176" i="3"/>
  <c r="E176" i="3"/>
  <c r="D176" i="3"/>
  <c r="C176" i="3"/>
  <c r="H175" i="3"/>
  <c r="G175" i="3"/>
  <c r="F175" i="3"/>
  <c r="E175" i="3"/>
  <c r="D175" i="3"/>
  <c r="C175" i="3"/>
  <c r="H174" i="3"/>
  <c r="G174" i="3"/>
  <c r="F174" i="3"/>
  <c r="E174" i="3"/>
  <c r="D174" i="3"/>
  <c r="C174" i="3"/>
  <c r="H173" i="3"/>
  <c r="G173" i="3"/>
  <c r="F173" i="3"/>
  <c r="E173" i="3"/>
  <c r="D173" i="3"/>
  <c r="C173" i="3"/>
  <c r="H172" i="3"/>
  <c r="G172" i="3"/>
  <c r="F172" i="3"/>
  <c r="E172" i="3"/>
  <c r="D172" i="3"/>
  <c r="C172" i="3"/>
  <c r="H171" i="3"/>
  <c r="G171" i="3"/>
  <c r="F171" i="3"/>
  <c r="E171" i="3"/>
  <c r="D171" i="3"/>
  <c r="C171" i="3"/>
  <c r="H170" i="3"/>
  <c r="G170" i="3"/>
  <c r="F170" i="3"/>
  <c r="E170" i="3"/>
  <c r="D170" i="3"/>
  <c r="C170" i="3"/>
  <c r="H169" i="3"/>
  <c r="G169" i="3"/>
  <c r="F169" i="3"/>
  <c r="E169" i="3"/>
  <c r="D169" i="3"/>
  <c r="C169" i="3"/>
  <c r="H168" i="3"/>
  <c r="G168" i="3"/>
  <c r="F168" i="3"/>
  <c r="E168" i="3"/>
  <c r="D168" i="3"/>
  <c r="C168" i="3"/>
  <c r="H167" i="3"/>
  <c r="G167" i="3"/>
  <c r="F167" i="3"/>
  <c r="E167" i="3"/>
  <c r="D167" i="3"/>
  <c r="C167" i="3"/>
  <c r="H166" i="3"/>
  <c r="G166" i="3"/>
  <c r="F166" i="3"/>
  <c r="E166" i="3"/>
  <c r="D166" i="3"/>
  <c r="C166" i="3"/>
  <c r="H165" i="3"/>
  <c r="G165" i="3"/>
  <c r="F165" i="3"/>
  <c r="E165" i="3"/>
  <c r="D165" i="3"/>
  <c r="C165" i="3"/>
  <c r="H164" i="3"/>
  <c r="G164" i="3"/>
  <c r="F164" i="3"/>
  <c r="E164" i="3"/>
  <c r="D164" i="3"/>
  <c r="C164" i="3"/>
  <c r="H163" i="3"/>
  <c r="G163" i="3"/>
  <c r="F163" i="3"/>
  <c r="E163" i="3"/>
  <c r="D163" i="3"/>
  <c r="C163" i="3"/>
  <c r="H162" i="3"/>
  <c r="G162" i="3"/>
  <c r="F162" i="3"/>
  <c r="E162" i="3"/>
  <c r="D162" i="3"/>
  <c r="C162" i="3"/>
  <c r="H161" i="3"/>
  <c r="G161" i="3"/>
  <c r="F161" i="3"/>
  <c r="E161" i="3"/>
  <c r="D161" i="3"/>
  <c r="C161" i="3"/>
  <c r="H160" i="3"/>
  <c r="G160" i="3"/>
  <c r="F160" i="3"/>
  <c r="E160" i="3"/>
  <c r="D160" i="3"/>
  <c r="C160" i="3"/>
  <c r="H159" i="3"/>
  <c r="G159" i="3"/>
  <c r="F159" i="3"/>
  <c r="E159" i="3"/>
  <c r="D159" i="3"/>
  <c r="C159" i="3"/>
  <c r="H158" i="3"/>
  <c r="G158" i="3"/>
  <c r="F158" i="3"/>
  <c r="E158" i="3"/>
  <c r="D158" i="3"/>
  <c r="C158" i="3"/>
  <c r="H157" i="3"/>
  <c r="G157" i="3"/>
  <c r="F157" i="3"/>
  <c r="E157" i="3"/>
  <c r="D157" i="3"/>
  <c r="C157" i="3"/>
  <c r="H156" i="3"/>
  <c r="G156" i="3"/>
  <c r="F156" i="3"/>
  <c r="E156" i="3"/>
  <c r="D156" i="3"/>
  <c r="C156" i="3"/>
  <c r="H155" i="3"/>
  <c r="G155" i="3"/>
  <c r="F155" i="3"/>
  <c r="E155" i="3"/>
  <c r="D155" i="3"/>
  <c r="C155" i="3"/>
  <c r="H154" i="3"/>
  <c r="G154" i="3"/>
  <c r="F154" i="3"/>
  <c r="E154" i="3"/>
  <c r="D154" i="3"/>
  <c r="C154" i="3"/>
  <c r="H153" i="3"/>
  <c r="G153" i="3"/>
  <c r="F153" i="3"/>
  <c r="E153" i="3"/>
  <c r="D153" i="3"/>
  <c r="C153" i="3"/>
  <c r="H152" i="3"/>
  <c r="G152" i="3"/>
  <c r="F152" i="3"/>
  <c r="E152" i="3"/>
  <c r="D152" i="3"/>
  <c r="C152" i="3"/>
  <c r="H151" i="3"/>
  <c r="G151" i="3"/>
  <c r="F151" i="3"/>
  <c r="E151" i="3"/>
  <c r="D151" i="3"/>
  <c r="C151" i="3"/>
  <c r="H150" i="3"/>
  <c r="G150" i="3"/>
  <c r="F150" i="3"/>
  <c r="E150" i="3"/>
  <c r="D150" i="3"/>
  <c r="C150" i="3"/>
  <c r="H149" i="3"/>
  <c r="G149" i="3"/>
  <c r="F149" i="3"/>
  <c r="E149" i="3"/>
  <c r="D149" i="3"/>
  <c r="C149" i="3"/>
  <c r="H148" i="3"/>
  <c r="G148" i="3"/>
  <c r="F148" i="3"/>
  <c r="E148" i="3"/>
  <c r="D148" i="3"/>
  <c r="C148" i="3"/>
  <c r="H147" i="3"/>
  <c r="G147" i="3"/>
  <c r="F147" i="3"/>
  <c r="E147" i="3"/>
  <c r="D147" i="3"/>
  <c r="C147" i="3"/>
  <c r="H146" i="3"/>
  <c r="G146" i="3"/>
  <c r="F146" i="3"/>
  <c r="E146" i="3"/>
  <c r="D146" i="3"/>
  <c r="C146" i="3"/>
  <c r="H145" i="3"/>
  <c r="G145" i="3"/>
  <c r="F145" i="3"/>
  <c r="E145" i="3"/>
  <c r="D145" i="3"/>
  <c r="C145" i="3"/>
  <c r="H144" i="3"/>
  <c r="G144" i="3"/>
  <c r="F144" i="3"/>
  <c r="E144" i="3"/>
  <c r="D144" i="3"/>
  <c r="C144" i="3"/>
  <c r="H143" i="3"/>
  <c r="G143" i="3"/>
  <c r="F143" i="3"/>
  <c r="E143" i="3"/>
  <c r="D143" i="3"/>
  <c r="C143" i="3"/>
  <c r="H142" i="3"/>
  <c r="G142" i="3"/>
  <c r="F142" i="3"/>
  <c r="E142" i="3"/>
  <c r="D142" i="3"/>
  <c r="C142" i="3"/>
  <c r="H141" i="3"/>
  <c r="G141" i="3"/>
  <c r="F141" i="3"/>
  <c r="E141" i="3"/>
  <c r="D141" i="3"/>
  <c r="C141" i="3"/>
  <c r="H140" i="3"/>
  <c r="G140" i="3"/>
  <c r="F140" i="3"/>
  <c r="E140" i="3"/>
  <c r="D140" i="3"/>
  <c r="C140" i="3"/>
  <c r="H139" i="3"/>
  <c r="G139" i="3"/>
  <c r="F139" i="3"/>
  <c r="E139" i="3"/>
  <c r="D139" i="3"/>
  <c r="C139" i="3"/>
  <c r="H138" i="3"/>
  <c r="G138" i="3"/>
  <c r="F138" i="3"/>
  <c r="E138" i="3"/>
  <c r="D138" i="3"/>
  <c r="C138" i="3"/>
  <c r="H137" i="3"/>
  <c r="G137" i="3"/>
  <c r="F137" i="3"/>
  <c r="E137" i="3"/>
  <c r="D137" i="3"/>
  <c r="C137" i="3"/>
  <c r="H135" i="3"/>
  <c r="G135" i="3"/>
  <c r="F135" i="3"/>
  <c r="E135" i="3"/>
  <c r="D135" i="3"/>
  <c r="C135" i="3"/>
  <c r="H134" i="3"/>
  <c r="G134" i="3"/>
  <c r="F134" i="3"/>
  <c r="E134" i="3"/>
  <c r="D134" i="3"/>
  <c r="C134" i="3"/>
  <c r="H133" i="3"/>
  <c r="G133" i="3"/>
  <c r="F133" i="3"/>
  <c r="E133" i="3"/>
  <c r="D133" i="3"/>
  <c r="C133" i="3"/>
  <c r="H132" i="3"/>
  <c r="G132" i="3"/>
  <c r="F132" i="3"/>
  <c r="E132" i="3"/>
  <c r="D132" i="3"/>
  <c r="C132" i="3"/>
  <c r="H131" i="3"/>
  <c r="G131" i="3"/>
  <c r="F131" i="3"/>
  <c r="E131" i="3"/>
  <c r="D131" i="3"/>
  <c r="C131" i="3"/>
  <c r="H130" i="3"/>
  <c r="G130" i="3"/>
  <c r="F130" i="3"/>
  <c r="E130" i="3"/>
  <c r="D130" i="3"/>
  <c r="C130" i="3"/>
  <c r="H128" i="3"/>
  <c r="G128" i="3"/>
  <c r="F128" i="3"/>
  <c r="E128" i="3"/>
  <c r="D128" i="3"/>
  <c r="C128" i="3"/>
  <c r="H127" i="3"/>
  <c r="G127" i="3"/>
  <c r="F127" i="3"/>
  <c r="E127" i="3"/>
  <c r="D127" i="3"/>
  <c r="C127" i="3"/>
  <c r="H126" i="3"/>
  <c r="G126" i="3"/>
  <c r="F126" i="3"/>
  <c r="E126" i="3"/>
  <c r="D126" i="3"/>
  <c r="C126" i="3"/>
  <c r="H125" i="3"/>
  <c r="G125" i="3"/>
  <c r="F125" i="3"/>
  <c r="E125" i="3"/>
  <c r="D125" i="3"/>
  <c r="C125" i="3"/>
  <c r="H124" i="3"/>
  <c r="G124" i="3"/>
  <c r="F124" i="3"/>
  <c r="E124" i="3"/>
  <c r="D124" i="3"/>
  <c r="C124" i="3"/>
  <c r="H123" i="3"/>
  <c r="G123" i="3"/>
  <c r="F123" i="3"/>
  <c r="E123" i="3"/>
  <c r="D123" i="3"/>
  <c r="C123" i="3"/>
  <c r="H122" i="3"/>
  <c r="G122" i="3"/>
  <c r="F122" i="3"/>
  <c r="E122" i="3"/>
  <c r="D122" i="3"/>
  <c r="C122" i="3"/>
  <c r="H121" i="3"/>
  <c r="G121" i="3"/>
  <c r="F121" i="3"/>
  <c r="E121" i="3"/>
  <c r="D121" i="3"/>
  <c r="C121" i="3"/>
  <c r="H120" i="3"/>
  <c r="G120" i="3"/>
  <c r="F120" i="3"/>
  <c r="E120" i="3"/>
  <c r="D120" i="3"/>
  <c r="C120" i="3"/>
  <c r="H119" i="3"/>
  <c r="G119" i="3"/>
  <c r="F119" i="3"/>
  <c r="E119" i="3"/>
  <c r="D119" i="3"/>
  <c r="C119" i="3"/>
  <c r="H118" i="3"/>
  <c r="G118" i="3"/>
  <c r="F118" i="3"/>
  <c r="E118" i="3"/>
  <c r="D118" i="3"/>
  <c r="C118" i="3"/>
  <c r="H117" i="3"/>
  <c r="G117" i="3"/>
  <c r="F117" i="3"/>
  <c r="E117" i="3"/>
  <c r="D117" i="3"/>
  <c r="C117" i="3"/>
  <c r="H116" i="3"/>
  <c r="G116" i="3"/>
  <c r="F116" i="3"/>
  <c r="E116" i="3"/>
  <c r="D116" i="3"/>
  <c r="C116" i="3"/>
  <c r="H115" i="3"/>
  <c r="G115" i="3"/>
  <c r="F115" i="3"/>
  <c r="E115" i="3"/>
  <c r="D115" i="3"/>
  <c r="C115" i="3"/>
  <c r="H114" i="3"/>
  <c r="G114" i="3"/>
  <c r="F114" i="3"/>
  <c r="E114" i="3"/>
  <c r="D114" i="3"/>
  <c r="C114" i="3"/>
  <c r="H113" i="3"/>
  <c r="G113" i="3"/>
  <c r="F113" i="3"/>
  <c r="E113" i="3"/>
  <c r="D113" i="3"/>
  <c r="C113" i="3"/>
  <c r="H111" i="3"/>
  <c r="G111" i="3"/>
  <c r="F111" i="3"/>
  <c r="E111" i="3"/>
  <c r="D111" i="3"/>
  <c r="C111" i="3"/>
  <c r="H110" i="3"/>
  <c r="G110" i="3"/>
  <c r="F110" i="3"/>
  <c r="E110" i="3"/>
  <c r="D110" i="3"/>
  <c r="C110" i="3"/>
  <c r="H109" i="3"/>
  <c r="G109" i="3"/>
  <c r="F109" i="3"/>
  <c r="E109" i="3"/>
  <c r="D109" i="3"/>
  <c r="C109" i="3"/>
  <c r="H108" i="3"/>
  <c r="G108" i="3"/>
  <c r="F108" i="3"/>
  <c r="E108" i="3"/>
  <c r="D108" i="3"/>
  <c r="C108" i="3"/>
  <c r="H107" i="3"/>
  <c r="G107" i="3"/>
  <c r="F107" i="3"/>
  <c r="E107" i="3"/>
  <c r="D107" i="3"/>
  <c r="C107" i="3"/>
  <c r="H106" i="3"/>
  <c r="G106" i="3"/>
  <c r="F106" i="3"/>
  <c r="E106" i="3"/>
  <c r="D106" i="3"/>
  <c r="C106" i="3"/>
  <c r="H105" i="3"/>
  <c r="G105" i="3"/>
  <c r="F105" i="3"/>
  <c r="E105" i="3"/>
  <c r="D105" i="3"/>
  <c r="C105" i="3"/>
  <c r="H104" i="3"/>
  <c r="G104" i="3"/>
  <c r="F104" i="3"/>
  <c r="E104" i="3"/>
  <c r="D104" i="3"/>
  <c r="C104" i="3"/>
  <c r="H103" i="3"/>
  <c r="G103" i="3"/>
  <c r="F103" i="3"/>
  <c r="E103" i="3"/>
  <c r="D103" i="3"/>
  <c r="C103" i="3"/>
  <c r="H102" i="3"/>
  <c r="G102" i="3"/>
  <c r="F102" i="3"/>
  <c r="E102" i="3"/>
  <c r="D102" i="3"/>
  <c r="C102" i="3"/>
  <c r="H101" i="3"/>
  <c r="G101" i="3"/>
  <c r="F101" i="3"/>
  <c r="E101" i="3"/>
  <c r="D101" i="3"/>
  <c r="C101" i="3"/>
  <c r="H100" i="3"/>
  <c r="G100" i="3"/>
  <c r="F100" i="3"/>
  <c r="E100" i="3"/>
  <c r="D100" i="3"/>
  <c r="C100" i="3"/>
  <c r="H99" i="3"/>
  <c r="G99" i="3"/>
  <c r="F99" i="3"/>
  <c r="E99" i="3"/>
  <c r="D99" i="3"/>
  <c r="C99" i="3"/>
  <c r="H98" i="3"/>
  <c r="G98" i="3"/>
  <c r="F98" i="3"/>
  <c r="E98" i="3"/>
  <c r="D98" i="3"/>
  <c r="C98" i="3"/>
  <c r="H97" i="3"/>
  <c r="G97" i="3"/>
  <c r="F97" i="3"/>
  <c r="E97" i="3"/>
  <c r="D97" i="3"/>
  <c r="C97" i="3"/>
  <c r="H96" i="3"/>
  <c r="G96" i="3"/>
  <c r="F96" i="3"/>
  <c r="E96" i="3"/>
  <c r="D96" i="3"/>
  <c r="C96" i="3"/>
  <c r="H95" i="3"/>
  <c r="G95" i="3"/>
  <c r="F95" i="3"/>
  <c r="E95" i="3"/>
  <c r="D95" i="3"/>
  <c r="C95" i="3"/>
  <c r="H94" i="3"/>
  <c r="G94" i="3"/>
  <c r="F94" i="3"/>
  <c r="E94" i="3"/>
  <c r="D94" i="3"/>
  <c r="C94" i="3"/>
  <c r="H93" i="3"/>
  <c r="G93" i="3"/>
  <c r="F93" i="3"/>
  <c r="E93" i="3"/>
  <c r="D93" i="3"/>
  <c r="C93" i="3"/>
  <c r="H92" i="3"/>
  <c r="G92" i="3"/>
  <c r="F92" i="3"/>
  <c r="E92" i="3"/>
  <c r="D92" i="3"/>
  <c r="C92" i="3"/>
  <c r="H91" i="3"/>
  <c r="G91" i="3"/>
  <c r="F91" i="3"/>
  <c r="E91" i="3"/>
  <c r="D91" i="3"/>
  <c r="C91" i="3"/>
  <c r="H90" i="3"/>
  <c r="G90" i="3"/>
  <c r="F90" i="3"/>
  <c r="E90" i="3"/>
  <c r="D90" i="3"/>
  <c r="C90" i="3"/>
  <c r="H89" i="3"/>
  <c r="G89" i="3"/>
  <c r="F89" i="3"/>
  <c r="E89" i="3"/>
  <c r="D89" i="3"/>
  <c r="C89" i="3"/>
  <c r="H88" i="3"/>
  <c r="G88" i="3"/>
  <c r="F88" i="3"/>
  <c r="E88" i="3"/>
  <c r="D88" i="3"/>
  <c r="C88" i="3"/>
  <c r="H87" i="3"/>
  <c r="G87" i="3"/>
  <c r="F87" i="3"/>
  <c r="E87" i="3"/>
  <c r="D87" i="3"/>
  <c r="C87" i="3"/>
  <c r="H86" i="3"/>
  <c r="G86" i="3"/>
  <c r="F86" i="3"/>
  <c r="E86" i="3"/>
  <c r="D86" i="3"/>
  <c r="C86" i="3"/>
  <c r="H85" i="3"/>
  <c r="G85" i="3"/>
  <c r="F85" i="3"/>
  <c r="E85" i="3"/>
  <c r="D85" i="3"/>
  <c r="C85" i="3"/>
  <c r="H84" i="3"/>
  <c r="G84" i="3"/>
  <c r="F84" i="3"/>
  <c r="E84" i="3"/>
  <c r="D84" i="3"/>
  <c r="C84" i="3"/>
  <c r="H82" i="3"/>
  <c r="G82" i="3"/>
  <c r="F82" i="3"/>
  <c r="E82" i="3"/>
  <c r="D82" i="3"/>
  <c r="C82" i="3"/>
  <c r="H81" i="3"/>
  <c r="G81" i="3"/>
  <c r="F81" i="3"/>
  <c r="E81" i="3"/>
  <c r="D81" i="3"/>
  <c r="C81" i="3"/>
  <c r="H80" i="3"/>
  <c r="G80" i="3"/>
  <c r="F80" i="3"/>
  <c r="E80" i="3"/>
  <c r="D80" i="3"/>
  <c r="C80" i="3"/>
  <c r="H79" i="3"/>
  <c r="G79" i="3"/>
  <c r="F79" i="3"/>
  <c r="E79" i="3"/>
  <c r="D79" i="3"/>
  <c r="C79" i="3"/>
  <c r="H78" i="3"/>
  <c r="G78" i="3"/>
  <c r="F78" i="3"/>
  <c r="E78" i="3"/>
  <c r="D78" i="3"/>
  <c r="C78" i="3"/>
  <c r="H77" i="3"/>
  <c r="G77" i="3"/>
  <c r="F77" i="3"/>
  <c r="E77" i="3"/>
  <c r="D77" i="3"/>
  <c r="C77" i="3"/>
  <c r="H76" i="3"/>
  <c r="G76" i="3"/>
  <c r="F76" i="3"/>
  <c r="E76" i="3"/>
  <c r="D76" i="3"/>
  <c r="C76" i="3"/>
  <c r="H75" i="3"/>
  <c r="G75" i="3"/>
  <c r="F75" i="3"/>
  <c r="E75" i="3"/>
  <c r="D75" i="3"/>
  <c r="C75" i="3"/>
  <c r="H74" i="3"/>
  <c r="G74" i="3"/>
  <c r="F74" i="3"/>
  <c r="E74" i="3"/>
  <c r="D74" i="3"/>
  <c r="C74" i="3"/>
  <c r="H73" i="3"/>
  <c r="G73" i="3"/>
  <c r="F73" i="3"/>
  <c r="E73" i="3"/>
  <c r="D73" i="3"/>
  <c r="C73" i="3"/>
  <c r="H72" i="3"/>
  <c r="G72" i="3"/>
  <c r="F72" i="3"/>
  <c r="E72" i="3"/>
  <c r="D72" i="3"/>
  <c r="C72" i="3"/>
  <c r="H71" i="3"/>
  <c r="G71" i="3"/>
  <c r="F71" i="3"/>
  <c r="E71" i="3"/>
  <c r="D71" i="3"/>
  <c r="C71" i="3"/>
  <c r="H70" i="3"/>
  <c r="G70" i="3"/>
  <c r="F70" i="3"/>
  <c r="E70" i="3"/>
  <c r="D70" i="3"/>
  <c r="C70" i="3"/>
  <c r="H69" i="3"/>
  <c r="G69" i="3"/>
  <c r="F69" i="3"/>
  <c r="E69" i="3"/>
  <c r="D69" i="3"/>
  <c r="C69" i="3"/>
  <c r="H68" i="3"/>
  <c r="G68" i="3"/>
  <c r="F68" i="3"/>
  <c r="E68" i="3"/>
  <c r="D68" i="3"/>
  <c r="C68" i="3"/>
  <c r="H67" i="3"/>
  <c r="G67" i="3"/>
  <c r="F67" i="3"/>
  <c r="E67" i="3"/>
  <c r="D67" i="3"/>
  <c r="C67" i="3"/>
  <c r="H66" i="3"/>
  <c r="G66" i="3"/>
  <c r="F66" i="3"/>
  <c r="E66" i="3"/>
  <c r="D66" i="3"/>
  <c r="C66" i="3"/>
  <c r="H65" i="3"/>
  <c r="G65" i="3"/>
  <c r="F65" i="3"/>
  <c r="E65" i="3"/>
  <c r="D65" i="3"/>
  <c r="C65" i="3"/>
  <c r="H64" i="3"/>
  <c r="G64" i="3"/>
  <c r="F64" i="3"/>
  <c r="E64" i="3"/>
  <c r="D64" i="3"/>
  <c r="C64" i="3"/>
  <c r="H63" i="3"/>
  <c r="G63" i="3"/>
  <c r="F63" i="3"/>
  <c r="E63" i="3"/>
  <c r="D63" i="3"/>
  <c r="C63" i="3"/>
  <c r="H62" i="3"/>
  <c r="G62" i="3"/>
  <c r="F62" i="3"/>
  <c r="E62" i="3"/>
  <c r="D62" i="3"/>
  <c r="C62" i="3"/>
  <c r="H61" i="3"/>
  <c r="G61" i="3"/>
  <c r="F61" i="3"/>
  <c r="E61" i="3"/>
  <c r="D61" i="3"/>
  <c r="C61" i="3"/>
  <c r="H60" i="3"/>
  <c r="G60" i="3"/>
  <c r="F60" i="3"/>
  <c r="E60" i="3"/>
  <c r="D60" i="3"/>
  <c r="C60" i="3"/>
  <c r="H59" i="3"/>
  <c r="G59" i="3"/>
  <c r="F59" i="3"/>
  <c r="E59" i="3"/>
  <c r="D59" i="3"/>
  <c r="C59" i="3"/>
  <c r="H58" i="3"/>
  <c r="G58" i="3"/>
  <c r="F58" i="3"/>
  <c r="E58" i="3"/>
  <c r="D58" i="3"/>
  <c r="C58" i="3"/>
  <c r="H57" i="3"/>
  <c r="G57" i="3"/>
  <c r="F57" i="3"/>
  <c r="E57" i="3"/>
  <c r="D57" i="3"/>
  <c r="C57" i="3"/>
  <c r="H56" i="3"/>
  <c r="G56" i="3"/>
  <c r="F56" i="3"/>
  <c r="E56" i="3"/>
  <c r="D56" i="3"/>
  <c r="C56" i="3"/>
  <c r="H55" i="3"/>
  <c r="G55" i="3"/>
  <c r="F55" i="3"/>
  <c r="E55" i="3"/>
  <c r="D55" i="3"/>
  <c r="C55" i="3"/>
  <c r="H54" i="3"/>
  <c r="G54" i="3"/>
  <c r="F54" i="3"/>
  <c r="E54" i="3"/>
  <c r="D54" i="3"/>
  <c r="C54" i="3"/>
  <c r="H53" i="3"/>
  <c r="G53" i="3"/>
  <c r="F53" i="3"/>
  <c r="E53" i="3"/>
  <c r="D53" i="3"/>
  <c r="C53" i="3"/>
  <c r="H52" i="3"/>
  <c r="G52" i="3"/>
  <c r="F52" i="3"/>
  <c r="E52" i="3"/>
  <c r="D52" i="3"/>
  <c r="C52" i="3"/>
  <c r="H51" i="3"/>
  <c r="G51" i="3"/>
  <c r="F51" i="3"/>
  <c r="E51" i="3"/>
  <c r="D51" i="3"/>
  <c r="C51" i="3"/>
  <c r="H50" i="3"/>
  <c r="G50" i="3"/>
  <c r="F50" i="3"/>
  <c r="E50" i="3"/>
  <c r="D50" i="3"/>
  <c r="C50" i="3"/>
  <c r="H49" i="3"/>
  <c r="G49" i="3"/>
  <c r="F49" i="3"/>
  <c r="E49" i="3"/>
  <c r="D49" i="3"/>
  <c r="C49" i="3"/>
  <c r="H48" i="3"/>
  <c r="G48" i="3"/>
  <c r="F48" i="3"/>
  <c r="E48" i="3"/>
  <c r="D48" i="3"/>
  <c r="C48" i="3"/>
  <c r="H47" i="3"/>
  <c r="G47" i="3"/>
  <c r="F47" i="3"/>
  <c r="E47" i="3"/>
  <c r="D47" i="3"/>
  <c r="C47" i="3"/>
  <c r="H46" i="3"/>
  <c r="G46" i="3"/>
  <c r="F46" i="3"/>
  <c r="E46" i="3"/>
  <c r="D46" i="3"/>
  <c r="C46" i="3"/>
  <c r="H45" i="3"/>
  <c r="G45" i="3"/>
  <c r="F45" i="3"/>
  <c r="E45" i="3"/>
  <c r="D45" i="3"/>
  <c r="C45" i="3"/>
  <c r="H44" i="3"/>
  <c r="G44" i="3"/>
  <c r="F44" i="3"/>
  <c r="E44" i="3"/>
  <c r="D44" i="3"/>
  <c r="C44" i="3"/>
  <c r="H43" i="3"/>
  <c r="G43" i="3"/>
  <c r="F43" i="3"/>
  <c r="E43" i="3"/>
  <c r="D43" i="3"/>
  <c r="C43" i="3"/>
  <c r="H42" i="3"/>
  <c r="G42" i="3"/>
  <c r="F42" i="3"/>
  <c r="E42" i="3"/>
  <c r="D42" i="3"/>
  <c r="C42" i="3"/>
  <c r="H41" i="3"/>
  <c r="G41" i="3"/>
  <c r="F41" i="3"/>
  <c r="E41" i="3"/>
  <c r="D41" i="3"/>
  <c r="C41" i="3"/>
  <c r="H40" i="3"/>
  <c r="G40" i="3"/>
  <c r="F40" i="3"/>
  <c r="E40" i="3"/>
  <c r="D40" i="3"/>
  <c r="C40" i="3"/>
  <c r="H39" i="3"/>
  <c r="G39" i="3"/>
  <c r="F39" i="3"/>
  <c r="E39" i="3"/>
  <c r="D39" i="3"/>
  <c r="C39" i="3"/>
  <c r="H38" i="3"/>
  <c r="G38" i="3"/>
  <c r="F38" i="3"/>
  <c r="E38" i="3"/>
  <c r="D38" i="3"/>
  <c r="C38" i="3"/>
  <c r="H37" i="3"/>
  <c r="G37" i="3"/>
  <c r="F37" i="3"/>
  <c r="E37" i="3"/>
  <c r="D37" i="3"/>
  <c r="C37" i="3"/>
  <c r="H36" i="3"/>
  <c r="G36" i="3"/>
  <c r="F36" i="3"/>
  <c r="E36" i="3"/>
  <c r="D36" i="3"/>
  <c r="C36" i="3"/>
  <c r="H35" i="3"/>
  <c r="G35" i="3"/>
  <c r="F35" i="3"/>
  <c r="E35" i="3"/>
  <c r="D35" i="3"/>
  <c r="C35" i="3"/>
  <c r="H34" i="3"/>
  <c r="G34" i="3"/>
  <c r="F34" i="3"/>
  <c r="E34" i="3"/>
  <c r="D34" i="3"/>
  <c r="C34" i="3"/>
  <c r="H33" i="3"/>
  <c r="G33" i="3"/>
  <c r="F33" i="3"/>
  <c r="E33" i="3"/>
  <c r="D33" i="3"/>
  <c r="C33" i="3"/>
  <c r="H32" i="3"/>
  <c r="G32" i="3"/>
  <c r="F32" i="3"/>
  <c r="E32" i="3"/>
  <c r="D32" i="3"/>
  <c r="C32" i="3"/>
  <c r="H31" i="3"/>
  <c r="G31" i="3"/>
  <c r="F31" i="3"/>
  <c r="E31" i="3"/>
  <c r="D31" i="3"/>
  <c r="C31" i="3"/>
  <c r="H30" i="3"/>
  <c r="G30" i="3"/>
  <c r="F30" i="3"/>
  <c r="E30" i="3"/>
  <c r="D30" i="3"/>
  <c r="C30" i="3"/>
  <c r="H29" i="3"/>
  <c r="G29" i="3"/>
  <c r="F29" i="3"/>
  <c r="E29" i="3"/>
  <c r="D29" i="3"/>
  <c r="C29" i="3"/>
  <c r="H28" i="3"/>
  <c r="G28" i="3"/>
  <c r="F28" i="3"/>
  <c r="E28" i="3"/>
  <c r="D28" i="3"/>
  <c r="C28" i="3"/>
  <c r="H27" i="3"/>
  <c r="G27" i="3"/>
  <c r="F27" i="3"/>
  <c r="E27" i="3"/>
  <c r="D27" i="3"/>
  <c r="C27" i="3"/>
  <c r="H26" i="3"/>
  <c r="G26" i="3"/>
  <c r="F26" i="3"/>
  <c r="E26" i="3"/>
  <c r="D26" i="3"/>
  <c r="C26" i="3"/>
  <c r="H25" i="3"/>
  <c r="G25" i="3"/>
  <c r="F25" i="3"/>
  <c r="E25" i="3"/>
  <c r="D25" i="3"/>
  <c r="C25" i="3"/>
  <c r="H24" i="3"/>
  <c r="G24" i="3"/>
  <c r="F24" i="3"/>
  <c r="E24" i="3"/>
  <c r="D24" i="3"/>
  <c r="C24" i="3"/>
  <c r="H23" i="3"/>
  <c r="G23" i="3"/>
  <c r="F23" i="3"/>
  <c r="E23" i="3"/>
  <c r="D23" i="3"/>
  <c r="C23" i="3"/>
  <c r="H22" i="3"/>
  <c r="G22" i="3"/>
  <c r="F22" i="3"/>
  <c r="E22" i="3"/>
  <c r="D22" i="3"/>
  <c r="C22" i="3"/>
  <c r="H21" i="3"/>
  <c r="G21" i="3"/>
  <c r="F21" i="3"/>
  <c r="E21" i="3"/>
  <c r="D21" i="3"/>
  <c r="C21" i="3"/>
  <c r="H20" i="3"/>
  <c r="G20" i="3"/>
  <c r="F20" i="3"/>
  <c r="E20" i="3"/>
  <c r="D20" i="3"/>
  <c r="C20" i="3"/>
  <c r="H19" i="3"/>
  <c r="G19" i="3"/>
  <c r="F19" i="3"/>
  <c r="E19" i="3"/>
  <c r="D19" i="3"/>
  <c r="C19" i="3"/>
  <c r="H18" i="3"/>
  <c r="G18" i="3"/>
  <c r="F18" i="3"/>
  <c r="E18" i="3"/>
  <c r="D18" i="3"/>
  <c r="C18" i="3"/>
  <c r="H17" i="3"/>
  <c r="G17" i="3"/>
  <c r="F17" i="3"/>
  <c r="E17" i="3"/>
  <c r="D17" i="3"/>
  <c r="C17" i="3"/>
  <c r="H16" i="3"/>
  <c r="G16" i="3"/>
  <c r="F16" i="3"/>
  <c r="E16" i="3"/>
  <c r="D16" i="3"/>
  <c r="C16" i="3"/>
  <c r="H15" i="3"/>
  <c r="G15" i="3"/>
  <c r="F15" i="3"/>
  <c r="E15" i="3"/>
  <c r="D15" i="3"/>
  <c r="C15" i="3"/>
  <c r="H14" i="3"/>
  <c r="G14" i="3"/>
  <c r="F14" i="3"/>
  <c r="E14" i="3"/>
  <c r="D14" i="3"/>
  <c r="C14" i="3"/>
  <c r="H13" i="3"/>
  <c r="G13" i="3"/>
  <c r="F13" i="3"/>
  <c r="E13" i="3"/>
  <c r="D13" i="3"/>
  <c r="C13" i="3"/>
  <c r="H12" i="3"/>
  <c r="G12" i="3"/>
  <c r="F12" i="3"/>
  <c r="E12" i="3"/>
  <c r="D12" i="3"/>
  <c r="C12" i="3"/>
  <c r="H11" i="3"/>
  <c r="G11" i="3"/>
  <c r="F11" i="3"/>
  <c r="E11" i="3"/>
  <c r="D11" i="3"/>
  <c r="C11" i="3"/>
  <c r="H10" i="3"/>
  <c r="G10" i="3"/>
  <c r="F10" i="3"/>
  <c r="E10" i="3"/>
  <c r="D10" i="3"/>
  <c r="C10" i="3"/>
  <c r="H9" i="3"/>
  <c r="G9" i="3"/>
  <c r="F9" i="3"/>
  <c r="E9" i="3"/>
  <c r="D9" i="3"/>
  <c r="C9" i="3"/>
  <c r="H8" i="3"/>
  <c r="G8" i="3"/>
  <c r="F8" i="3"/>
  <c r="E8" i="3"/>
  <c r="D8" i="3"/>
  <c r="C8" i="3"/>
  <c r="H7" i="3"/>
  <c r="G7" i="3"/>
  <c r="F7" i="3"/>
  <c r="E7" i="3"/>
  <c r="D7" i="3"/>
  <c r="C7" i="3"/>
  <c r="H6" i="3"/>
  <c r="G6" i="3"/>
  <c r="F6" i="3"/>
  <c r="E6" i="3"/>
  <c r="D6" i="3"/>
  <c r="C6" i="3"/>
  <c r="AD209" i="1"/>
  <c r="AC209" i="1"/>
  <c r="AD208" i="1"/>
  <c r="AC208" i="1"/>
  <c r="A179" i="4" s="1"/>
  <c r="AD207" i="1"/>
  <c r="AC207" i="1"/>
  <c r="A19" i="5" s="1"/>
  <c r="AD206" i="1"/>
  <c r="AC206" i="1"/>
  <c r="A204" i="4" s="1"/>
  <c r="AD205" i="1"/>
  <c r="AC205" i="1"/>
  <c r="A34" i="5" s="1"/>
  <c r="AD204" i="1"/>
  <c r="AC204" i="1"/>
  <c r="A35" i="5" s="1"/>
  <c r="AD203" i="1"/>
  <c r="AC203" i="1"/>
  <c r="AD202" i="1"/>
  <c r="AC202" i="1"/>
  <c r="AD201" i="1"/>
  <c r="I131" i="3" s="1"/>
  <c r="AC201" i="1"/>
  <c r="A131" i="3" s="1"/>
  <c r="AD200" i="1"/>
  <c r="I130" i="3" s="1"/>
  <c r="AC200" i="1"/>
  <c r="A18" i="4" s="1"/>
  <c r="AD199" i="1"/>
  <c r="I133" i="3" s="1"/>
  <c r="AC199" i="1"/>
  <c r="A34" i="4" s="1"/>
  <c r="AD198" i="1"/>
  <c r="I132" i="3" s="1"/>
  <c r="AC198" i="1"/>
  <c r="AD197" i="1"/>
  <c r="I134" i="3" s="1"/>
  <c r="AC197" i="1"/>
  <c r="A134" i="3" s="1"/>
  <c r="AD196" i="1"/>
  <c r="I135" i="3" s="1"/>
  <c r="AC196" i="1"/>
  <c r="A135" i="3" s="1"/>
  <c r="AD195" i="1"/>
  <c r="AC195" i="1"/>
  <c r="AD194" i="1"/>
  <c r="I101" i="3" s="1"/>
  <c r="AC194" i="1"/>
  <c r="AD193" i="1"/>
  <c r="I87" i="3" s="1"/>
  <c r="AC193" i="1"/>
  <c r="A87" i="3" s="1"/>
  <c r="AD192" i="1"/>
  <c r="I89" i="3" s="1"/>
  <c r="AC192" i="1"/>
  <c r="A17" i="4" s="1"/>
  <c r="AD191" i="1"/>
  <c r="I111" i="3" s="1"/>
  <c r="AC191" i="1"/>
  <c r="A111" i="3" s="1"/>
  <c r="AD190" i="1"/>
  <c r="I88" i="3" s="1"/>
  <c r="AC190" i="1"/>
  <c r="AD189" i="1"/>
  <c r="I109" i="3" s="1"/>
  <c r="AC189" i="1"/>
  <c r="A20" i="4" s="1"/>
  <c r="AD188" i="1"/>
  <c r="I104" i="3" s="1"/>
  <c r="AC188" i="1"/>
  <c r="A118" i="4" s="1"/>
  <c r="AD187" i="1"/>
  <c r="I86" i="3" s="1"/>
  <c r="AC187" i="1"/>
  <c r="A86" i="3" s="1"/>
  <c r="AD186" i="1"/>
  <c r="I95" i="3" s="1"/>
  <c r="AC186" i="1"/>
  <c r="AD185" i="1"/>
  <c r="I102" i="3" s="1"/>
  <c r="AC185" i="1"/>
  <c r="A102" i="3" s="1"/>
  <c r="AD184" i="1"/>
  <c r="I91" i="3" s="1"/>
  <c r="AC184" i="1"/>
  <c r="A91" i="3" s="1"/>
  <c r="AD183" i="1"/>
  <c r="I107" i="3" s="1"/>
  <c r="AC183" i="1"/>
  <c r="A107" i="3" s="1"/>
  <c r="AD182" i="1"/>
  <c r="I85" i="3" s="1"/>
  <c r="AC182" i="1"/>
  <c r="AD181" i="1"/>
  <c r="I93" i="3" s="1"/>
  <c r="AC181" i="1"/>
  <c r="A38" i="4" s="1"/>
  <c r="AD180" i="1"/>
  <c r="I103" i="3" s="1"/>
  <c r="AC180" i="1"/>
  <c r="A43" i="4" s="1"/>
  <c r="AD179" i="1"/>
  <c r="I94" i="3" s="1"/>
  <c r="AC179" i="1"/>
  <c r="A94" i="3" s="1"/>
  <c r="AD178" i="1"/>
  <c r="I98" i="3" s="1"/>
  <c r="AC178" i="1"/>
  <c r="AD177" i="1"/>
  <c r="I106" i="3" s="1"/>
  <c r="AC177" i="1"/>
  <c r="A37" i="4" s="1"/>
  <c r="AD176" i="1"/>
  <c r="I92" i="3" s="1"/>
  <c r="AC176" i="1"/>
  <c r="A92" i="3" s="1"/>
  <c r="AD175" i="1"/>
  <c r="I90" i="3" s="1"/>
  <c r="AC175" i="1"/>
  <c r="A31" i="4" s="1"/>
  <c r="AD174" i="1"/>
  <c r="I110" i="3" s="1"/>
  <c r="AC174" i="1"/>
  <c r="AD173" i="1"/>
  <c r="I97" i="3" s="1"/>
  <c r="AC173" i="1"/>
  <c r="AD172" i="1"/>
  <c r="I100" i="3" s="1"/>
  <c r="AC172" i="1"/>
  <c r="A60" i="4" s="1"/>
  <c r="AD171" i="1"/>
  <c r="I108" i="3" s="1"/>
  <c r="AC171" i="1"/>
  <c r="AD170" i="1"/>
  <c r="I105" i="3" s="1"/>
  <c r="AC170" i="1"/>
  <c r="AD169" i="1"/>
  <c r="I96" i="3" s="1"/>
  <c r="AC169" i="1"/>
  <c r="A49" i="4" s="1"/>
  <c r="AD168" i="1"/>
  <c r="I99" i="3" s="1"/>
  <c r="AC168" i="1"/>
  <c r="A53" i="4" s="1"/>
  <c r="AD167" i="1"/>
  <c r="I84" i="3" s="1"/>
  <c r="AC167" i="1"/>
  <c r="A15" i="4" s="1"/>
  <c r="AD166" i="1"/>
  <c r="AC166" i="1"/>
  <c r="AD165" i="1"/>
  <c r="I128" i="3" s="1"/>
  <c r="AC165" i="1"/>
  <c r="A128" i="3" s="1"/>
  <c r="AD164" i="1"/>
  <c r="I114" i="3" s="1"/>
  <c r="AC164" i="1"/>
  <c r="A114" i="3" s="1"/>
  <c r="AD163" i="1"/>
  <c r="I118" i="3" s="1"/>
  <c r="AC163" i="1"/>
  <c r="A118" i="3" s="1"/>
  <c r="AD162" i="1"/>
  <c r="I115" i="3" s="1"/>
  <c r="AC162" i="1"/>
  <c r="AD161" i="1"/>
  <c r="I117" i="3" s="1"/>
  <c r="AC161" i="1"/>
  <c r="A117" i="3" s="1"/>
  <c r="AD160" i="1"/>
  <c r="I121" i="3" s="1"/>
  <c r="AC160" i="1"/>
  <c r="A121" i="3" s="1"/>
  <c r="AD159" i="1"/>
  <c r="I120" i="3" s="1"/>
  <c r="AC159" i="1"/>
  <c r="A67" i="4" s="1"/>
  <c r="AD158" i="1"/>
  <c r="I113" i="3" s="1"/>
  <c r="AC158" i="1"/>
  <c r="AD157" i="1"/>
  <c r="I116" i="3" s="1"/>
  <c r="AC157" i="1"/>
  <c r="A116" i="3" s="1"/>
  <c r="AD156" i="1"/>
  <c r="I125" i="3" s="1"/>
  <c r="AC156" i="1"/>
  <c r="A105" i="4" s="1"/>
  <c r="AD155" i="1"/>
  <c r="I122" i="3" s="1"/>
  <c r="AC155" i="1"/>
  <c r="A59" i="4" s="1"/>
  <c r="AD154" i="1"/>
  <c r="I119" i="3" s="1"/>
  <c r="AC154" i="1"/>
  <c r="AD153" i="1"/>
  <c r="I126" i="3" s="1"/>
  <c r="AC153" i="1"/>
  <c r="AD152" i="1"/>
  <c r="I123" i="3" s="1"/>
  <c r="AC152" i="1"/>
  <c r="A86" i="4" s="1"/>
  <c r="AD151" i="1"/>
  <c r="I124" i="3" s="1"/>
  <c r="AC151" i="1"/>
  <c r="A124" i="3" s="1"/>
  <c r="AD150" i="1"/>
  <c r="I127" i="3" s="1"/>
  <c r="AC150" i="1"/>
  <c r="AD149" i="1"/>
  <c r="AC149" i="1"/>
  <c r="AD148" i="1"/>
  <c r="I76" i="3" s="1"/>
  <c r="AC148" i="1"/>
  <c r="A83" i="4" s="1"/>
  <c r="AD147" i="1"/>
  <c r="I62" i="3" s="1"/>
  <c r="AC147" i="1"/>
  <c r="A42" i="4" s="1"/>
  <c r="AD146" i="1"/>
  <c r="I42" i="3" s="1"/>
  <c r="AC146" i="1"/>
  <c r="AD145" i="1"/>
  <c r="I80" i="3" s="1"/>
  <c r="AC145" i="1"/>
  <c r="A200" i="4" s="1"/>
  <c r="AD144" i="1"/>
  <c r="I29" i="3" s="1"/>
  <c r="AC144" i="1"/>
  <c r="A28" i="4" s="1"/>
  <c r="AD143" i="1"/>
  <c r="I48" i="3" s="1"/>
  <c r="AC143" i="1"/>
  <c r="AD142" i="1"/>
  <c r="I8" i="3" s="1"/>
  <c r="AC142" i="1"/>
  <c r="AD141" i="1"/>
  <c r="I26" i="3" s="1"/>
  <c r="AC141" i="1"/>
  <c r="A27" i="4" s="1"/>
  <c r="AD140" i="1"/>
  <c r="I12" i="3" s="1"/>
  <c r="AC140" i="1"/>
  <c r="A25" i="4" s="1"/>
  <c r="AD139" i="1"/>
  <c r="I36" i="3" s="1"/>
  <c r="AC139" i="1"/>
  <c r="A36" i="3" s="1"/>
  <c r="AD138" i="1"/>
  <c r="AC138" i="1"/>
  <c r="AD137" i="1"/>
  <c r="I10" i="3" s="1"/>
  <c r="AC137" i="1"/>
  <c r="A29" i="5" s="1"/>
  <c r="AD136" i="1"/>
  <c r="I14" i="3" s="1"/>
  <c r="AC136" i="1"/>
  <c r="A54" i="4" s="1"/>
  <c r="AD135" i="1"/>
  <c r="I9" i="3" s="1"/>
  <c r="AC135" i="1"/>
  <c r="A61" i="4" s="1"/>
  <c r="AD134" i="1"/>
  <c r="I21" i="3" s="1"/>
  <c r="AC134" i="1"/>
  <c r="AD133" i="1"/>
  <c r="I6" i="3" s="1"/>
  <c r="AC133" i="1"/>
  <c r="A56" i="4" s="1"/>
  <c r="AD132" i="1"/>
  <c r="I18" i="3" s="1"/>
  <c r="AC132" i="1"/>
  <c r="A62" i="4" s="1"/>
  <c r="AD131" i="1"/>
  <c r="I30" i="3" s="1"/>
  <c r="AC131" i="1"/>
  <c r="AD130" i="1"/>
  <c r="I82" i="3" s="1"/>
  <c r="AC130" i="1"/>
  <c r="A82" i="3" s="1"/>
  <c r="AD129" i="1"/>
  <c r="I44" i="3" s="1"/>
  <c r="AC129" i="1"/>
  <c r="A44" i="3" s="1"/>
  <c r="AD128" i="1"/>
  <c r="I7" i="3" s="1"/>
  <c r="AC128" i="1"/>
  <c r="A7" i="3" s="1"/>
  <c r="AD127" i="1"/>
  <c r="I24" i="3" s="1"/>
  <c r="AC127" i="1"/>
  <c r="AD126" i="1"/>
  <c r="I33" i="3" s="1"/>
  <c r="AC126" i="1"/>
  <c r="AD125" i="1"/>
  <c r="I43" i="3" s="1"/>
  <c r="AC125" i="1"/>
  <c r="A43" i="3" s="1"/>
  <c r="AD124" i="1"/>
  <c r="I40" i="3" s="1"/>
  <c r="AC124" i="1"/>
  <c r="A91" i="4" s="1"/>
  <c r="AD123" i="1"/>
  <c r="I25" i="3" s="1"/>
  <c r="AC123" i="1"/>
  <c r="A84" i="4" s="1"/>
  <c r="AD122" i="1"/>
  <c r="I22" i="3" s="1"/>
  <c r="AC122" i="1"/>
  <c r="AD121" i="1"/>
  <c r="I13" i="3" s="1"/>
  <c r="AC121" i="1"/>
  <c r="A64" i="4" s="1"/>
  <c r="AD120" i="1"/>
  <c r="I35" i="3" s="1"/>
  <c r="AC120" i="1"/>
  <c r="A76" i="4" s="1"/>
  <c r="AD119" i="1"/>
  <c r="I11" i="3" s="1"/>
  <c r="AC119" i="1"/>
  <c r="A11" i="3" s="1"/>
  <c r="AD118" i="1"/>
  <c r="I15" i="3" s="1"/>
  <c r="AC118" i="1"/>
  <c r="AD117" i="1"/>
  <c r="I34" i="3" s="1"/>
  <c r="AC117" i="1"/>
  <c r="A34" i="3" s="1"/>
  <c r="AD116" i="1"/>
  <c r="I55" i="3" s="1"/>
  <c r="AC116" i="1"/>
  <c r="A55" i="3" s="1"/>
  <c r="AD115" i="1"/>
  <c r="I16" i="3" s="1"/>
  <c r="AC115" i="1"/>
  <c r="A74" i="4" s="1"/>
  <c r="AD114" i="1"/>
  <c r="I17" i="3" s="1"/>
  <c r="AC114" i="1"/>
  <c r="AD113" i="1"/>
  <c r="I41" i="3" s="1"/>
  <c r="AC113" i="1"/>
  <c r="A78" i="4" s="1"/>
  <c r="AD112" i="1"/>
  <c r="I19" i="3" s="1"/>
  <c r="AC112" i="1"/>
  <c r="A70" i="4" s="1"/>
  <c r="AD111" i="1"/>
  <c r="I31" i="3" s="1"/>
  <c r="AC111" i="1"/>
  <c r="A73" i="4" s="1"/>
  <c r="AD110" i="1"/>
  <c r="I50" i="3" s="1"/>
  <c r="AC110" i="1"/>
  <c r="AD109" i="1"/>
  <c r="I23" i="3" s="1"/>
  <c r="AC109" i="1"/>
  <c r="A71" i="4" s="1"/>
  <c r="AD108" i="1"/>
  <c r="I54" i="3" s="1"/>
  <c r="AC108" i="1"/>
  <c r="AD107" i="1"/>
  <c r="I32" i="3" s="1"/>
  <c r="AC107" i="1"/>
  <c r="A32" i="3" s="1"/>
  <c r="AD106" i="1"/>
  <c r="I63" i="3" s="1"/>
  <c r="AC106" i="1"/>
  <c r="AD105" i="1"/>
  <c r="I20" i="3" s="1"/>
  <c r="AC105" i="1"/>
  <c r="A77" i="4" s="1"/>
  <c r="AD104" i="1"/>
  <c r="I45" i="3" s="1"/>
  <c r="AC104" i="1"/>
  <c r="AD103" i="1"/>
  <c r="I56" i="3" s="1"/>
  <c r="AC103" i="1"/>
  <c r="A113" i="4" s="1"/>
  <c r="AD102" i="1"/>
  <c r="I60" i="3" s="1"/>
  <c r="AC102" i="1"/>
  <c r="AD101" i="1"/>
  <c r="I65" i="3" s="1"/>
  <c r="AC101" i="1"/>
  <c r="A111" i="4" s="1"/>
  <c r="AD100" i="1"/>
  <c r="I61" i="3" s="1"/>
  <c r="AC100" i="1"/>
  <c r="A141" i="4" s="1"/>
  <c r="AD99" i="1"/>
  <c r="I46" i="3" s="1"/>
  <c r="AC99" i="1"/>
  <c r="A98" i="4" s="1"/>
  <c r="AD98" i="1"/>
  <c r="I28" i="3" s="1"/>
  <c r="AC98" i="1"/>
  <c r="AD97" i="1"/>
  <c r="I59" i="3" s="1"/>
  <c r="AC97" i="1"/>
  <c r="A127" i="4" s="1"/>
  <c r="AD96" i="1"/>
  <c r="I37" i="3" s="1"/>
  <c r="AC96" i="1"/>
  <c r="A82" i="4" s="1"/>
  <c r="AD95" i="1"/>
  <c r="I68" i="3" s="1"/>
  <c r="AC95" i="1"/>
  <c r="A137" i="4" s="1"/>
  <c r="AD94" i="1"/>
  <c r="I69" i="3" s="1"/>
  <c r="AC94" i="1"/>
  <c r="AD93" i="1"/>
  <c r="I73" i="3" s="1"/>
  <c r="AC93" i="1"/>
  <c r="A152" i="4" s="1"/>
  <c r="AD92" i="1"/>
  <c r="I78" i="3" s="1"/>
  <c r="AC92" i="1"/>
  <c r="AD91" i="1"/>
  <c r="I57" i="3" s="1"/>
  <c r="AC91" i="1"/>
  <c r="AD90" i="1"/>
  <c r="I67" i="3" s="1"/>
  <c r="AC90" i="1"/>
  <c r="AD89" i="1"/>
  <c r="I81" i="3" s="1"/>
  <c r="AC89" i="1"/>
  <c r="A81" i="3" s="1"/>
  <c r="AD88" i="1"/>
  <c r="I74" i="3" s="1"/>
  <c r="AC88" i="1"/>
  <c r="A166" i="4" s="1"/>
  <c r="AD87" i="1"/>
  <c r="I39" i="3" s="1"/>
  <c r="AC87" i="1"/>
  <c r="A39" i="3" s="1"/>
  <c r="AD86" i="1"/>
  <c r="I75" i="3" s="1"/>
  <c r="AC86" i="1"/>
  <c r="AD85" i="1"/>
  <c r="I52" i="3" s="1"/>
  <c r="AC85" i="1"/>
  <c r="A116" i="4" s="1"/>
  <c r="AD84" i="1"/>
  <c r="I64" i="3" s="1"/>
  <c r="AC84" i="1"/>
  <c r="A120" i="4" s="1"/>
  <c r="AD83" i="1"/>
  <c r="I66" i="3" s="1"/>
  <c r="AC83" i="1"/>
  <c r="AD82" i="1"/>
  <c r="I77" i="3" s="1"/>
  <c r="AC82" i="1"/>
  <c r="AD81" i="1"/>
  <c r="I79" i="3" s="1"/>
  <c r="AC81" i="1"/>
  <c r="A189" i="4" s="1"/>
  <c r="AD80" i="1"/>
  <c r="I51" i="3" s="1"/>
  <c r="AC80" i="1"/>
  <c r="AD79" i="1"/>
  <c r="I27" i="3" s="1"/>
  <c r="AC79" i="1"/>
  <c r="AD78" i="1"/>
  <c r="I38" i="3" s="1"/>
  <c r="AC78" i="1"/>
  <c r="AD77" i="1"/>
  <c r="I70" i="3" s="1"/>
  <c r="AC77" i="1"/>
  <c r="A93" i="4" s="1"/>
  <c r="AD76" i="1"/>
  <c r="I49" i="3" s="1"/>
  <c r="AC76" i="1"/>
  <c r="A96" i="4" s="1"/>
  <c r="AD75" i="1"/>
  <c r="I58" i="3" s="1"/>
  <c r="AC75" i="1"/>
  <c r="A122" i="4" s="1"/>
  <c r="AD74" i="1"/>
  <c r="I47" i="3" s="1"/>
  <c r="AC74" i="1"/>
  <c r="AD73" i="1"/>
  <c r="I53" i="3" s="1"/>
  <c r="AC73" i="1"/>
  <c r="A112" i="4" s="1"/>
  <c r="AD72" i="1"/>
  <c r="I72" i="3" s="1"/>
  <c r="AC72" i="1"/>
  <c r="A72" i="3" s="1"/>
  <c r="AD71" i="1"/>
  <c r="I71" i="3" s="1"/>
  <c r="AC71" i="1"/>
  <c r="A143" i="4" s="1"/>
  <c r="AD70" i="1"/>
  <c r="AC70" i="1"/>
  <c r="AD69" i="1"/>
  <c r="I154" i="3" s="1"/>
  <c r="AC69" i="1"/>
  <c r="A114" i="4" s="1"/>
  <c r="AD68" i="1"/>
  <c r="I141" i="3" s="1"/>
  <c r="AC68" i="1"/>
  <c r="AD67" i="1"/>
  <c r="I146" i="3" s="1"/>
  <c r="AC67" i="1"/>
  <c r="A43" i="5" s="1"/>
  <c r="AD66" i="1"/>
  <c r="I140" i="3" s="1"/>
  <c r="AC66" i="1"/>
  <c r="AD65" i="1"/>
  <c r="I139" i="3" s="1"/>
  <c r="AC65" i="1"/>
  <c r="A101" i="4" s="1"/>
  <c r="AD64" i="1"/>
  <c r="I142" i="3" s="1"/>
  <c r="AC64" i="1"/>
  <c r="A142" i="3" s="1"/>
  <c r="AD63" i="1"/>
  <c r="I163" i="3" s="1"/>
  <c r="AC63" i="1"/>
  <c r="A117" i="4" s="1"/>
  <c r="AD62" i="1"/>
  <c r="I147" i="3" s="1"/>
  <c r="AC62" i="1"/>
  <c r="AD61" i="1"/>
  <c r="I145" i="3" s="1"/>
  <c r="AC61" i="1"/>
  <c r="A99" i="4" s="1"/>
  <c r="AD60" i="1"/>
  <c r="I157" i="3" s="1"/>
  <c r="AC60" i="1"/>
  <c r="A123" i="4" s="1"/>
  <c r="AD59" i="1"/>
  <c r="I173" i="3" s="1"/>
  <c r="AC59" i="1"/>
  <c r="A153" i="4" s="1"/>
  <c r="AD58" i="1"/>
  <c r="I159" i="3" s="1"/>
  <c r="AC58" i="1"/>
  <c r="AD57" i="1"/>
  <c r="I169" i="3" s="1"/>
  <c r="AC57" i="1"/>
  <c r="A169" i="3" s="1"/>
  <c r="AD56" i="1"/>
  <c r="I182" i="3" s="1"/>
  <c r="AC56" i="1"/>
  <c r="A32" i="5" s="1"/>
  <c r="AD55" i="1"/>
  <c r="I161" i="3" s="1"/>
  <c r="AC55" i="1"/>
  <c r="A125" i="4" s="1"/>
  <c r="AD54" i="1"/>
  <c r="I144" i="3" s="1"/>
  <c r="AC54" i="1"/>
  <c r="AD53" i="1"/>
  <c r="I185" i="3" s="1"/>
  <c r="AC53" i="1"/>
  <c r="AD52" i="1"/>
  <c r="I168" i="3" s="1"/>
  <c r="AC52" i="1"/>
  <c r="A168" i="3" s="1"/>
  <c r="AD51" i="1"/>
  <c r="I179" i="3" s="1"/>
  <c r="AC51" i="1"/>
  <c r="A160" i="4" s="1"/>
  <c r="AD50" i="1"/>
  <c r="I151" i="3" s="1"/>
  <c r="AC50" i="1"/>
  <c r="AD49" i="1"/>
  <c r="I165" i="3" s="1"/>
  <c r="AC49" i="1"/>
  <c r="A165" i="3" s="1"/>
  <c r="AD48" i="1"/>
  <c r="I171" i="3" s="1"/>
  <c r="AC48" i="1"/>
  <c r="AD47" i="1"/>
  <c r="I190" i="3" s="1"/>
  <c r="AC47" i="1"/>
  <c r="AD46" i="1"/>
  <c r="I176" i="3" s="1"/>
  <c r="AC46" i="1"/>
  <c r="AD45" i="1"/>
  <c r="I160" i="3" s="1"/>
  <c r="AC45" i="1"/>
  <c r="A40" i="5" s="1"/>
  <c r="AD44" i="1"/>
  <c r="I152" i="3" s="1"/>
  <c r="AC44" i="1"/>
  <c r="A151" i="4" s="1"/>
  <c r="AD43" i="1"/>
  <c r="I164" i="3" s="1"/>
  <c r="AC43" i="1"/>
  <c r="A164" i="3" s="1"/>
  <c r="AD42" i="1"/>
  <c r="I158" i="3" s="1"/>
  <c r="AC42" i="1"/>
  <c r="AD41" i="1"/>
  <c r="I167" i="3" s="1"/>
  <c r="AC41" i="1"/>
  <c r="A148" i="4" s="1"/>
  <c r="AD40" i="1"/>
  <c r="I148" i="3" s="1"/>
  <c r="AC40" i="1"/>
  <c r="A16" i="5" s="1"/>
  <c r="AD39" i="1"/>
  <c r="I156" i="3" s="1"/>
  <c r="AC39" i="1"/>
  <c r="A156" i="3" s="1"/>
  <c r="AD38" i="1"/>
  <c r="I138" i="3" s="1"/>
  <c r="AC38" i="1"/>
  <c r="AD37" i="1"/>
  <c r="I187" i="3" s="1"/>
  <c r="AC37" i="1"/>
  <c r="AD36" i="1"/>
  <c r="I155" i="3" s="1"/>
  <c r="AC36" i="1"/>
  <c r="A155" i="3" s="1"/>
  <c r="AD35" i="1"/>
  <c r="I183" i="3" s="1"/>
  <c r="AC35" i="1"/>
  <c r="AD34" i="1"/>
  <c r="I177" i="3" s="1"/>
  <c r="AC34" i="1"/>
  <c r="AD33" i="1"/>
  <c r="I175" i="3" s="1"/>
  <c r="AC33" i="1"/>
  <c r="A158" i="4" s="1"/>
  <c r="AD32" i="1"/>
  <c r="I166" i="3" s="1"/>
  <c r="AC32" i="1"/>
  <c r="A138" i="4" s="1"/>
  <c r="AD31" i="1"/>
  <c r="I186" i="3" s="1"/>
  <c r="AC31" i="1"/>
  <c r="A175" i="4" s="1"/>
  <c r="AD30" i="1"/>
  <c r="I143" i="3" s="1"/>
  <c r="AC30" i="1"/>
  <c r="AD29" i="1"/>
  <c r="I174" i="3" s="1"/>
  <c r="AC29" i="1"/>
  <c r="AD28" i="1"/>
  <c r="I181" i="3" s="1"/>
  <c r="AC28" i="1"/>
  <c r="AD27" i="1"/>
  <c r="I194" i="3" s="1"/>
  <c r="AC27" i="1"/>
  <c r="A198" i="4" s="1"/>
  <c r="AD26" i="1"/>
  <c r="I162" i="3" s="1"/>
  <c r="AC26" i="1"/>
  <c r="AD25" i="1"/>
  <c r="I172" i="3" s="1"/>
  <c r="AC25" i="1"/>
  <c r="A155" i="4" s="1"/>
  <c r="AD24" i="1"/>
  <c r="I192" i="3" s="1"/>
  <c r="AC24" i="1"/>
  <c r="A192" i="3" s="1"/>
  <c r="AD23" i="1"/>
  <c r="I153" i="3" s="1"/>
  <c r="AC23" i="1"/>
  <c r="AD22" i="1"/>
  <c r="I189" i="3" s="1"/>
  <c r="AC22" i="1"/>
  <c r="AD21" i="1"/>
  <c r="I170" i="3" s="1"/>
  <c r="AC21" i="1"/>
  <c r="A170" i="3" s="1"/>
  <c r="AD20" i="1"/>
  <c r="I202" i="3" s="1"/>
  <c r="AC20" i="1"/>
  <c r="A202" i="3" s="1"/>
  <c r="AD19" i="1"/>
  <c r="I150" i="3" s="1"/>
  <c r="AC19" i="1"/>
  <c r="AD18" i="1"/>
  <c r="I178" i="3" s="1"/>
  <c r="AC18" i="1"/>
  <c r="AD17" i="1"/>
  <c r="I137" i="3" s="1"/>
  <c r="AC17" i="1"/>
  <c r="A193" i="4" s="1"/>
  <c r="AD16" i="1"/>
  <c r="I149" i="3" s="1"/>
  <c r="AC16" i="1"/>
  <c r="A21" i="5" s="1"/>
  <c r="AD15" i="1"/>
  <c r="AC15" i="1"/>
  <c r="AD14" i="1"/>
  <c r="I197" i="3" s="1"/>
  <c r="AC14" i="1"/>
  <c r="AD13" i="1"/>
  <c r="I195" i="3" s="1"/>
  <c r="AC13" i="1"/>
  <c r="A195" i="3" s="1"/>
  <c r="AD12" i="1"/>
  <c r="I198" i="3" s="1"/>
  <c r="AC12" i="1"/>
  <c r="AD11" i="1"/>
  <c r="I180" i="3" s="1"/>
  <c r="AC11" i="1"/>
  <c r="A180" i="3" s="1"/>
  <c r="AD10" i="1"/>
  <c r="I184" i="3" s="1"/>
  <c r="AC10" i="1"/>
  <c r="AD9" i="1"/>
  <c r="I201" i="3" s="1"/>
  <c r="AC9" i="1"/>
  <c r="A201" i="3" s="1"/>
  <c r="AD8" i="1"/>
  <c r="I191" i="3" s="1"/>
  <c r="AC8" i="1"/>
  <c r="A191" i="3" s="1"/>
  <c r="AD7" i="1"/>
  <c r="I193" i="3" s="1"/>
  <c r="AC7" i="1"/>
  <c r="AD6" i="1"/>
  <c r="AC6" i="1"/>
  <c r="AD5" i="1"/>
  <c r="I188" i="3" s="1"/>
  <c r="AC5" i="1"/>
  <c r="A188" i="3" s="1"/>
  <c r="AD4" i="1"/>
  <c r="I199" i="3" s="1"/>
  <c r="AC4" i="1"/>
  <c r="A199" i="3" s="1"/>
  <c r="AD3" i="1"/>
  <c r="I196" i="3" s="1"/>
  <c r="AC3" i="1"/>
  <c r="F137" i="6" l="1"/>
  <c r="G12" i="6"/>
  <c r="G52" i="6"/>
  <c r="A96" i="3"/>
  <c r="A16" i="4"/>
  <c r="I84" i="6"/>
  <c r="H18" i="5"/>
  <c r="H21" i="5"/>
  <c r="H30" i="5"/>
  <c r="H33" i="5"/>
  <c r="I88" i="6"/>
  <c r="A23" i="3"/>
  <c r="A59" i="3"/>
  <c r="F32" i="5"/>
  <c r="H44" i="5"/>
  <c r="A68" i="3"/>
  <c r="G52" i="4"/>
  <c r="I18" i="2"/>
  <c r="I144" i="6"/>
  <c r="H35" i="5"/>
  <c r="A29" i="4"/>
  <c r="G134" i="4"/>
  <c r="G7" i="6"/>
  <c r="G16" i="6"/>
  <c r="A70" i="3"/>
  <c r="A55" i="4"/>
  <c r="A133" i="4"/>
  <c r="F24" i="5"/>
  <c r="A80" i="3"/>
  <c r="G33" i="4"/>
  <c r="A51" i="4"/>
  <c r="G110" i="4"/>
  <c r="A144" i="4"/>
  <c r="F36" i="5"/>
  <c r="A89" i="3"/>
  <c r="A49" i="3"/>
  <c r="H36" i="5"/>
  <c r="A161" i="3"/>
  <c r="A85" i="4"/>
  <c r="H19" i="5"/>
  <c r="H31" i="5"/>
  <c r="I108" i="6"/>
  <c r="I12" i="6"/>
  <c r="F117" i="6"/>
  <c r="I117" i="6" s="1"/>
  <c r="G79" i="4"/>
  <c r="H29" i="5"/>
  <c r="H39" i="5"/>
  <c r="F128" i="6"/>
  <c r="I128" i="6" s="1"/>
  <c r="F17" i="5"/>
  <c r="F31" i="5"/>
  <c r="A89" i="4"/>
  <c r="I7" i="6"/>
  <c r="G19" i="6"/>
  <c r="G27" i="6"/>
  <c r="G39" i="6"/>
  <c r="F20" i="5"/>
  <c r="H37" i="5"/>
  <c r="I21" i="6"/>
  <c r="I23" i="6"/>
  <c r="I27" i="6"/>
  <c r="I45" i="6"/>
  <c r="A65" i="3"/>
  <c r="G95" i="4"/>
  <c r="H17" i="5"/>
  <c r="H20" i="5"/>
  <c r="F29" i="5"/>
  <c r="F35" i="5"/>
  <c r="F25" i="5"/>
  <c r="G11" i="6"/>
  <c r="F37" i="5"/>
  <c r="G63" i="6"/>
  <c r="H26" i="5"/>
  <c r="I15" i="6"/>
  <c r="G25" i="6"/>
  <c r="G43" i="6"/>
  <c r="A125" i="3"/>
  <c r="A179" i="3"/>
  <c r="G89" i="4"/>
  <c r="F38" i="5"/>
  <c r="A99" i="3"/>
  <c r="A103" i="3"/>
  <c r="A139" i="3"/>
  <c r="H15" i="5"/>
  <c r="F27" i="5"/>
  <c r="H42" i="5"/>
  <c r="G18" i="6"/>
  <c r="G22" i="6"/>
  <c r="G24" i="6"/>
  <c r="G28" i="6"/>
  <c r="G30" i="6"/>
  <c r="G64" i="6"/>
  <c r="A26" i="3"/>
  <c r="I9" i="6"/>
  <c r="A81" i="4"/>
  <c r="G33" i="6"/>
  <c r="G37" i="6"/>
  <c r="A148" i="3"/>
  <c r="F44" i="5"/>
  <c r="A14" i="3"/>
  <c r="A64" i="3"/>
  <c r="G189" i="4"/>
  <c r="H22" i="5"/>
  <c r="H27" i="5"/>
  <c r="F33" i="5"/>
  <c r="I16" i="6"/>
  <c r="I50" i="6"/>
  <c r="I52" i="6"/>
  <c r="I60" i="6"/>
  <c r="H34" i="5"/>
  <c r="G49" i="6"/>
  <c r="F41" i="5"/>
  <c r="A37" i="3"/>
  <c r="G25" i="4"/>
  <c r="A174" i="4"/>
  <c r="I15" i="2"/>
  <c r="I120" i="6"/>
  <c r="I87" i="6"/>
  <c r="A104" i="3"/>
  <c r="A57" i="4"/>
  <c r="F26" i="5"/>
  <c r="I33" i="6"/>
  <c r="A166" i="3"/>
  <c r="F18" i="5"/>
  <c r="G6" i="6"/>
  <c r="G51" i="6"/>
  <c r="G55" i="6"/>
  <c r="G57" i="6"/>
  <c r="G61" i="6"/>
  <c r="A41" i="3"/>
  <c r="F21" i="5"/>
  <c r="F42" i="5"/>
  <c r="G10" i="6"/>
  <c r="I49" i="6"/>
  <c r="I51" i="6"/>
  <c r="I57" i="6"/>
  <c r="I59" i="6"/>
  <c r="I61" i="6"/>
  <c r="G67" i="6"/>
  <c r="A52" i="3"/>
  <c r="A137" i="3"/>
  <c r="A66" i="4"/>
  <c r="A128" i="4"/>
  <c r="F16" i="5"/>
  <c r="G14" i="6"/>
  <c r="I63" i="6"/>
  <c r="F143" i="6"/>
  <c r="I143" i="6" s="1"/>
  <c r="I97" i="6"/>
  <c r="F82" i="6"/>
  <c r="I82" i="6" s="1"/>
  <c r="I96" i="6"/>
  <c r="I31" i="6"/>
  <c r="G47" i="6"/>
  <c r="F19" i="5"/>
  <c r="H32" i="5"/>
  <c r="I28" i="6"/>
  <c r="G40" i="6"/>
  <c r="A20" i="3"/>
  <c r="F39" i="5"/>
  <c r="I39" i="6"/>
  <c r="A106" i="3"/>
  <c r="H24" i="5"/>
  <c r="I24" i="6"/>
  <c r="G36" i="6"/>
  <c r="A80" i="4"/>
  <c r="A90" i="4"/>
  <c r="F30" i="5"/>
  <c r="I30" i="6"/>
  <c r="I42" i="6"/>
  <c r="G46" i="6"/>
  <c r="G48" i="6"/>
  <c r="A29" i="3"/>
  <c r="A100" i="3"/>
  <c r="A58" i="4"/>
  <c r="A92" i="4"/>
  <c r="A94" i="4"/>
  <c r="A145" i="4"/>
  <c r="A36" i="5"/>
  <c r="G5" i="6"/>
  <c r="G9" i="6"/>
  <c r="I48" i="6"/>
  <c r="G54" i="6"/>
  <c r="G58" i="6"/>
  <c r="G60" i="6"/>
  <c r="G66" i="6"/>
  <c r="G103" i="4"/>
  <c r="A35" i="4"/>
  <c r="G38" i="6"/>
  <c r="A10" i="3"/>
  <c r="A73" i="3"/>
  <c r="A109" i="3"/>
  <c r="A123" i="3"/>
  <c r="A145" i="3"/>
  <c r="A160" i="3"/>
  <c r="A186" i="3"/>
  <c r="A135" i="4"/>
  <c r="A163" i="4"/>
  <c r="H25" i="5"/>
  <c r="H38" i="5"/>
  <c r="H43" i="5"/>
  <c r="G13" i="6"/>
  <c r="G15" i="6"/>
  <c r="G21" i="6"/>
  <c r="I66" i="6"/>
  <c r="F123" i="6"/>
  <c r="I123" i="6" s="1"/>
  <c r="I26" i="6"/>
  <c r="G34" i="6"/>
  <c r="G42" i="6"/>
  <c r="A21" i="4"/>
  <c r="G77" i="4"/>
  <c r="A175" i="3"/>
  <c r="A176" i="4"/>
  <c r="F15" i="5"/>
  <c r="F23" i="5"/>
  <c r="H28" i="5"/>
  <c r="G31" i="6"/>
  <c r="G45" i="6"/>
  <c r="F118" i="6"/>
  <c r="I118" i="6" s="1"/>
  <c r="F85" i="6"/>
  <c r="I85" i="6" s="1"/>
  <c r="F110" i="6"/>
  <c r="I110" i="6" s="1"/>
  <c r="F73" i="6"/>
  <c r="I73" i="6" s="1"/>
  <c r="F121" i="6"/>
  <c r="I121" i="6" s="1"/>
  <c r="F105" i="6"/>
  <c r="I105" i="6" s="1"/>
  <c r="F81" i="6"/>
  <c r="I81" i="6" s="1"/>
  <c r="F134" i="6"/>
  <c r="I134" i="6" s="1"/>
  <c r="G28" i="4"/>
  <c r="F132" i="6"/>
  <c r="I132" i="6" s="1"/>
  <c r="G71" i="4"/>
  <c r="F89" i="6"/>
  <c r="I89" i="6" s="1"/>
  <c r="F102" i="6"/>
  <c r="I102" i="6" s="1"/>
  <c r="F86" i="6"/>
  <c r="I86" i="6" s="1"/>
  <c r="F141" i="6"/>
  <c r="I141" i="6" s="1"/>
  <c r="G82" i="4"/>
  <c r="G63" i="4"/>
  <c r="G172" i="4"/>
  <c r="F80" i="6"/>
  <c r="I80" i="6" s="1"/>
  <c r="F92" i="6"/>
  <c r="I92" i="6" s="1"/>
  <c r="F145" i="6"/>
  <c r="I145" i="6" s="1"/>
  <c r="G73" i="4"/>
  <c r="F75" i="6"/>
  <c r="I75" i="6" s="1"/>
  <c r="F104" i="6"/>
  <c r="I104" i="6" s="1"/>
  <c r="F116" i="6"/>
  <c r="I116" i="6" s="1"/>
  <c r="G122" i="4"/>
  <c r="F93" i="6"/>
  <c r="I93" i="6" s="1"/>
  <c r="F122" i="6"/>
  <c r="I122" i="6" s="1"/>
  <c r="G30" i="4"/>
  <c r="F90" i="6"/>
  <c r="I90" i="6" s="1"/>
  <c r="F114" i="6"/>
  <c r="I114" i="6" s="1"/>
  <c r="I133" i="6"/>
  <c r="F135" i="6"/>
  <c r="I135" i="6" s="1"/>
  <c r="F136" i="6"/>
  <c r="I136" i="6" s="1"/>
  <c r="F78" i="6"/>
  <c r="I78" i="6" s="1"/>
  <c r="F119" i="6"/>
  <c r="I119" i="6" s="1"/>
  <c r="F131" i="6"/>
  <c r="I131" i="6" s="1"/>
  <c r="G156" i="4"/>
  <c r="I115" i="6"/>
  <c r="I146" i="6"/>
  <c r="I77" i="6"/>
  <c r="I112" i="6"/>
  <c r="I94" i="6"/>
  <c r="I79" i="6"/>
  <c r="I18" i="6"/>
  <c r="I25" i="6"/>
  <c r="I58" i="6"/>
  <c r="I74" i="6"/>
  <c r="I125" i="6"/>
  <c r="G62" i="6"/>
  <c r="I103" i="6"/>
  <c r="I137" i="6"/>
  <c r="G17" i="6"/>
  <c r="I22" i="6"/>
  <c r="G50" i="6"/>
  <c r="I55" i="6"/>
  <c r="I62" i="6"/>
  <c r="I98" i="6"/>
  <c r="I127" i="6"/>
  <c r="I129" i="6"/>
  <c r="I37" i="6"/>
  <c r="G65" i="6"/>
  <c r="I140" i="6"/>
  <c r="I101" i="6"/>
  <c r="I113" i="6"/>
  <c r="I13" i="6"/>
  <c r="I91" i="6"/>
  <c r="I67" i="6"/>
  <c r="I10" i="6"/>
  <c r="I36" i="6"/>
  <c r="I43" i="6"/>
  <c r="I83" i="6"/>
  <c r="I139" i="6"/>
  <c r="I11" i="6"/>
  <c r="I46" i="6"/>
  <c r="G29" i="6"/>
  <c r="G26" i="6"/>
  <c r="I38" i="6"/>
  <c r="G59" i="6"/>
  <c r="I95" i="6"/>
  <c r="I100" i="6"/>
  <c r="I6" i="6"/>
  <c r="G41" i="6"/>
  <c r="I34" i="6"/>
  <c r="I76" i="6"/>
  <c r="I19" i="6"/>
  <c r="I64" i="6"/>
  <c r="I107" i="6"/>
  <c r="I124" i="6"/>
  <c r="I126" i="6"/>
  <c r="I106" i="6"/>
  <c r="G53" i="6"/>
  <c r="I130" i="6"/>
  <c r="I142" i="6"/>
  <c r="I14" i="6"/>
  <c r="G35" i="6"/>
  <c r="I47" i="6"/>
  <c r="I138" i="6"/>
  <c r="G23" i="6"/>
  <c r="I35" i="6"/>
  <c r="I40" i="6"/>
  <c r="I54" i="6"/>
  <c r="I99" i="6"/>
  <c r="I109" i="6"/>
  <c r="I111" i="6"/>
  <c r="A15" i="2"/>
  <c r="H9" i="2"/>
  <c r="A197" i="3"/>
  <c r="A197" i="4"/>
  <c r="A124" i="4"/>
  <c r="A27" i="5"/>
  <c r="A143" i="3"/>
  <c r="A161" i="4"/>
  <c r="A176" i="3"/>
  <c r="A147" i="3"/>
  <c r="A108" i="4"/>
  <c r="A172" i="4"/>
  <c r="A77" i="3"/>
  <c r="A17" i="5"/>
  <c r="A8" i="3"/>
  <c r="A156" i="4"/>
  <c r="A47" i="4"/>
  <c r="A115" i="3"/>
  <c r="C6" i="2"/>
  <c r="D5" i="4"/>
  <c r="A186" i="4"/>
  <c r="A184" i="3"/>
  <c r="A162" i="3"/>
  <c r="A25" i="5"/>
  <c r="A165" i="4"/>
  <c r="A41" i="5"/>
  <c r="A136" i="4"/>
  <c r="A158" i="3"/>
  <c r="A39" i="5"/>
  <c r="A159" i="3"/>
  <c r="A132" i="4"/>
  <c r="A97" i="4"/>
  <c r="A47" i="3"/>
  <c r="A149" i="4"/>
  <c r="A67" i="3"/>
  <c r="A60" i="3"/>
  <c r="A115" i="4"/>
  <c r="A72" i="4"/>
  <c r="A17" i="3"/>
  <c r="A33" i="3"/>
  <c r="A87" i="4"/>
  <c r="A109" i="4"/>
  <c r="A28" i="5"/>
  <c r="A119" i="3"/>
  <c r="F8" i="5"/>
  <c r="F8" i="2"/>
  <c r="C8" i="4"/>
  <c r="A26" i="5"/>
  <c r="A178" i="3"/>
  <c r="A169" i="4"/>
  <c r="A159" i="4"/>
  <c r="A177" i="3"/>
  <c r="A20" i="5"/>
  <c r="A129" i="4"/>
  <c r="A151" i="3"/>
  <c r="A88" i="4"/>
  <c r="A38" i="3"/>
  <c r="A69" i="3"/>
  <c r="A147" i="4"/>
  <c r="A63" i="3"/>
  <c r="A103" i="4"/>
  <c r="A65" i="4"/>
  <c r="A15" i="3"/>
  <c r="A63" i="4"/>
  <c r="A21" i="3"/>
  <c r="A191" i="4"/>
  <c r="A127" i="3"/>
  <c r="A203" i="4"/>
  <c r="A110" i="3"/>
  <c r="A98" i="3"/>
  <c r="A44" i="4"/>
  <c r="A95" i="3"/>
  <c r="A39" i="4"/>
  <c r="A40" i="4"/>
  <c r="A132" i="3"/>
  <c r="G18" i="2"/>
  <c r="G9" i="5"/>
  <c r="B11" i="2"/>
  <c r="K10" i="2"/>
  <c r="G8" i="2"/>
  <c r="F5" i="4"/>
  <c r="H8" i="2"/>
  <c r="F7" i="2"/>
  <c r="B9" i="5"/>
  <c r="E5" i="4"/>
  <c r="I9" i="2"/>
  <c r="B9" i="4"/>
  <c r="J9" i="2"/>
  <c r="H8" i="4"/>
  <c r="E7" i="2"/>
  <c r="A189" i="3"/>
  <c r="A177" i="4"/>
  <c r="A199" i="4"/>
  <c r="A138" i="3"/>
  <c r="A144" i="3"/>
  <c r="A30" i="5"/>
  <c r="A126" i="4"/>
  <c r="A102" i="4"/>
  <c r="A140" i="3"/>
  <c r="A75" i="3"/>
  <c r="A164" i="4"/>
  <c r="A68" i="4"/>
  <c r="A28" i="3"/>
  <c r="A100" i="4"/>
  <c r="A50" i="3"/>
  <c r="A69" i="4"/>
  <c r="A22" i="3"/>
  <c r="A42" i="3"/>
  <c r="A30" i="4"/>
  <c r="A201" i="4"/>
  <c r="A15" i="5"/>
  <c r="A113" i="3"/>
  <c r="A119" i="4"/>
  <c r="A105" i="3"/>
  <c r="A85" i="3"/>
  <c r="A19" i="4"/>
  <c r="A88" i="3"/>
  <c r="A23" i="4"/>
  <c r="A101" i="3"/>
  <c r="A22" i="4"/>
  <c r="B6" i="2"/>
  <c r="I200" i="3"/>
  <c r="E15" i="2"/>
  <c r="G15" i="2"/>
  <c r="C15" i="2"/>
  <c r="J10" i="2"/>
  <c r="A200" i="3"/>
  <c r="H8" i="5"/>
  <c r="K9" i="2"/>
  <c r="A163" i="3"/>
  <c r="G8" i="6"/>
  <c r="G20" i="6"/>
  <c r="G56" i="6"/>
  <c r="A187" i="4"/>
  <c r="A193" i="3"/>
  <c r="A110" i="4"/>
  <c r="A57" i="3"/>
  <c r="E6" i="2"/>
  <c r="A120" i="3"/>
  <c r="D10" i="5"/>
  <c r="E9" i="4"/>
  <c r="I7" i="2"/>
  <c r="A62" i="3"/>
  <c r="A198" i="3"/>
  <c r="A195" i="4"/>
  <c r="A181" i="3"/>
  <c r="A170" i="4"/>
  <c r="A146" i="4"/>
  <c r="A24" i="5"/>
  <c r="A168" i="4"/>
  <c r="A171" i="3"/>
  <c r="A33" i="5"/>
  <c r="A104" i="4"/>
  <c r="A131" i="4"/>
  <c r="A37" i="5"/>
  <c r="A141" i="3"/>
  <c r="A107" i="4"/>
  <c r="A51" i="3"/>
  <c r="A78" i="3"/>
  <c r="A178" i="4"/>
  <c r="A95" i="4"/>
  <c r="A45" i="3"/>
  <c r="A134" i="4"/>
  <c r="A54" i="3"/>
  <c r="H6" i="2"/>
  <c r="J7" i="2"/>
  <c r="B9" i="2"/>
  <c r="F11" i="2"/>
  <c r="C18" i="2"/>
  <c r="A13" i="3"/>
  <c r="A16" i="3"/>
  <c r="A19" i="3"/>
  <c r="A196" i="3"/>
  <c r="B7" i="4"/>
  <c r="H9" i="4"/>
  <c r="A48" i="4"/>
  <c r="A154" i="4"/>
  <c r="A185" i="4"/>
  <c r="D5" i="5"/>
  <c r="G5" i="4"/>
  <c r="J8" i="2"/>
  <c r="C10" i="2"/>
  <c r="C5" i="5"/>
  <c r="A46" i="3"/>
  <c r="B10" i="4"/>
  <c r="J6" i="2"/>
  <c r="B8" i="2"/>
  <c r="F10" i="2"/>
  <c r="H11" i="2"/>
  <c r="A182" i="3"/>
  <c r="D7" i="4"/>
  <c r="C10" i="4"/>
  <c r="A32" i="4"/>
  <c r="A41" i="4"/>
  <c r="A121" i="4"/>
  <c r="A162" i="4"/>
  <c r="A190" i="4"/>
  <c r="F5" i="5"/>
  <c r="A18" i="5"/>
  <c r="A23" i="5"/>
  <c r="H41" i="5"/>
  <c r="G32" i="6"/>
  <c r="A31" i="5"/>
  <c r="A150" i="3"/>
  <c r="A130" i="4"/>
  <c r="A183" i="4"/>
  <c r="A190" i="3"/>
  <c r="A79" i="4"/>
  <c r="A66" i="3"/>
  <c r="A33" i="4"/>
  <c r="A48" i="3"/>
  <c r="C11" i="2"/>
  <c r="G6" i="2"/>
  <c r="E11" i="2"/>
  <c r="A122" i="3"/>
  <c r="A173" i="3"/>
  <c r="F22" i="5"/>
  <c r="I6" i="2"/>
  <c r="E10" i="2"/>
  <c r="A152" i="3"/>
  <c r="C7" i="4"/>
  <c r="A44" i="5"/>
  <c r="A157" i="4"/>
  <c r="A185" i="3"/>
  <c r="A171" i="4"/>
  <c r="C8" i="2"/>
  <c r="I11" i="2"/>
  <c r="A93" i="3"/>
  <c r="A154" i="3"/>
  <c r="A172" i="3"/>
  <c r="H10" i="4"/>
  <c r="A24" i="4"/>
  <c r="A181" i="4"/>
  <c r="A196" i="4"/>
  <c r="F40" i="5"/>
  <c r="A153" i="3"/>
  <c r="A139" i="4"/>
  <c r="A27" i="3"/>
  <c r="A75" i="4"/>
  <c r="A52" i="4"/>
  <c r="A24" i="3"/>
  <c r="A108" i="3"/>
  <c r="A202" i="4"/>
  <c r="A22" i="5"/>
  <c r="A180" i="4"/>
  <c r="G7" i="2"/>
  <c r="A31" i="3"/>
  <c r="C9" i="4"/>
  <c r="H40" i="5"/>
  <c r="F6" i="2"/>
  <c r="B10" i="2"/>
  <c r="B6" i="4"/>
  <c r="K8" i="2"/>
  <c r="A18" i="2"/>
  <c r="A25" i="3"/>
  <c r="G9" i="4"/>
  <c r="A46" i="4"/>
  <c r="K7" i="2"/>
  <c r="G11" i="2"/>
  <c r="A133" i="3"/>
  <c r="A157" i="3"/>
  <c r="A188" i="4"/>
  <c r="A174" i="3"/>
  <c r="A150" i="4"/>
  <c r="A97" i="3"/>
  <c r="A45" i="4"/>
  <c r="E9" i="2"/>
  <c r="G10" i="2"/>
  <c r="A61" i="3"/>
  <c r="A74" i="3"/>
  <c r="A130" i="3"/>
  <c r="A149" i="3"/>
  <c r="A106" i="4"/>
  <c r="B8" i="5"/>
  <c r="B7" i="2"/>
  <c r="F9" i="2"/>
  <c r="H10" i="2"/>
  <c r="J11" i="2"/>
  <c r="A6" i="3"/>
  <c r="A9" i="3"/>
  <c r="A12" i="3"/>
  <c r="A18" i="3"/>
  <c r="A35" i="3"/>
  <c r="B5" i="4"/>
  <c r="G7" i="4"/>
  <c r="A26" i="4"/>
  <c r="A140" i="4"/>
  <c r="A182" i="4"/>
  <c r="G44" i="6"/>
  <c r="B10" i="5"/>
  <c r="D8" i="5"/>
  <c r="F6" i="5"/>
  <c r="H9" i="5"/>
  <c r="C8" i="5"/>
  <c r="E6" i="5"/>
  <c r="F9" i="5"/>
  <c r="H7" i="5"/>
  <c r="C6" i="5"/>
  <c r="E9" i="5"/>
  <c r="G7" i="5"/>
  <c r="B6" i="5"/>
  <c r="A194" i="4"/>
  <c r="F9" i="4"/>
  <c r="H7" i="4"/>
  <c r="C6" i="4"/>
  <c r="D9" i="5"/>
  <c r="F7" i="5"/>
  <c r="H5" i="5"/>
  <c r="H10" i="5"/>
  <c r="C9" i="5"/>
  <c r="E7" i="5"/>
  <c r="G5" i="5"/>
  <c r="D9" i="4"/>
  <c r="F7" i="4"/>
  <c r="H5" i="4"/>
  <c r="C10" i="5"/>
  <c r="E8" i="5"/>
  <c r="G6" i="5"/>
  <c r="B5" i="5"/>
  <c r="D7" i="5"/>
  <c r="G10" i="4"/>
  <c r="G8" i="4"/>
  <c r="G6" i="4"/>
  <c r="C7" i="5"/>
  <c r="F10" i="4"/>
  <c r="F8" i="4"/>
  <c r="F6" i="4"/>
  <c r="G10" i="5"/>
  <c r="B7" i="5"/>
  <c r="E10" i="4"/>
  <c r="E8" i="4"/>
  <c r="E6" i="4"/>
  <c r="F10" i="5"/>
  <c r="H6" i="5"/>
  <c r="D10" i="4"/>
  <c r="D8" i="4"/>
  <c r="D6" i="4"/>
  <c r="E10" i="5"/>
  <c r="D6" i="5"/>
  <c r="A167" i="4"/>
  <c r="A183" i="3"/>
  <c r="A50" i="4"/>
  <c r="A30" i="3"/>
  <c r="I8" i="2"/>
  <c r="A84" i="3"/>
  <c r="H7" i="2"/>
  <c r="A194" i="3"/>
  <c r="H6" i="4"/>
  <c r="C9" i="2"/>
  <c r="E18" i="2"/>
  <c r="E5" i="5"/>
  <c r="A187" i="3"/>
  <c r="A173" i="4"/>
  <c r="A38" i="5"/>
  <c r="A192" i="4"/>
  <c r="K6" i="2"/>
  <c r="A56" i="3"/>
  <c r="A79" i="3"/>
  <c r="A167" i="3"/>
  <c r="E7" i="4"/>
  <c r="A42" i="5"/>
  <c r="C7" i="2"/>
  <c r="E8" i="2"/>
  <c r="G9" i="2"/>
  <c r="I10" i="2"/>
  <c r="K11" i="2"/>
  <c r="A40" i="3"/>
  <c r="A53" i="3"/>
  <c r="A58" i="3"/>
  <c r="A71" i="3"/>
  <c r="A76" i="3"/>
  <c r="A90" i="3"/>
  <c r="A126" i="3"/>
  <c r="A146" i="3"/>
  <c r="C5" i="4"/>
  <c r="B8" i="4"/>
  <c r="A36" i="4"/>
  <c r="A142" i="4"/>
  <c r="A184" i="4"/>
  <c r="G8" i="5"/>
  <c r="H16" i="5"/>
  <c r="F34" i="5"/>
  <c r="I8" i="6"/>
  <c r="I20" i="6"/>
  <c r="I32" i="6"/>
  <c r="I44" i="6"/>
  <c r="I56" i="6"/>
  <c r="I72" i="6"/>
  <c r="H23" i="5"/>
  <c r="I5" i="6"/>
  <c r="I17" i="6"/>
  <c r="I29" i="6"/>
  <c r="I41" i="6"/>
  <c r="I53" i="6"/>
  <c r="I65" i="6"/>
  <c r="F28" i="5"/>
  <c r="D7" i="2" l="1"/>
  <c r="D10" i="2"/>
  <c r="D6" i="2"/>
  <c r="D9" i="2"/>
  <c r="D11" i="2"/>
  <c r="D8" i="2"/>
</calcChain>
</file>

<file path=xl/sharedStrings.xml><?xml version="1.0" encoding="utf-8"?>
<sst xmlns="http://schemas.openxmlformats.org/spreadsheetml/2006/main" count="1336" uniqueCount="370">
  <si>
    <t>RAW FMS DATA – APRIL 2025  |  TALABIRA MINE  |  Adani Natural Resources</t>
  </si>
  <si>
    <t>Sr No</t>
  </si>
  <si>
    <t>Equipment Type</t>
  </si>
  <si>
    <t>Equipment ID</t>
  </si>
  <si>
    <t>Shift Hours</t>
  </si>
  <si>
    <t>Availabilty Hours</t>
  </si>
  <si>
    <t>Equipment Operation Hours</t>
  </si>
  <si>
    <t>Equipment Operation HMR</t>
  </si>
  <si>
    <t>Equipment Break Down Hours</t>
  </si>
  <si>
    <t>Equipment Break Down HMR</t>
  </si>
  <si>
    <t>Equipment Idle Hours</t>
  </si>
  <si>
    <t>Equipment Idle HMR</t>
  </si>
  <si>
    <t>Total Productive HMR</t>
  </si>
  <si>
    <t>Total Un-Productive HMR</t>
  </si>
  <si>
    <t>Total HMR</t>
  </si>
  <si>
    <t>Availibity %</t>
  </si>
  <si>
    <t>Utilization %</t>
  </si>
  <si>
    <t>ROM Trip (Production)</t>
  </si>
  <si>
    <t>ROM Tones (Production)</t>
  </si>
  <si>
    <t xml:space="preserve">ROM Avg. </t>
  </si>
  <si>
    <t>OB Trip (Production)</t>
  </si>
  <si>
    <t>OB CUM (Production)</t>
  </si>
  <si>
    <t>TF</t>
  </si>
  <si>
    <t>Diesel Consumption</t>
  </si>
  <si>
    <t>Per Hour</t>
  </si>
  <si>
    <t>Per Productive Hour (System With Load)</t>
  </si>
  <si>
    <t>Per Productive Hour (System Without Load)</t>
  </si>
  <si>
    <t>Per Trip</t>
  </si>
  <si>
    <t>Per Ton/m3</t>
  </si>
  <si>
    <t>Equip Group</t>
  </si>
  <si>
    <t>Status</t>
  </si>
  <si>
    <t>Row Type</t>
  </si>
  <si>
    <t>Tipper</t>
  </si>
  <si>
    <t>V-235</t>
  </si>
  <si>
    <t>V-236</t>
  </si>
  <si>
    <t>V-238</t>
  </si>
  <si>
    <t>V-246</t>
  </si>
  <si>
    <t>V-260</t>
  </si>
  <si>
    <t>V-263</t>
  </si>
  <si>
    <t>V-266</t>
  </si>
  <si>
    <t>V-267</t>
  </si>
  <si>
    <t>V-273</t>
  </si>
  <si>
    <t>V-274</t>
  </si>
  <si>
    <t>V-275</t>
  </si>
  <si>
    <t>V-283</t>
  </si>
  <si>
    <t>Volvo</t>
  </si>
  <si>
    <t>BB-358</t>
  </si>
  <si>
    <t>BB-396</t>
  </si>
  <si>
    <t>BB-397</t>
  </si>
  <si>
    <t>BB-398</t>
  </si>
  <si>
    <t>BB-399</t>
  </si>
  <si>
    <t>BB-400</t>
  </si>
  <si>
    <t>BB-401</t>
  </si>
  <si>
    <t>BB-402</t>
  </si>
  <si>
    <t>BB-404</t>
  </si>
  <si>
    <t>BB-407</t>
  </si>
  <si>
    <t>BB-410</t>
  </si>
  <si>
    <t>BB-412</t>
  </si>
  <si>
    <t>BB-414</t>
  </si>
  <si>
    <t>BB-415</t>
  </si>
  <si>
    <t>BB-421</t>
  </si>
  <si>
    <t>BB-422</t>
  </si>
  <si>
    <t>BB-423</t>
  </si>
  <si>
    <t>BB-424</t>
  </si>
  <si>
    <t>BB-425</t>
  </si>
  <si>
    <t>BB-429</t>
  </si>
  <si>
    <t>BB-435</t>
  </si>
  <si>
    <t>BB-436</t>
  </si>
  <si>
    <t>BB-507</t>
  </si>
  <si>
    <t>BB-508</t>
  </si>
  <si>
    <t>BB-510</t>
  </si>
  <si>
    <t>BB-511</t>
  </si>
  <si>
    <t>BB-513</t>
  </si>
  <si>
    <t>BB-515</t>
  </si>
  <si>
    <t>BB-517</t>
  </si>
  <si>
    <t>BB-518</t>
  </si>
  <si>
    <t>BB-519</t>
  </si>
  <si>
    <t>BB-520</t>
  </si>
  <si>
    <t>BB-521</t>
  </si>
  <si>
    <t>BB-522</t>
  </si>
  <si>
    <t>BB-523</t>
  </si>
  <si>
    <t>BB-524</t>
  </si>
  <si>
    <t>BB-545</t>
  </si>
  <si>
    <t>BB-546</t>
  </si>
  <si>
    <t>BB-547</t>
  </si>
  <si>
    <t>BB-548</t>
  </si>
  <si>
    <t>BB-549</t>
  </si>
  <si>
    <t>BB-550</t>
  </si>
  <si>
    <t>BB-551</t>
  </si>
  <si>
    <t>BB-552</t>
  </si>
  <si>
    <t>BB-585</t>
  </si>
  <si>
    <t>BB-586</t>
  </si>
  <si>
    <t>BB-587</t>
  </si>
  <si>
    <t>BB-588</t>
  </si>
  <si>
    <t>BB-589</t>
  </si>
  <si>
    <t>BB-590</t>
  </si>
  <si>
    <t>BB-591</t>
  </si>
  <si>
    <t>BB-592</t>
  </si>
  <si>
    <t>BB-593</t>
  </si>
  <si>
    <t>BB-594</t>
  </si>
  <si>
    <t>Bharatbenz</t>
  </si>
  <si>
    <t>Dumper</t>
  </si>
  <si>
    <t>S-034</t>
  </si>
  <si>
    <t>S-035</t>
  </si>
  <si>
    <t>S-036</t>
  </si>
  <si>
    <t>S-037</t>
  </si>
  <si>
    <t>S-038</t>
  </si>
  <si>
    <t>S-039</t>
  </si>
  <si>
    <t>S-041</t>
  </si>
  <si>
    <t>S-042</t>
  </si>
  <si>
    <t>S-043</t>
  </si>
  <si>
    <t>S-045</t>
  </si>
  <si>
    <t>S-046</t>
  </si>
  <si>
    <t>S-047</t>
  </si>
  <si>
    <t>S-048</t>
  </si>
  <si>
    <t>S-050</t>
  </si>
  <si>
    <t>S-051</t>
  </si>
  <si>
    <t>S-052</t>
  </si>
  <si>
    <t>S-053</t>
  </si>
  <si>
    <t>S-054</t>
  </si>
  <si>
    <t>S-055</t>
  </si>
  <si>
    <t>S-056</t>
  </si>
  <si>
    <t>S-057</t>
  </si>
  <si>
    <t>S-058</t>
  </si>
  <si>
    <t>S-059</t>
  </si>
  <si>
    <t>S-060</t>
  </si>
  <si>
    <t>S-061</t>
  </si>
  <si>
    <t>S-062</t>
  </si>
  <si>
    <t>S-063</t>
  </si>
  <si>
    <t>S-064</t>
  </si>
  <si>
    <t>S-065</t>
  </si>
  <si>
    <t>S-201</t>
  </si>
  <si>
    <t>S-202</t>
  </si>
  <si>
    <t>S-203</t>
  </si>
  <si>
    <t>S-204</t>
  </si>
  <si>
    <t>S-220</t>
  </si>
  <si>
    <t>S-221</t>
  </si>
  <si>
    <t>S-222</t>
  </si>
  <si>
    <t>S-223</t>
  </si>
  <si>
    <t>S-224</t>
  </si>
  <si>
    <t>S-225</t>
  </si>
  <si>
    <t>S-226</t>
  </si>
  <si>
    <t>S-227</t>
  </si>
  <si>
    <t>S-248</t>
  </si>
  <si>
    <t>S-249</t>
  </si>
  <si>
    <t>S-250</t>
  </si>
  <si>
    <t>S-251</t>
  </si>
  <si>
    <t>S-252</t>
  </si>
  <si>
    <t>S-254</t>
  </si>
  <si>
    <t>S-255</t>
  </si>
  <si>
    <t>S-256</t>
  </si>
  <si>
    <t>S-257</t>
  </si>
  <si>
    <t>S-258</t>
  </si>
  <si>
    <t>S-259</t>
  </si>
  <si>
    <t>S-260</t>
  </si>
  <si>
    <t>S-261</t>
  </si>
  <si>
    <t>S-262</t>
  </si>
  <si>
    <t>S-263</t>
  </si>
  <si>
    <t>S-370</t>
  </si>
  <si>
    <t>S-371</t>
  </si>
  <si>
    <t>S-372</t>
  </si>
  <si>
    <t>S-373</t>
  </si>
  <si>
    <t>S-374</t>
  </si>
  <si>
    <t>S-375</t>
  </si>
  <si>
    <t>S-382</t>
  </si>
  <si>
    <t>S-383</t>
  </si>
  <si>
    <t>S-386</t>
  </si>
  <si>
    <t>S-387</t>
  </si>
  <si>
    <t>S-405</t>
  </si>
  <si>
    <t>Sany</t>
  </si>
  <si>
    <t>K-001</t>
  </si>
  <si>
    <t>K-002</t>
  </si>
  <si>
    <t>K-003</t>
  </si>
  <si>
    <t>K-004</t>
  </si>
  <si>
    <t>K-005</t>
  </si>
  <si>
    <t>K-006</t>
  </si>
  <si>
    <t>K-007</t>
  </si>
  <si>
    <t>K-008</t>
  </si>
  <si>
    <t>K-009</t>
  </si>
  <si>
    <t>K-010</t>
  </si>
  <si>
    <t>Komatsu</t>
  </si>
  <si>
    <t>Front End Loader</t>
  </si>
  <si>
    <t>L-001</t>
  </si>
  <si>
    <t>L-003</t>
  </si>
  <si>
    <t>L-004</t>
  </si>
  <si>
    <t>L-005</t>
  </si>
  <si>
    <t>L-006</t>
  </si>
  <si>
    <t>L-007</t>
  </si>
  <si>
    <t>L-008</t>
  </si>
  <si>
    <t>L-009</t>
  </si>
  <si>
    <t>L-010</t>
  </si>
  <si>
    <t>L-011</t>
  </si>
  <si>
    <t>L-012</t>
  </si>
  <si>
    <t>L-013</t>
  </si>
  <si>
    <t>L-032</t>
  </si>
  <si>
    <t>L-033</t>
  </si>
  <si>
    <t>L-035</t>
  </si>
  <si>
    <t>SDLG-DEMO</t>
  </si>
  <si>
    <t>Fel</t>
  </si>
  <si>
    <t>Excavator</t>
  </si>
  <si>
    <t>EX-001</t>
  </si>
  <si>
    <t>EX-093</t>
  </si>
  <si>
    <t>EX-094</t>
  </si>
  <si>
    <t>EX-097</t>
  </si>
  <si>
    <t>EX-098</t>
  </si>
  <si>
    <t>EX-100</t>
  </si>
  <si>
    <t>EX-103</t>
  </si>
  <si>
    <t>EX-108</t>
  </si>
  <si>
    <t>EX-110</t>
  </si>
  <si>
    <t>EX-117</t>
  </si>
  <si>
    <t>EX-118</t>
  </si>
  <si>
    <t>EX-122</t>
  </si>
  <si>
    <t>EX-124</t>
  </si>
  <si>
    <t>EX-127</t>
  </si>
  <si>
    <t>EX-140</t>
  </si>
  <si>
    <t>EX-148</t>
  </si>
  <si>
    <t>EX-159</t>
  </si>
  <si>
    <t>EX-161</t>
  </si>
  <si>
    <t>EX-162</t>
  </si>
  <si>
    <t>EX-163</t>
  </si>
  <si>
    <t>EX-164</t>
  </si>
  <si>
    <t>EX-165</t>
  </si>
  <si>
    <t>EX-196</t>
  </si>
  <si>
    <t>EX-197</t>
  </si>
  <si>
    <t>EX-200</t>
  </si>
  <si>
    <t>EX-201</t>
  </si>
  <si>
    <t>EX-205</t>
  </si>
  <si>
    <t>EX-207</t>
  </si>
  <si>
    <t>Surface Miner</t>
  </si>
  <si>
    <t>CSM-001</t>
  </si>
  <si>
    <t>CSM-002</t>
  </si>
  <si>
    <t>CSM-003</t>
  </si>
  <si>
    <t>CSM-004</t>
  </si>
  <si>
    <t>CSM-006</t>
  </si>
  <si>
    <t>CSM-007</t>
  </si>
  <si>
    <t>Csm</t>
  </si>
  <si>
    <t>Diesel Bowser</t>
  </si>
  <si>
    <t>DB-007</t>
  </si>
  <si>
    <t>DB-008</t>
  </si>
  <si>
    <t>DB-019</t>
  </si>
  <si>
    <t>DB-021</t>
  </si>
  <si>
    <t>DB-338</t>
  </si>
  <si>
    <t>DB-348</t>
  </si>
  <si>
    <t>TALABIRA MINE – FMS PERFORMANCE ANALYSIS  |  APRIL 2025</t>
  </si>
  <si>
    <t>Adani Natural Resources  |  Fleet Management System (FMS) Data</t>
  </si>
  <si>
    <t>FLEET PERFORMANCE SNAPSHOT – APRIL 2025  (All values = Raw Data formulas)</t>
  </si>
  <si>
    <t>Equipment Group</t>
  </si>
  <si>
    <t>Total Units</t>
  </si>
  <si>
    <t>Operational</t>
  </si>
  <si>
    <t>Non-Op</t>
  </si>
  <si>
    <t>Avg Avail %</t>
  </si>
  <si>
    <t>Avg Util %</t>
  </si>
  <si>
    <t>Total Diesel (L)</t>
  </si>
  <si>
    <t>OB CUM (m³)</t>
  </si>
  <si>
    <t>ROM (Tonnes)</t>
  </si>
  <si>
    <t>Avg Idle Hrs/Unit</t>
  </si>
  <si>
    <t>Avg Brkdn Hrs/Unit</t>
  </si>
  <si>
    <t>KEY PERFORMANCE INDICATORS</t>
  </si>
  <si>
    <t>Total Fleet</t>
  </si>
  <si>
    <t>Fleet Avail %</t>
  </si>
  <si>
    <t>Fleet Util %</t>
  </si>
  <si>
    <t>Total OB CUM</t>
  </si>
  <si>
    <t>Total ROM (T)</t>
  </si>
  <si>
    <t>Total Idle Hrs</t>
  </si>
  <si>
    <t>Non-Op Units</t>
  </si>
  <si>
    <t>Total Brkdn Hrs</t>
  </si>
  <si>
    <t>DATA NOTES</t>
  </si>
  <si>
    <t xml:space="preserve">  • All values = SUMIFS/AVERAGEIFS/COUNTIFS formulas linked to Raw Data sheet.</t>
  </si>
  <si>
    <t xml:space="preserve">  • Helper columns AC (Equip Group), AD (Status), AE (Row Type) in Raw Data power all lookups.</t>
  </si>
  <si>
    <t xml:space="preserve">  • April 2025: 720 shift hrs (30 days). Normalise per-day when comparing months.</t>
  </si>
  <si>
    <t>AVAILABILITY &amp; UTILIZATION | APRIL 2025  — Values from Raw Data formulas</t>
  </si>
  <si>
    <t>Equipment ID pre-populated | All other columns = INDEX/MATCH from Raw Data</t>
  </si>
  <si>
    <t>Shift Hrs</t>
  </si>
  <si>
    <t>Avail Hrs</t>
  </si>
  <si>
    <t>Breakdown Hrs</t>
  </si>
  <si>
    <t>Idle Hrs</t>
  </si>
  <si>
    <t>Availability %</t>
  </si>
  <si>
    <t xml:space="preserve">  Dumper</t>
  </si>
  <si>
    <t xml:space="preserve">  Excavator</t>
  </si>
  <si>
    <t xml:space="preserve">  Front End Loader</t>
  </si>
  <si>
    <t xml:space="preserve">  Surface Miner</t>
  </si>
  <si>
    <t xml:space="preserve">  Tipper</t>
  </si>
  <si>
    <t>Green = Avail ≥75% / Util ≥80%</t>
  </si>
  <si>
    <t>Yellow = Avail 50–75% / Util 70–80%</t>
  </si>
  <si>
    <t>Red = &lt;50% / &lt;70% or Non-Op</t>
  </si>
  <si>
    <t>FUEL CONSUMPTION ANALYSIS | APRIL 2025  — Values from Raw Data formulas</t>
  </si>
  <si>
    <t>GROUP SUMMARY  (SUMIFS / AVERAGEIFS formulas)</t>
  </si>
  <si>
    <t>Op Units</t>
  </si>
  <si>
    <t>Avg L/Hr</t>
  </si>
  <si>
    <t>Total OB CUM (m³)</t>
  </si>
  <si>
    <t>INDIVIDUAL EQUIPMENT – sorted by Diesel Consumed  |  ID static, values = INDEX/MATCH</t>
  </si>
  <si>
    <t>L/Hr (Overall)</t>
  </si>
  <si>
    <t>L/Hr (Productive)</t>
  </si>
  <si>
    <t>Op Hours</t>
  </si>
  <si>
    <t>ROM (T)</t>
  </si>
  <si>
    <t>IDLE TIME &amp; BREAKDOWN ANALYSIS | APRIL 2025  — Values from Raw Data formulas</t>
  </si>
  <si>
    <t>Avg Idle/Unit</t>
  </si>
  <si>
    <t>Idle % of Avail</t>
  </si>
  <si>
    <t>Brkdn % of Shift</t>
  </si>
  <si>
    <t>Avg Shift Hrs</t>
  </si>
  <si>
    <t>TOP 30 HIGHEST IDLE HOURS  |  ID static, values = INDEX/MATCH  |  Ratios = in-row calc</t>
  </si>
  <si>
    <t>Brkdn Hrs</t>
  </si>
  <si>
    <t>PRODUCTION KPIs – TIPPERS &amp; DUMPERS | APRIL 2025  — Values from Raw Data formulas</t>
  </si>
  <si>
    <t>TIPPER ROM PRODUCTION  |  ID static, values = INDEX/MATCH  |  Derived ratios = in-row calc</t>
  </si>
  <si>
    <t>Avail %</t>
  </si>
  <si>
    <t>Util %</t>
  </si>
  <si>
    <t>ROM Trips</t>
  </si>
  <si>
    <t>ROM Tonnes</t>
  </si>
  <si>
    <t>Avg T/Trip</t>
  </si>
  <si>
    <t>Diesel (L)</t>
  </si>
  <si>
    <t>L/Tonne</t>
  </si>
  <si>
    <t>DUMPER OB PRODUCTION  |  ID static, values = INDEX/MATCH  |  L/m³ = in-row calc</t>
  </si>
  <si>
    <t>OB Trips</t>
  </si>
  <si>
    <t>L/m³ OB</t>
  </si>
  <si>
    <t>IMPROVEMENT OPPORTUNITIES &amp; RECOMMENDATIONS | APRIL 2025</t>
  </si>
  <si>
    <t>NON-OPERATIONAL UNITS  —  Zero Availability All Month  (9 units)</t>
  </si>
  <si>
    <t>Zero productive hours for the full month. Investigate: major breakdown, awaiting spare parts, or retirement decision.</t>
  </si>
  <si>
    <t>Investigate</t>
  </si>
  <si>
    <t>Action</t>
  </si>
  <si>
    <t>-</t>
  </si>
  <si>
    <t>Pending RCA</t>
  </si>
  <si>
    <t>Escalate to maintenance manager</t>
  </si>
  <si>
    <t>LOW AVAILABILITY UNITS  (&lt;40%)  —  40 units</t>
  </si>
  <si>
    <t>Availability below 40% = machine unavailable &gt;60% of scheduled shift. Primary cause: high breakdown frequency or extended repair time.</t>
  </si>
  <si>
    <t>TOP 10 HIGHEST IDLE HOURS  —  Available but not producing</t>
  </si>
  <si>
    <t>Idle = equipment running but not producing. Every idle hour burns fuel with zero output. Causes: poor dispatch, queue at shovel/dump, operator breaks.</t>
  </si>
  <si>
    <t>Idle Hours</t>
  </si>
  <si>
    <t>Avail Hours</t>
  </si>
  <si>
    <t>Est. Wasted Diesel (L)</t>
  </si>
  <si>
    <t>Improve dispatch / reduce queue time</t>
  </si>
  <si>
    <t>RECOMMENDED IMPROVEMENT ACTIONS</t>
  </si>
  <si>
    <t>Priority</t>
  </si>
  <si>
    <t>Area</t>
  </si>
  <si>
    <t>Finding</t>
  </si>
  <si>
    <t>Root Cause (Likely)</t>
  </si>
  <si>
    <t>Recommended Action</t>
  </si>
  <si>
    <t>Expected Benefit</t>
  </si>
  <si>
    <t>P1 – CRITICAL</t>
  </si>
  <si>
    <t>Non-Op Fleet</t>
  </si>
  <si>
    <t>9 units with zero availability all month</t>
  </si>
  <si>
    <t>Major breakdown / awaiting spare parts / retirement</t>
  </si>
  <si>
    <t>RCA per unit; fast-track critical spares; evaluate fleet renewal for chronic units</t>
  </si>
  <si>
    <t>Restore capacity; prevent production shortfall</t>
  </si>
  <si>
    <t>Idle Time</t>
  </si>
  <si>
    <t>Total fleet idle = 26,969 hrs</t>
  </si>
  <si>
    <t>Poor dispatch; queuing at dump/load; operator behaviour</t>
  </si>
  <si>
    <t>FMS idle alerts &gt;15 min; optimise truck-shovel ratio; shift-level idle targets</t>
  </si>
  <si>
    <t>10–15% fuel saving; direct cost reduction</t>
  </si>
  <si>
    <t>P2 – HIGH</t>
  </si>
  <si>
    <t>Low Availability</t>
  </si>
  <si>
    <t>40 units below 40% availability</t>
  </si>
  <si>
    <t>High breakdown frequency; PM schedule gaps; aging fleet</t>
  </si>
  <si>
    <t>Review PM adherence; track MTBF; flag repeat offenders for renewal</t>
  </si>
  <si>
    <t>Each 10% avail gain = +74 productive hrs/unit/month</t>
  </si>
  <si>
    <t>Fuel Efficiency</t>
  </si>
  <si>
    <t>Units &gt;2x group median L/hr flagged on Fuel Analysis sheet</t>
  </si>
  <si>
    <t>Sensor fault or engine over-fuelling / injector wear</t>
  </si>
  <si>
    <t>Verify sensor calibration; manual dip cross-check; inspect engine</t>
  </si>
  <si>
    <t>Prevent excess fuel cost; early fault detection</t>
  </si>
  <si>
    <t>P3 – MEDIUM</t>
  </si>
  <si>
    <t>Payload Optimisation</t>
  </si>
  <si>
    <t>OB CUM per trip varies widely across dumper fleet</t>
  </si>
  <si>
    <t>Inconsistent excavator pass count; operator variability</t>
  </si>
  <si>
    <t>Set loading targets per truck class; monitor payload in FMS; operator training</t>
  </si>
  <si>
    <t>5% payload gain = 5% more OB without extra trucks</t>
  </si>
  <si>
    <t>Data Quality</t>
  </si>
  <si>
    <t>NaN values in ROM/OB/Diesel columns; missing Utilization %</t>
  </si>
  <si>
    <t>FMS sensor dropouts; manual entry gaps</t>
  </si>
  <si>
    <t>Configure FMS to log zeros; monthly data audit; operator training on HMR entry</t>
  </si>
  <si>
    <t>Reliable KPIs for management decisions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</si>
</sst>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"/>
    <numFmt numFmtId="166" formatCode="#,##0.0"/>
    <numFmt numFmtId="167" formatCode="0.000"/>
  </numFmts>
  <fonts count="1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8"/>
      <color rgb="FFFFFFFF"/>
      <name val="Arial"/>
    </font>
    <font>
      <sz val="8"/>
      <color rgb="FF000000"/>
      <name val="Arial"/>
    </font>
    <font>
      <b/>
      <sz val="10"/>
      <color rgb="FFFFFFFF"/>
      <name val="Arial"/>
    </font>
    <font>
      <b/>
      <sz val="10"/>
      <color rgb="FF1F3864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8"/>
      <color rgb="FF1F3864"/>
      <name val="Arial"/>
    </font>
    <font>
      <b/>
      <sz val="13"/>
      <color rgb="FFFFFFFF"/>
      <name val="Arial"/>
    </font>
    <font>
      <b/>
      <sz val="10"/>
      <color rgb="FFC55A11"/>
      <name val="Arial"/>
    </font>
    <font>
      <i/>
      <sz val="8"/>
      <color rgb="FF1F3864"/>
      <name val="Arial"/>
    </font>
    <font>
      <i/>
      <sz val="8"/>
      <color rgb="FF595959"/>
      <name val="Arial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C55A11"/>
        <bgColor rgb="FFC55A11"/>
      </patternFill>
    </fill>
    <fill>
      <patternFill patternType="solid">
        <fgColor rgb="FFD9E1F2"/>
        <bgColor rgb="FFD9E1F2"/>
      </patternFill>
    </fill>
    <fill>
      <patternFill patternType="solid">
        <fgColor rgb="FFFFF0CC"/>
        <bgColor rgb="FFFFF0CC"/>
      </patternFill>
    </fill>
    <fill>
      <patternFill patternType="solid">
        <fgColor rgb="FFFFFFFF"/>
        <bgColor rgb="FFFFFFFF"/>
      </patternFill>
    </fill>
    <fill>
      <patternFill patternType="solid">
        <fgColor rgb="FF2E74B5"/>
        <bgColor rgb="FF2E74B5"/>
      </patternFill>
    </fill>
    <fill>
      <patternFill patternType="solid">
        <fgColor rgb="FF375623"/>
        <bgColor rgb="FF375623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FADBD8"/>
        <bgColor rgb="FFFADBD8"/>
      </patternFill>
    </fill>
    <fill>
      <patternFill patternType="solid">
        <fgColor rgb="FFFDEBD0"/>
        <bgColor rgb="FFFDEBD0"/>
      </patternFill>
    </fill>
    <fill>
      <patternFill patternType="solid">
        <fgColor rgb="FFFFFF00"/>
        <bgColor rgb="FFD9E1F2"/>
      </patternFill>
    </fill>
    <fill>
      <patternFill patternType="solid">
        <fgColor rgb="FFFFFF00"/>
        <bgColor rgb="FFFFF0CC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3" fontId="8" fillId="4" borderId="1" xfId="0" applyNumberFormat="1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165" fontId="8" fillId="4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3" fontId="8" fillId="6" borderId="1" xfId="0" applyNumberFormat="1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165" fontId="8" fillId="6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2" fontId="8" fillId="4" borderId="1" xfId="0" applyNumberFormat="1" applyFont="1" applyFill="1" applyBorder="1" applyAlignment="1">
      <alignment horizontal="center" vertical="center"/>
    </xf>
    <xf numFmtId="2" fontId="8" fillId="6" borderId="1" xfId="0" applyNumberFormat="1" applyFont="1" applyFill="1" applyBorder="1" applyAlignment="1">
      <alignment horizontal="center" vertical="center"/>
    </xf>
    <xf numFmtId="166" fontId="8" fillId="4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" fontId="8" fillId="4" borderId="1" xfId="0" applyNumberFormat="1" applyFont="1" applyFill="1" applyBorder="1" applyAlignment="1">
      <alignment horizontal="center" vertical="center"/>
    </xf>
    <xf numFmtId="167" fontId="8" fillId="4" borderId="1" xfId="0" applyNumberFormat="1" applyFont="1" applyFill="1" applyBorder="1" applyAlignment="1">
      <alignment horizontal="center" vertical="center"/>
    </xf>
    <xf numFmtId="1" fontId="8" fillId="6" borderId="1" xfId="0" applyNumberFormat="1" applyFont="1" applyFill="1" applyBorder="1" applyAlignment="1">
      <alignment horizontal="center" vertical="center"/>
    </xf>
    <xf numFmtId="167" fontId="8" fillId="6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164" fontId="8" fillId="10" borderId="1" xfId="0" applyNumberFormat="1" applyFont="1" applyFill="1" applyBorder="1" applyAlignment="1">
      <alignment horizontal="center" vertical="center"/>
    </xf>
    <xf numFmtId="165" fontId="8" fillId="10" borderId="1" xfId="0" applyNumberFormat="1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164" fontId="8" fillId="13" borderId="1" xfId="0" applyNumberFormat="1" applyFont="1" applyFill="1" applyBorder="1" applyAlignment="1">
      <alignment horizontal="center" vertical="center"/>
    </xf>
    <xf numFmtId="165" fontId="8" fillId="13" borderId="1" xfId="0" applyNumberFormat="1" applyFont="1" applyFill="1" applyBorder="1" applyAlignment="1">
      <alignment horizontal="center" vertical="center"/>
    </xf>
    <xf numFmtId="3" fontId="8" fillId="10" borderId="1" xfId="0" applyNumberFormat="1" applyFont="1" applyFill="1" applyBorder="1" applyAlignment="1">
      <alignment horizontal="center" vertical="center"/>
    </xf>
    <xf numFmtId="3" fontId="8" fillId="13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 indent="1"/>
    </xf>
    <xf numFmtId="0" fontId="8" fillId="11" borderId="1" xfId="0" applyFont="1" applyFill="1" applyBorder="1" applyAlignment="1">
      <alignment horizontal="center" vertical="center" wrapText="1" indent="1"/>
    </xf>
    <xf numFmtId="0" fontId="3" fillId="11" borderId="1" xfId="0" applyFont="1" applyFill="1" applyBorder="1" applyAlignment="1">
      <alignment horizontal="left" vertical="center" wrapText="1" indent="1"/>
    </xf>
    <xf numFmtId="0" fontId="7" fillId="10" borderId="1" xfId="0" applyFont="1" applyFill="1" applyBorder="1" applyAlignment="1">
      <alignment horizontal="center" vertical="center" wrapText="1" indent="1"/>
    </xf>
    <xf numFmtId="0" fontId="8" fillId="10" borderId="1" xfId="0" applyFont="1" applyFill="1" applyBorder="1" applyAlignment="1">
      <alignment horizontal="center" vertical="center" wrapText="1" indent="1"/>
    </xf>
    <xf numFmtId="0" fontId="3" fillId="10" borderId="1" xfId="0" applyFont="1" applyFill="1" applyBorder="1" applyAlignment="1">
      <alignment horizontal="left" vertical="center" wrapText="1" indent="1"/>
    </xf>
    <xf numFmtId="0" fontId="7" fillId="5" borderId="1" xfId="0" applyFont="1" applyFill="1" applyBorder="1" applyAlignment="1">
      <alignment horizontal="center" vertical="center" wrapText="1" indent="1"/>
    </xf>
    <xf numFmtId="0" fontId="8" fillId="5" borderId="1" xfId="0" applyFont="1" applyFill="1" applyBorder="1" applyAlignment="1">
      <alignment horizontal="center" vertical="center" wrapText="1" indent="1"/>
    </xf>
    <xf numFmtId="0" fontId="3" fillId="5" borderId="1" xfId="0" applyFont="1" applyFill="1" applyBorder="1" applyAlignment="1">
      <alignment horizontal="left" vertical="center" wrapText="1" indent="1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2" fontId="3" fillId="6" borderId="1" xfId="0" applyNumberFormat="1" applyFont="1" applyFill="1" applyBorder="1" applyAlignment="1">
      <alignment horizontal="center" vertical="center"/>
    </xf>
    <xf numFmtId="2" fontId="3" fillId="14" borderId="1" xfId="0" applyNumberFormat="1" applyFont="1" applyFill="1" applyBorder="1" applyAlignment="1">
      <alignment horizontal="center" vertical="center"/>
    </xf>
    <xf numFmtId="2" fontId="3" fillId="16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1" fontId="3" fillId="6" borderId="1" xfId="0" applyNumberFormat="1" applyFont="1" applyFill="1" applyBorder="1" applyAlignment="1">
      <alignment horizontal="center" vertical="center"/>
    </xf>
    <xf numFmtId="1" fontId="3" fillId="14" borderId="1" xfId="0" applyNumberFormat="1" applyFont="1" applyFill="1" applyBorder="1" applyAlignment="1">
      <alignment horizontal="center" vertical="center"/>
    </xf>
    <xf numFmtId="1" fontId="3" fillId="16" borderId="1" xfId="0" applyNumberFormat="1" applyFont="1" applyFill="1" applyBorder="1" applyAlignment="1">
      <alignment horizontal="center" vertical="center"/>
    </xf>
    <xf numFmtId="10" fontId="3" fillId="4" borderId="1" xfId="0" applyNumberFormat="1" applyFont="1" applyFill="1" applyBorder="1" applyAlignment="1">
      <alignment horizontal="center" vertical="center"/>
    </xf>
    <xf numFmtId="10" fontId="3" fillId="6" borderId="1" xfId="0" applyNumberFormat="1" applyFont="1" applyFill="1" applyBorder="1" applyAlignment="1">
      <alignment horizontal="center" vertical="center"/>
    </xf>
    <xf numFmtId="10" fontId="3" fillId="14" borderId="1" xfId="0" applyNumberFormat="1" applyFont="1" applyFill="1" applyBorder="1" applyAlignment="1">
      <alignment horizontal="center" vertical="center"/>
    </xf>
    <xf numFmtId="10" fontId="3" fillId="16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 wrapText="1" indent="1"/>
    </xf>
    <xf numFmtId="0" fontId="12" fillId="4" borderId="0" xfId="0" applyFont="1" applyFill="1" applyAlignment="1">
      <alignment horizontal="left" vertical="center" wrapText="1"/>
    </xf>
    <xf numFmtId="164" fontId="10" fillId="8" borderId="1" xfId="0" applyNumberFormat="1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3" fontId="10" fillId="3" borderId="1" xfId="0" applyNumberFormat="1" applyFont="1" applyFill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/>
    </xf>
    <xf numFmtId="3" fontId="10" fillId="8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indent="1"/>
    </xf>
    <xf numFmtId="0" fontId="4" fillId="7" borderId="1" xfId="0" applyFont="1" applyFill="1" applyBorder="1" applyAlignment="1">
      <alignment horizontal="left" vertical="center" indent="1"/>
    </xf>
    <xf numFmtId="0" fontId="3" fillId="10" borderId="1" xfId="0" applyFont="1" applyFill="1" applyBorder="1" applyAlignment="1">
      <alignment horizontal="left" indent="1"/>
    </xf>
    <xf numFmtId="0" fontId="3" fillId="9" borderId="1" xfId="0" applyFont="1" applyFill="1" applyBorder="1" applyAlignment="1">
      <alignment horizontal="left" indent="1"/>
    </xf>
  </cellXfs>
  <cellStyles count="1">
    <cellStyle name="Normal" xfId="0" builtinId="0"/>
  </cellStyles>
  <dxfs count="12"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4D6"/>
          <b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209"/>
  <sheetViews>
    <sheetView showGridLines="0" tabSelected="1" topLeftCell="E1" zoomScale="66" workbookViewId="0">
      <pane ySplit="2" topLeftCell="A3" activePane="bottomLeft" state="frozen"/>
      <selection pane="bottomLeft" activeCell="P5" sqref="P5:P208"/>
    </sheetView>
  </sheetViews>
  <sheetFormatPr defaultRowHeight="14.5" x14ac:dyDescent="0.35"/>
  <cols>
    <col min="1" max="1" width="6" customWidth="1"/>
    <col min="2" max="2" width="16" customWidth="1"/>
    <col min="3" max="3" width="14" customWidth="1"/>
    <col min="4" max="4" width="11" customWidth="1"/>
    <col min="5" max="5" width="15" customWidth="1"/>
    <col min="6" max="7" width="18" customWidth="1"/>
    <col min="8" max="9" width="19" customWidth="1"/>
    <col min="10" max="10" width="16" customWidth="1"/>
    <col min="11" max="11" width="15" customWidth="1"/>
    <col min="12" max="12" width="16" customWidth="1"/>
    <col min="13" max="13" width="18" customWidth="1"/>
    <col min="14" max="14" width="10" customWidth="1"/>
    <col min="15" max="16" width="12" customWidth="1"/>
    <col min="17" max="17" width="16" customWidth="1"/>
    <col min="18" max="18" width="18" customWidth="1"/>
    <col min="19" max="19" width="10" customWidth="1"/>
    <col min="20" max="20" width="16" customWidth="1"/>
    <col min="21" max="21" width="17" customWidth="1"/>
    <col min="22" max="22" width="6" customWidth="1"/>
    <col min="23" max="23" width="16" customWidth="1"/>
    <col min="24" max="24" width="10" customWidth="1"/>
    <col min="25" max="25" width="20" customWidth="1"/>
    <col min="26" max="26" width="22" customWidth="1"/>
    <col min="27" max="27" width="10" customWidth="1"/>
    <col min="28" max="28" width="11" customWidth="1"/>
    <col min="29" max="30" width="14" customWidth="1"/>
    <col min="31" max="31" width="12" customWidth="1"/>
  </cols>
  <sheetData>
    <row r="1" spans="1:31" ht="28" customHeight="1" x14ac:dyDescent="0.35">
      <c r="A1" s="63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1:31" ht="30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2" t="s">
        <v>29</v>
      </c>
      <c r="AD2" s="2" t="s">
        <v>30</v>
      </c>
      <c r="AE2" s="2" t="s">
        <v>31</v>
      </c>
    </row>
    <row r="3" spans="1:31" ht="14" hidden="1" customHeight="1" x14ac:dyDescent="0.35">
      <c r="A3" s="3">
        <v>1</v>
      </c>
      <c r="B3" s="3" t="s">
        <v>32</v>
      </c>
      <c r="C3" s="3" t="s">
        <v>33</v>
      </c>
      <c r="D3" s="53">
        <v>720</v>
      </c>
      <c r="E3" s="49">
        <v>5.9700000000000003E-2</v>
      </c>
      <c r="F3" s="49">
        <v>5.9700000000000003E-2</v>
      </c>
      <c r="G3" s="49">
        <v>5.9700000000000003E-2</v>
      </c>
      <c r="H3" s="49">
        <v>719.94029999999998</v>
      </c>
      <c r="I3" s="49">
        <v>0</v>
      </c>
      <c r="J3" s="49">
        <v>0</v>
      </c>
      <c r="K3" s="49">
        <v>51.578099999999999</v>
      </c>
      <c r="L3" s="49">
        <v>5.9700000000000003E-2</v>
      </c>
      <c r="M3" s="49">
        <v>51.578099999999999</v>
      </c>
      <c r="N3" s="49">
        <v>51.637799999999999</v>
      </c>
      <c r="O3" s="57">
        <v>8.2916699999999998E-5</v>
      </c>
      <c r="P3" s="57">
        <v>1</v>
      </c>
      <c r="Q3" s="3">
        <v>0</v>
      </c>
      <c r="R3" s="49">
        <v>0</v>
      </c>
      <c r="S3" s="49">
        <v>0</v>
      </c>
      <c r="T3" s="3">
        <v>0</v>
      </c>
      <c r="U3" s="3">
        <f>T3*V3</f>
        <v>0</v>
      </c>
      <c r="V3" s="3">
        <v>13</v>
      </c>
      <c r="W3" s="49">
        <v>0</v>
      </c>
      <c r="X3" s="49">
        <v>0</v>
      </c>
      <c r="Y3" s="49">
        <v>0</v>
      </c>
      <c r="Z3" s="49">
        <v>0</v>
      </c>
      <c r="AA3" s="49">
        <v>0</v>
      </c>
      <c r="AB3" s="49">
        <v>0</v>
      </c>
      <c r="AC3" s="4" t="str">
        <f t="shared" ref="AC3:AC66" si="0">IF(OR(TRIM(B3)="Tipper",TRIM(B3)="Volvo",TRIM(B3)="Bharatbenz"),"Tipper",IF(OR(TRIM(B3)="Dumper",TRIM(B3)="Sany",TRIM(B3)="Komatsu"),"Dumper",IF(TRIM(B3)="Excavator","Excavator",IF(OR(TRIM(B3)="Front End Loader",TRIM(B3)="Fel"),"Front End Loader",IF(OR(TRIM(B3)="Surface Miner",TRIM(B3)="Csm"),"Surface Miner",IF(TRIM(B3)="Diesel Bowser","Diesel Bowser","Other"))))))</f>
        <v>Tipper</v>
      </c>
      <c r="AD3" s="4" t="str">
        <f t="shared" ref="AD3:AD66" si="1">IF(E3=0,"Non-Operational","Operational")</f>
        <v>Operational</v>
      </c>
      <c r="AE3" s="4" t="str">
        <f>IF(OR(C3=54,C3=67,C3=10,C3=16,C3=6,C3=12,C3=28),"Aggregate","Individual")</f>
        <v>Individual</v>
      </c>
    </row>
    <row r="4" spans="1:31" ht="14" hidden="1" customHeight="1" x14ac:dyDescent="0.35">
      <c r="A4" s="5">
        <v>2</v>
      </c>
      <c r="B4" s="5" t="s">
        <v>32</v>
      </c>
      <c r="C4" s="5" t="s">
        <v>34</v>
      </c>
      <c r="D4" s="54">
        <v>720</v>
      </c>
      <c r="E4" s="50">
        <v>0</v>
      </c>
      <c r="F4" s="50">
        <v>0</v>
      </c>
      <c r="G4" s="50">
        <v>0</v>
      </c>
      <c r="H4" s="50">
        <v>720</v>
      </c>
      <c r="I4" s="50">
        <v>0</v>
      </c>
      <c r="J4" s="50">
        <v>0</v>
      </c>
      <c r="K4" s="50">
        <v>0</v>
      </c>
      <c r="L4" s="50">
        <v>0</v>
      </c>
      <c r="M4" s="50">
        <v>0</v>
      </c>
      <c r="N4" s="50">
        <v>0</v>
      </c>
      <c r="O4" s="58">
        <v>0</v>
      </c>
      <c r="P4" s="58">
        <v>0</v>
      </c>
      <c r="Q4" s="5">
        <v>0</v>
      </c>
      <c r="R4" s="50">
        <v>0</v>
      </c>
      <c r="S4" s="50">
        <v>0</v>
      </c>
      <c r="T4" s="5">
        <v>0</v>
      </c>
      <c r="U4" s="5">
        <f t="shared" ref="U4:U67" si="2">T4*V4</f>
        <v>0</v>
      </c>
      <c r="V4" s="5">
        <v>13</v>
      </c>
      <c r="W4" s="50">
        <v>0</v>
      </c>
      <c r="X4" s="50">
        <v>0</v>
      </c>
      <c r="Y4" s="50">
        <v>0</v>
      </c>
      <c r="Z4" s="50">
        <v>0</v>
      </c>
      <c r="AA4" s="50">
        <v>0</v>
      </c>
      <c r="AB4" s="50">
        <v>0</v>
      </c>
      <c r="AC4" s="4" t="str">
        <f t="shared" si="0"/>
        <v>Tipper</v>
      </c>
      <c r="AD4" s="4" t="str">
        <f t="shared" si="1"/>
        <v>Non-Operational</v>
      </c>
      <c r="AE4" s="4" t="str">
        <f t="shared" ref="AE4:AE67" si="3">IF(OR(C4=54,C4=67,C4=10,C4=16,C4=6,C4=12,C4=28),"Aggregate","Individual")</f>
        <v>Individual</v>
      </c>
    </row>
    <row r="5" spans="1:31" ht="14" customHeight="1" x14ac:dyDescent="0.35">
      <c r="A5" s="3">
        <v>3</v>
      </c>
      <c r="B5" s="3" t="s">
        <v>32</v>
      </c>
      <c r="C5" s="3" t="s">
        <v>35</v>
      </c>
      <c r="D5" s="53">
        <v>712.91780000000006</v>
      </c>
      <c r="E5" s="49">
        <v>151.59200000000001</v>
      </c>
      <c r="F5" s="49">
        <v>72.088800000000006</v>
      </c>
      <c r="G5" s="49">
        <v>71.175899999999899</v>
      </c>
      <c r="H5" s="49">
        <v>561.32579999999996</v>
      </c>
      <c r="I5" s="49">
        <v>8.8302999999999994</v>
      </c>
      <c r="J5" s="49">
        <v>79.503200000000007</v>
      </c>
      <c r="K5" s="49">
        <v>19.7745</v>
      </c>
      <c r="L5" s="49">
        <v>71.175899999999899</v>
      </c>
      <c r="M5" s="49">
        <v>28.604800000000001</v>
      </c>
      <c r="N5" s="49">
        <v>99.780699999999896</v>
      </c>
      <c r="O5" s="57">
        <v>0.21263601500000001</v>
      </c>
      <c r="P5" s="57">
        <v>0.46952279800000002</v>
      </c>
      <c r="Q5" s="3">
        <v>34</v>
      </c>
      <c r="R5" s="49">
        <v>777.36</v>
      </c>
      <c r="S5" s="49">
        <v>22.863529410000002</v>
      </c>
      <c r="T5" s="3">
        <v>17</v>
      </c>
      <c r="U5" s="3">
        <f t="shared" si="2"/>
        <v>221</v>
      </c>
      <c r="V5" s="3">
        <v>13</v>
      </c>
      <c r="W5" s="49">
        <v>834.44</v>
      </c>
      <c r="X5" s="49">
        <v>8.3627394880000008</v>
      </c>
      <c r="Y5" s="49">
        <v>595.22550950000004</v>
      </c>
      <c r="Z5" s="49">
        <v>239.21449050000001</v>
      </c>
      <c r="AA5" s="49">
        <v>16.361568630000001</v>
      </c>
      <c r="AB5" s="49">
        <v>0.83581072960000002</v>
      </c>
      <c r="AC5" s="4" t="str">
        <f t="shared" si="0"/>
        <v>Tipper</v>
      </c>
      <c r="AD5" s="4" t="str">
        <f t="shared" si="1"/>
        <v>Operational</v>
      </c>
      <c r="AE5" s="4" t="str">
        <f t="shared" si="3"/>
        <v>Individual</v>
      </c>
    </row>
    <row r="6" spans="1:31" ht="14" hidden="1" customHeight="1" x14ac:dyDescent="0.35">
      <c r="A6" s="5">
        <v>4</v>
      </c>
      <c r="B6" s="5" t="s">
        <v>32</v>
      </c>
      <c r="C6" s="5" t="s">
        <v>36</v>
      </c>
      <c r="D6" s="54">
        <v>720</v>
      </c>
      <c r="E6" s="50">
        <v>0</v>
      </c>
      <c r="F6" s="50">
        <v>0</v>
      </c>
      <c r="G6" s="50">
        <v>0</v>
      </c>
      <c r="H6" s="50">
        <v>720</v>
      </c>
      <c r="I6" s="50">
        <v>0</v>
      </c>
      <c r="J6" s="50">
        <v>0</v>
      </c>
      <c r="K6" s="50">
        <v>0</v>
      </c>
      <c r="L6" s="50">
        <v>0</v>
      </c>
      <c r="M6" s="50">
        <v>0</v>
      </c>
      <c r="N6" s="50">
        <v>0</v>
      </c>
      <c r="O6" s="58">
        <v>0</v>
      </c>
      <c r="P6" s="58">
        <v>0</v>
      </c>
      <c r="Q6" s="5">
        <v>0</v>
      </c>
      <c r="R6" s="50">
        <v>0</v>
      </c>
      <c r="S6" s="50">
        <v>0</v>
      </c>
      <c r="T6" s="5">
        <v>0</v>
      </c>
      <c r="U6" s="5">
        <f t="shared" si="2"/>
        <v>0</v>
      </c>
      <c r="V6" s="5">
        <v>13</v>
      </c>
      <c r="W6" s="50">
        <v>0</v>
      </c>
      <c r="X6" s="50">
        <v>0</v>
      </c>
      <c r="Y6" s="50">
        <v>0</v>
      </c>
      <c r="Z6" s="50">
        <v>0</v>
      </c>
      <c r="AA6" s="50">
        <v>0</v>
      </c>
      <c r="AB6" s="50">
        <v>0</v>
      </c>
      <c r="AC6" s="4" t="str">
        <f t="shared" si="0"/>
        <v>Tipper</v>
      </c>
      <c r="AD6" s="4" t="str">
        <f t="shared" si="1"/>
        <v>Non-Operational</v>
      </c>
      <c r="AE6" s="4" t="str">
        <f t="shared" si="3"/>
        <v>Individual</v>
      </c>
    </row>
    <row r="7" spans="1:31" ht="14" hidden="1" customHeight="1" x14ac:dyDescent="0.35">
      <c r="A7" s="3">
        <v>5</v>
      </c>
      <c r="B7" s="3" t="s">
        <v>32</v>
      </c>
      <c r="C7" s="3" t="s">
        <v>37</v>
      </c>
      <c r="D7" s="53">
        <v>720.00029999999902</v>
      </c>
      <c r="E7" s="49">
        <v>26.489699999999999</v>
      </c>
      <c r="F7" s="49">
        <v>6.1477000000000004</v>
      </c>
      <c r="G7" s="49">
        <v>5.2484999999999999</v>
      </c>
      <c r="H7" s="49">
        <v>693.51059999999904</v>
      </c>
      <c r="I7" s="49">
        <v>3.7031999999999998</v>
      </c>
      <c r="J7" s="49">
        <v>20.341999999999999</v>
      </c>
      <c r="K7" s="49">
        <v>9.2225000000000001</v>
      </c>
      <c r="L7" s="49">
        <v>5.2484999999999999</v>
      </c>
      <c r="M7" s="49">
        <v>12.925700000000001</v>
      </c>
      <c r="N7" s="49">
        <v>18.174199999999999</v>
      </c>
      <c r="O7" s="57">
        <v>3.6791234700000001E-2</v>
      </c>
      <c r="P7" s="57">
        <v>0.1981336142</v>
      </c>
      <c r="Q7" s="3">
        <v>0</v>
      </c>
      <c r="R7" s="49">
        <v>0</v>
      </c>
      <c r="S7" s="49">
        <v>0</v>
      </c>
      <c r="T7" s="3">
        <v>1</v>
      </c>
      <c r="U7" s="3">
        <f t="shared" si="2"/>
        <v>13</v>
      </c>
      <c r="V7" s="3">
        <v>13</v>
      </c>
      <c r="W7" s="49">
        <v>386.84</v>
      </c>
      <c r="X7" s="49">
        <v>21.28511846</v>
      </c>
      <c r="Y7" s="49">
        <v>111.7149443</v>
      </c>
      <c r="Z7" s="49">
        <v>275.12505570000002</v>
      </c>
      <c r="AA7" s="49">
        <v>0</v>
      </c>
      <c r="AB7" s="49">
        <v>0</v>
      </c>
      <c r="AC7" s="4" t="str">
        <f t="shared" si="0"/>
        <v>Tipper</v>
      </c>
      <c r="AD7" s="4" t="str">
        <f t="shared" si="1"/>
        <v>Operational</v>
      </c>
      <c r="AE7" s="4" t="str">
        <f t="shared" si="3"/>
        <v>Individual</v>
      </c>
    </row>
    <row r="8" spans="1:31" ht="14" hidden="1" customHeight="1" x14ac:dyDescent="0.35">
      <c r="A8" s="5">
        <v>6</v>
      </c>
      <c r="B8" s="5" t="s">
        <v>32</v>
      </c>
      <c r="C8" s="5" t="s">
        <v>38</v>
      </c>
      <c r="D8" s="54">
        <v>720</v>
      </c>
      <c r="E8" s="50">
        <v>115.58969999999999</v>
      </c>
      <c r="F8" s="50">
        <v>22.690999999999899</v>
      </c>
      <c r="G8" s="50">
        <v>21.217599999999901</v>
      </c>
      <c r="H8" s="50">
        <v>604.41030000000001</v>
      </c>
      <c r="I8" s="50">
        <v>2.7917999999999998</v>
      </c>
      <c r="J8" s="50">
        <v>92.898700000000005</v>
      </c>
      <c r="K8" s="50">
        <v>0.38819999999999999</v>
      </c>
      <c r="L8" s="50">
        <v>21.217599999999901</v>
      </c>
      <c r="M8" s="50">
        <v>3.18</v>
      </c>
      <c r="N8" s="50">
        <v>24.397599999999901</v>
      </c>
      <c r="O8" s="58">
        <v>0.16054125</v>
      </c>
      <c r="P8" s="58">
        <v>0.1835596078</v>
      </c>
      <c r="Q8" s="5">
        <v>8</v>
      </c>
      <c r="R8" s="50">
        <v>193.28</v>
      </c>
      <c r="S8" s="50">
        <v>24.16</v>
      </c>
      <c r="T8" s="5">
        <v>1</v>
      </c>
      <c r="U8" s="5">
        <f t="shared" si="2"/>
        <v>13</v>
      </c>
      <c r="V8" s="5">
        <v>13</v>
      </c>
      <c r="W8" s="50">
        <v>280.39</v>
      </c>
      <c r="X8" s="50">
        <v>11.49252385</v>
      </c>
      <c r="Y8" s="50">
        <v>243.84377409999999</v>
      </c>
      <c r="Z8" s="50">
        <v>36.54622586</v>
      </c>
      <c r="AA8" s="50">
        <v>31.154444439999999</v>
      </c>
      <c r="AB8" s="50">
        <v>1.3592689549999999</v>
      </c>
      <c r="AC8" s="4" t="str">
        <f t="shared" si="0"/>
        <v>Tipper</v>
      </c>
      <c r="AD8" s="4" t="str">
        <f t="shared" si="1"/>
        <v>Operational</v>
      </c>
      <c r="AE8" s="4" t="str">
        <f t="shared" si="3"/>
        <v>Individual</v>
      </c>
    </row>
    <row r="9" spans="1:31" ht="14" hidden="1" customHeight="1" x14ac:dyDescent="0.35">
      <c r="A9" s="3">
        <v>7</v>
      </c>
      <c r="B9" s="3" t="s">
        <v>32</v>
      </c>
      <c r="C9" s="3" t="s">
        <v>39</v>
      </c>
      <c r="D9" s="53">
        <v>720</v>
      </c>
      <c r="E9" s="49">
        <v>0</v>
      </c>
      <c r="F9" s="49">
        <v>0</v>
      </c>
      <c r="G9" s="49">
        <v>0</v>
      </c>
      <c r="H9" s="49">
        <v>720</v>
      </c>
      <c r="I9" s="49">
        <v>0</v>
      </c>
      <c r="J9" s="49">
        <v>0</v>
      </c>
      <c r="K9" s="49">
        <v>0</v>
      </c>
      <c r="L9" s="49">
        <v>0</v>
      </c>
      <c r="M9" s="49">
        <v>0</v>
      </c>
      <c r="N9" s="49">
        <v>0</v>
      </c>
      <c r="O9" s="57">
        <v>0</v>
      </c>
      <c r="P9" s="57">
        <v>0</v>
      </c>
      <c r="Q9" s="3">
        <v>0</v>
      </c>
      <c r="R9" s="49">
        <v>0</v>
      </c>
      <c r="S9" s="49">
        <v>0</v>
      </c>
      <c r="T9" s="3">
        <v>0</v>
      </c>
      <c r="U9" s="3">
        <f t="shared" si="2"/>
        <v>0</v>
      </c>
      <c r="V9" s="3">
        <v>13</v>
      </c>
      <c r="W9" s="49">
        <v>0</v>
      </c>
      <c r="X9" s="49">
        <v>0</v>
      </c>
      <c r="Y9" s="49">
        <v>0</v>
      </c>
      <c r="Z9" s="49">
        <v>0</v>
      </c>
      <c r="AA9" s="49">
        <v>0</v>
      </c>
      <c r="AB9" s="49">
        <v>0</v>
      </c>
      <c r="AC9" s="4" t="str">
        <f t="shared" si="0"/>
        <v>Tipper</v>
      </c>
      <c r="AD9" s="4" t="str">
        <f t="shared" si="1"/>
        <v>Non-Operational</v>
      </c>
      <c r="AE9" s="4" t="str">
        <f t="shared" si="3"/>
        <v>Individual</v>
      </c>
    </row>
    <row r="10" spans="1:31" ht="14" hidden="1" customHeight="1" x14ac:dyDescent="0.35">
      <c r="A10" s="5">
        <v>8</v>
      </c>
      <c r="B10" s="5" t="s">
        <v>32</v>
      </c>
      <c r="C10" s="5" t="s">
        <v>40</v>
      </c>
      <c r="D10" s="54">
        <v>719.99969999999996</v>
      </c>
      <c r="E10" s="50">
        <v>260.47609999999997</v>
      </c>
      <c r="F10" s="50">
        <v>12.0064999999999</v>
      </c>
      <c r="G10" s="50">
        <v>11.008699999999999</v>
      </c>
      <c r="H10" s="50">
        <v>459.52359999999999</v>
      </c>
      <c r="I10" s="50">
        <v>5.5453000000000001</v>
      </c>
      <c r="J10" s="50">
        <v>248.46959999999899</v>
      </c>
      <c r="K10" s="50">
        <v>9.7536000000000005</v>
      </c>
      <c r="L10" s="50">
        <v>11.008699999999999</v>
      </c>
      <c r="M10" s="50">
        <v>15.2989</v>
      </c>
      <c r="N10" s="50">
        <v>26.307600000000001</v>
      </c>
      <c r="O10" s="58">
        <v>0.36177251179999997</v>
      </c>
      <c r="P10" s="58">
        <v>4.2263762400000002E-2</v>
      </c>
      <c r="Q10" s="5">
        <v>0</v>
      </c>
      <c r="R10" s="50">
        <v>0</v>
      </c>
      <c r="S10" s="50">
        <v>0</v>
      </c>
      <c r="T10" s="5">
        <v>2</v>
      </c>
      <c r="U10" s="5">
        <f t="shared" si="2"/>
        <v>26</v>
      </c>
      <c r="V10" s="5">
        <v>13</v>
      </c>
      <c r="W10" s="50">
        <v>418.51</v>
      </c>
      <c r="X10" s="50">
        <v>15.90833067</v>
      </c>
      <c r="Y10" s="50">
        <v>175.13003990000001</v>
      </c>
      <c r="Z10" s="50">
        <v>243.37996010000001</v>
      </c>
      <c r="AA10" s="50">
        <v>0</v>
      </c>
      <c r="AB10" s="50">
        <v>0</v>
      </c>
      <c r="AC10" s="4" t="str">
        <f t="shared" si="0"/>
        <v>Tipper</v>
      </c>
      <c r="AD10" s="4" t="str">
        <f t="shared" si="1"/>
        <v>Operational</v>
      </c>
      <c r="AE10" s="4" t="str">
        <f t="shared" si="3"/>
        <v>Individual</v>
      </c>
    </row>
    <row r="11" spans="1:31" ht="14" hidden="1" customHeight="1" x14ac:dyDescent="0.35">
      <c r="A11" s="3">
        <v>9</v>
      </c>
      <c r="B11" s="3" t="s">
        <v>32</v>
      </c>
      <c r="C11" s="3" t="s">
        <v>41</v>
      </c>
      <c r="D11" s="53">
        <v>712.67200000000003</v>
      </c>
      <c r="E11" s="49">
        <v>406.49</v>
      </c>
      <c r="F11" s="49">
        <v>289.60199999999998</v>
      </c>
      <c r="G11" s="49">
        <v>64.577399999999997</v>
      </c>
      <c r="H11" s="49">
        <v>306.18200000000002</v>
      </c>
      <c r="I11" s="49">
        <v>5.8292999999999999</v>
      </c>
      <c r="J11" s="49">
        <v>116.88800000000001</v>
      </c>
      <c r="K11" s="49">
        <v>3.25619999999999</v>
      </c>
      <c r="L11" s="49">
        <v>64.577399999999997</v>
      </c>
      <c r="M11" s="49">
        <v>9.0854999999999997</v>
      </c>
      <c r="N11" s="49">
        <v>73.662899999999993</v>
      </c>
      <c r="O11" s="57">
        <v>0.57037459030000004</v>
      </c>
      <c r="P11" s="57">
        <v>0.15886590079999999</v>
      </c>
      <c r="Q11" s="3">
        <v>38</v>
      </c>
      <c r="R11" s="49">
        <v>891.32</v>
      </c>
      <c r="S11" s="49">
        <v>23.455789469999999</v>
      </c>
      <c r="T11" s="3">
        <v>36</v>
      </c>
      <c r="U11" s="3">
        <f t="shared" si="2"/>
        <v>468</v>
      </c>
      <c r="V11" s="3">
        <v>13</v>
      </c>
      <c r="W11" s="49">
        <v>739.99</v>
      </c>
      <c r="X11" s="49">
        <v>10.04562677</v>
      </c>
      <c r="Y11" s="49">
        <v>648.72045800000001</v>
      </c>
      <c r="Z11" s="49">
        <v>91.269541989999993</v>
      </c>
      <c r="AA11" s="49">
        <v>9.9998648649999993</v>
      </c>
      <c r="AB11" s="49">
        <v>0.5443824854</v>
      </c>
      <c r="AC11" s="4" t="str">
        <f t="shared" si="0"/>
        <v>Tipper</v>
      </c>
      <c r="AD11" s="4" t="str">
        <f t="shared" si="1"/>
        <v>Operational</v>
      </c>
      <c r="AE11" s="4" t="str">
        <f t="shared" si="3"/>
        <v>Individual</v>
      </c>
    </row>
    <row r="12" spans="1:31" ht="14" hidden="1" customHeight="1" x14ac:dyDescent="0.35">
      <c r="A12" s="5">
        <v>10</v>
      </c>
      <c r="B12" s="5" t="s">
        <v>32</v>
      </c>
      <c r="C12" s="5" t="s">
        <v>42</v>
      </c>
      <c r="D12" s="54">
        <v>720.00009999999997</v>
      </c>
      <c r="E12" s="50">
        <v>3.0599999999999999E-2</v>
      </c>
      <c r="F12" s="50">
        <v>3.0599999999999999E-2</v>
      </c>
      <c r="G12" s="50">
        <v>2.93E-2</v>
      </c>
      <c r="H12" s="50">
        <v>719.96950000000004</v>
      </c>
      <c r="I12" s="50">
        <v>0</v>
      </c>
      <c r="J12" s="50">
        <v>0</v>
      </c>
      <c r="K12" s="50">
        <v>4.6001000000000003</v>
      </c>
      <c r="L12" s="50">
        <v>2.93E-2</v>
      </c>
      <c r="M12" s="50">
        <v>4.6001000000000003</v>
      </c>
      <c r="N12" s="50">
        <v>4.6294000000000004</v>
      </c>
      <c r="O12" s="58">
        <v>4.2500000000000003E-5</v>
      </c>
      <c r="P12" s="58">
        <v>0.95751633989999996</v>
      </c>
      <c r="Q12" s="5">
        <v>0</v>
      </c>
      <c r="R12" s="50">
        <v>0</v>
      </c>
      <c r="S12" s="50">
        <v>0</v>
      </c>
      <c r="T12" s="5">
        <v>0</v>
      </c>
      <c r="U12" s="5">
        <f t="shared" si="2"/>
        <v>0</v>
      </c>
      <c r="V12" s="5">
        <v>13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4" t="str">
        <f t="shared" si="0"/>
        <v>Tipper</v>
      </c>
      <c r="AD12" s="4" t="str">
        <f t="shared" si="1"/>
        <v>Operational</v>
      </c>
      <c r="AE12" s="4" t="str">
        <f t="shared" si="3"/>
        <v>Individual</v>
      </c>
    </row>
    <row r="13" spans="1:31" ht="14" hidden="1" customHeight="1" x14ac:dyDescent="0.35">
      <c r="A13" s="3">
        <v>11</v>
      </c>
      <c r="B13" s="3" t="s">
        <v>32</v>
      </c>
      <c r="C13" s="3" t="s">
        <v>43</v>
      </c>
      <c r="D13" s="53">
        <v>720.00009999999997</v>
      </c>
      <c r="E13" s="49">
        <v>0.15720000000000001</v>
      </c>
      <c r="F13" s="49">
        <v>0.15720000000000001</v>
      </c>
      <c r="G13" s="49">
        <v>0.15490000000000001</v>
      </c>
      <c r="H13" s="49">
        <v>719.84289999999999</v>
      </c>
      <c r="I13" s="49">
        <v>0</v>
      </c>
      <c r="J13" s="49">
        <v>0</v>
      </c>
      <c r="K13" s="49">
        <v>12.229699999999999</v>
      </c>
      <c r="L13" s="49">
        <v>0.15490000000000001</v>
      </c>
      <c r="M13" s="49">
        <v>12.229699999999999</v>
      </c>
      <c r="N13" s="49">
        <v>12.384599999999899</v>
      </c>
      <c r="O13" s="57">
        <v>2.1833329999999999E-4</v>
      </c>
      <c r="P13" s="57">
        <v>0.98536895670000002</v>
      </c>
      <c r="Q13" s="3">
        <v>0</v>
      </c>
      <c r="R13" s="49">
        <v>0</v>
      </c>
      <c r="S13" s="49">
        <v>0</v>
      </c>
      <c r="T13" s="3">
        <v>0</v>
      </c>
      <c r="U13" s="3">
        <f t="shared" si="2"/>
        <v>0</v>
      </c>
      <c r="V13" s="3">
        <v>13</v>
      </c>
      <c r="W13" s="49">
        <v>0</v>
      </c>
      <c r="X13" s="49">
        <v>0</v>
      </c>
      <c r="Y13" s="49">
        <v>0</v>
      </c>
      <c r="Z13" s="49">
        <v>0</v>
      </c>
      <c r="AA13" s="49">
        <v>0</v>
      </c>
      <c r="AB13" s="49">
        <v>0</v>
      </c>
      <c r="AC13" s="4" t="str">
        <f t="shared" si="0"/>
        <v>Tipper</v>
      </c>
      <c r="AD13" s="4" t="str">
        <f t="shared" si="1"/>
        <v>Operational</v>
      </c>
      <c r="AE13" s="4" t="str">
        <f t="shared" si="3"/>
        <v>Individual</v>
      </c>
    </row>
    <row r="14" spans="1:31" ht="14" hidden="1" customHeight="1" x14ac:dyDescent="0.35">
      <c r="A14" s="5">
        <v>12</v>
      </c>
      <c r="B14" s="5" t="s">
        <v>32</v>
      </c>
      <c r="C14" s="5" t="s">
        <v>44</v>
      </c>
      <c r="D14" s="54">
        <v>719.99990000000003</v>
      </c>
      <c r="E14" s="50">
        <v>3.4700000000000002E-2</v>
      </c>
      <c r="F14" s="50">
        <v>3.4700000000000002E-2</v>
      </c>
      <c r="G14" s="50">
        <v>3.3300000000000003E-2</v>
      </c>
      <c r="H14" s="50">
        <v>719.96519999999998</v>
      </c>
      <c r="I14" s="50">
        <v>0</v>
      </c>
      <c r="J14" s="50">
        <v>0</v>
      </c>
      <c r="K14" s="50">
        <v>0.1167</v>
      </c>
      <c r="L14" s="50">
        <v>3.3300000000000003E-2</v>
      </c>
      <c r="M14" s="50">
        <v>0.1167</v>
      </c>
      <c r="N14" s="50">
        <v>0.15</v>
      </c>
      <c r="O14" s="58">
        <v>4.8194500000000001E-5</v>
      </c>
      <c r="P14" s="58">
        <v>0.95965417870000003</v>
      </c>
      <c r="Q14" s="5">
        <v>0</v>
      </c>
      <c r="R14" s="50">
        <v>0</v>
      </c>
      <c r="S14" s="50">
        <v>0</v>
      </c>
      <c r="T14" s="5">
        <v>0</v>
      </c>
      <c r="U14" s="5">
        <f t="shared" si="2"/>
        <v>0</v>
      </c>
      <c r="V14" s="5">
        <v>13</v>
      </c>
      <c r="W14" s="50">
        <v>0</v>
      </c>
      <c r="X14" s="50">
        <v>0</v>
      </c>
      <c r="Y14" s="50">
        <v>0</v>
      </c>
      <c r="Z14" s="50">
        <v>0</v>
      </c>
      <c r="AA14" s="50">
        <v>0</v>
      </c>
      <c r="AB14" s="50">
        <v>0</v>
      </c>
      <c r="AC14" s="4" t="str">
        <f t="shared" si="0"/>
        <v>Tipper</v>
      </c>
      <c r="AD14" s="4" t="str">
        <f t="shared" si="1"/>
        <v>Operational</v>
      </c>
      <c r="AE14" s="4" t="str">
        <f t="shared" si="3"/>
        <v>Individual</v>
      </c>
    </row>
    <row r="15" spans="1:31" ht="14" hidden="1" customHeight="1" x14ac:dyDescent="0.35">
      <c r="A15" s="46">
        <v>1</v>
      </c>
      <c r="B15" s="46" t="s">
        <v>45</v>
      </c>
      <c r="C15" s="46">
        <v>12</v>
      </c>
      <c r="D15" s="55">
        <v>718.79915830000004</v>
      </c>
      <c r="E15" s="51">
        <v>80.076641670000001</v>
      </c>
      <c r="F15" s="51">
        <v>33.568183329999997</v>
      </c>
      <c r="G15" s="51">
        <v>14.458774999999999</v>
      </c>
      <c r="H15" s="51">
        <v>638.72251670000003</v>
      </c>
      <c r="I15" s="51">
        <v>2.2249916669999998</v>
      </c>
      <c r="J15" s="51">
        <v>46.508458330000003</v>
      </c>
      <c r="K15" s="51">
        <v>9.2432999999999907</v>
      </c>
      <c r="L15" s="51">
        <v>14.458774999999999</v>
      </c>
      <c r="M15" s="51">
        <v>11.468291669999999</v>
      </c>
      <c r="N15" s="51">
        <v>25.927066669999999</v>
      </c>
      <c r="O15" s="59">
        <v>0.1114033604</v>
      </c>
      <c r="P15" s="59">
        <v>0.18056170560000001</v>
      </c>
      <c r="Q15" s="46">
        <v>80</v>
      </c>
      <c r="R15" s="51">
        <v>1861.96</v>
      </c>
      <c r="S15" s="51">
        <v>23.2745</v>
      </c>
      <c r="T15" s="46">
        <v>57</v>
      </c>
      <c r="U15" s="46">
        <f t="shared" si="2"/>
        <v>741</v>
      </c>
      <c r="V15" s="46">
        <v>13</v>
      </c>
      <c r="W15" s="51">
        <v>532.03399999999999</v>
      </c>
      <c r="X15" s="51">
        <v>13.41886785</v>
      </c>
      <c r="Y15" s="51">
        <v>354.92694519999998</v>
      </c>
      <c r="Z15" s="51">
        <v>177.10705479999999</v>
      </c>
      <c r="AA15" s="51">
        <v>19.171959309999998</v>
      </c>
      <c r="AB15" s="51">
        <v>0.91315405660000004</v>
      </c>
      <c r="AC15" s="47" t="str">
        <f t="shared" si="0"/>
        <v>Tipper</v>
      </c>
      <c r="AD15" s="47" t="str">
        <f t="shared" si="1"/>
        <v>Operational</v>
      </c>
      <c r="AE15" s="47" t="str">
        <f t="shared" si="3"/>
        <v>Aggregate</v>
      </c>
    </row>
    <row r="16" spans="1:31" ht="14" hidden="1" customHeight="1" x14ac:dyDescent="0.35">
      <c r="A16" s="5">
        <v>1</v>
      </c>
      <c r="B16" s="5" t="s">
        <v>32</v>
      </c>
      <c r="C16" s="5" t="s">
        <v>46</v>
      </c>
      <c r="D16" s="54">
        <v>720.00059999999905</v>
      </c>
      <c r="E16" s="50">
        <v>654.52739999999994</v>
      </c>
      <c r="F16" s="50">
        <v>204.9314</v>
      </c>
      <c r="G16" s="50">
        <v>202.041</v>
      </c>
      <c r="H16" s="50">
        <v>65.473199999999906</v>
      </c>
      <c r="I16" s="50">
        <v>11.041099999999901</v>
      </c>
      <c r="J16" s="50">
        <v>449.59599999999898</v>
      </c>
      <c r="K16" s="50">
        <v>8.1411999999999995</v>
      </c>
      <c r="L16" s="50">
        <v>202.041</v>
      </c>
      <c r="M16" s="50">
        <v>19.182299999999898</v>
      </c>
      <c r="N16" s="50">
        <v>221.22329999999999</v>
      </c>
      <c r="O16" s="58">
        <v>0.90906507579999996</v>
      </c>
      <c r="P16" s="58">
        <v>0.30868226450000003</v>
      </c>
      <c r="Q16" s="5">
        <v>646</v>
      </c>
      <c r="R16" s="50">
        <v>24054.75</v>
      </c>
      <c r="S16" s="50">
        <v>37.236455110000001</v>
      </c>
      <c r="T16" s="5">
        <v>13</v>
      </c>
      <c r="U16" s="5">
        <f t="shared" si="2"/>
        <v>169</v>
      </c>
      <c r="V16" s="5">
        <v>13</v>
      </c>
      <c r="W16" s="50">
        <v>4668.0499999999902</v>
      </c>
      <c r="X16" s="50">
        <v>21.10107751</v>
      </c>
      <c r="Y16" s="50">
        <v>4263.2828010000003</v>
      </c>
      <c r="Z16" s="50">
        <v>404.76719910000003</v>
      </c>
      <c r="AA16" s="50">
        <v>7.0835356599999999</v>
      </c>
      <c r="AB16" s="50">
        <v>0.192705506</v>
      </c>
      <c r="AC16" s="4" t="str">
        <f t="shared" si="0"/>
        <v>Tipper</v>
      </c>
      <c r="AD16" s="4" t="str">
        <f t="shared" si="1"/>
        <v>Operational</v>
      </c>
      <c r="AE16" s="4" t="str">
        <f t="shared" si="3"/>
        <v>Individual</v>
      </c>
    </row>
    <row r="17" spans="1:31" ht="14" hidden="1" customHeight="1" x14ac:dyDescent="0.35">
      <c r="A17" s="3">
        <v>2</v>
      </c>
      <c r="B17" s="3" t="s">
        <v>32</v>
      </c>
      <c r="C17" s="3" t="s">
        <v>47</v>
      </c>
      <c r="D17" s="53">
        <v>720</v>
      </c>
      <c r="E17" s="49">
        <v>720</v>
      </c>
      <c r="F17" s="49">
        <v>720</v>
      </c>
      <c r="G17" s="49">
        <v>0</v>
      </c>
      <c r="H17" s="49">
        <v>0</v>
      </c>
      <c r="I17" s="49">
        <v>0</v>
      </c>
      <c r="J17" s="49">
        <v>0</v>
      </c>
      <c r="K17" s="49">
        <v>0</v>
      </c>
      <c r="L17" s="49">
        <v>0</v>
      </c>
      <c r="M17" s="49">
        <v>0</v>
      </c>
      <c r="N17" s="49">
        <v>0</v>
      </c>
      <c r="O17" s="57">
        <v>1</v>
      </c>
      <c r="P17" s="57">
        <v>0</v>
      </c>
      <c r="Q17" s="3">
        <v>0</v>
      </c>
      <c r="R17" s="49">
        <v>0</v>
      </c>
      <c r="S17" s="49">
        <v>0</v>
      </c>
      <c r="T17" s="3">
        <v>0</v>
      </c>
      <c r="U17" s="3">
        <f t="shared" si="2"/>
        <v>0</v>
      </c>
      <c r="V17" s="3">
        <v>13</v>
      </c>
      <c r="W17" s="49">
        <v>40.619999999999997</v>
      </c>
      <c r="X17" s="49">
        <v>0</v>
      </c>
      <c r="Y17" s="49">
        <v>0</v>
      </c>
      <c r="Z17" s="49">
        <v>0</v>
      </c>
      <c r="AA17" s="49">
        <v>0</v>
      </c>
      <c r="AB17" s="49">
        <v>0</v>
      </c>
      <c r="AC17" s="4" t="str">
        <f t="shared" si="0"/>
        <v>Tipper</v>
      </c>
      <c r="AD17" s="4" t="str">
        <f t="shared" si="1"/>
        <v>Operational</v>
      </c>
      <c r="AE17" s="4" t="str">
        <f t="shared" si="3"/>
        <v>Individual</v>
      </c>
    </row>
    <row r="18" spans="1:31" ht="14" hidden="1" customHeight="1" x14ac:dyDescent="0.35">
      <c r="A18" s="5">
        <v>3</v>
      </c>
      <c r="B18" s="5" t="s">
        <v>32</v>
      </c>
      <c r="C18" s="5" t="s">
        <v>48</v>
      </c>
      <c r="D18" s="54">
        <v>720.00019999999995</v>
      </c>
      <c r="E18" s="50">
        <v>451.474999999999</v>
      </c>
      <c r="F18" s="50">
        <v>80.971999999999994</v>
      </c>
      <c r="G18" s="50">
        <v>80.075800000000001</v>
      </c>
      <c r="H18" s="50">
        <v>268.52519999999998</v>
      </c>
      <c r="I18" s="50">
        <v>2.1516000000000002</v>
      </c>
      <c r="J18" s="50">
        <v>370.50299999999999</v>
      </c>
      <c r="K18" s="50">
        <v>1.6820999999999999</v>
      </c>
      <c r="L18" s="50">
        <v>80.075800000000001</v>
      </c>
      <c r="M18" s="50">
        <v>3.8336999999999999</v>
      </c>
      <c r="N18" s="50">
        <v>83.909499999999994</v>
      </c>
      <c r="O18" s="58">
        <v>0.62704843690000001</v>
      </c>
      <c r="P18" s="58">
        <v>0.17736485960000001</v>
      </c>
      <c r="Q18" s="5">
        <v>271</v>
      </c>
      <c r="R18" s="50">
        <v>9895.4500000000007</v>
      </c>
      <c r="S18" s="50">
        <v>36.514575649999998</v>
      </c>
      <c r="T18" s="5">
        <v>9</v>
      </c>
      <c r="U18" s="5">
        <f t="shared" si="2"/>
        <v>117</v>
      </c>
      <c r="V18" s="5">
        <v>13</v>
      </c>
      <c r="W18" s="50">
        <v>1881.1099999999899</v>
      </c>
      <c r="X18" s="50">
        <v>22.418319740000001</v>
      </c>
      <c r="Y18" s="50">
        <v>1795.164888</v>
      </c>
      <c r="Z18" s="50">
        <v>85.945112379999998</v>
      </c>
      <c r="AA18" s="50">
        <v>6.7182499999999896</v>
      </c>
      <c r="AB18" s="50">
        <v>0.187877093</v>
      </c>
      <c r="AC18" s="4" t="str">
        <f t="shared" si="0"/>
        <v>Tipper</v>
      </c>
      <c r="AD18" s="4" t="str">
        <f t="shared" si="1"/>
        <v>Operational</v>
      </c>
      <c r="AE18" s="4" t="str">
        <f t="shared" si="3"/>
        <v>Individual</v>
      </c>
    </row>
    <row r="19" spans="1:31" ht="14" customHeight="1" x14ac:dyDescent="0.35">
      <c r="A19" s="3">
        <v>4</v>
      </c>
      <c r="B19" s="3" t="s">
        <v>32</v>
      </c>
      <c r="C19" s="3" t="s">
        <v>49</v>
      </c>
      <c r="D19" s="53">
        <v>720.00129999999899</v>
      </c>
      <c r="E19" s="49">
        <v>650.62259999999901</v>
      </c>
      <c r="F19" s="49">
        <v>293.985399999999</v>
      </c>
      <c r="G19" s="49">
        <v>291.251699999999</v>
      </c>
      <c r="H19" s="49">
        <v>69.378699999999895</v>
      </c>
      <c r="I19" s="49">
        <v>12.483499999999999</v>
      </c>
      <c r="J19" s="49">
        <v>356.63720000000001</v>
      </c>
      <c r="K19" s="49">
        <v>4.3856000000000002</v>
      </c>
      <c r="L19" s="49">
        <v>291.251699999999</v>
      </c>
      <c r="M19" s="49">
        <v>16.8691</v>
      </c>
      <c r="N19" s="49">
        <v>308.12079999999901</v>
      </c>
      <c r="O19" s="57">
        <v>0.90364086840000002</v>
      </c>
      <c r="P19" s="57">
        <v>0.44765075789999997</v>
      </c>
      <c r="Q19" s="3">
        <v>645</v>
      </c>
      <c r="R19" s="49">
        <v>23629.83</v>
      </c>
      <c r="S19" s="49">
        <v>36.635395350000003</v>
      </c>
      <c r="T19" s="3">
        <v>16</v>
      </c>
      <c r="U19" s="3">
        <f t="shared" si="2"/>
        <v>208</v>
      </c>
      <c r="V19" s="3">
        <v>13</v>
      </c>
      <c r="W19" s="49">
        <v>4732.4399999999996</v>
      </c>
      <c r="X19" s="49">
        <v>15.359040999999999</v>
      </c>
      <c r="Y19" s="49">
        <v>4473.3468009999997</v>
      </c>
      <c r="Z19" s="49">
        <v>259.09319850000003</v>
      </c>
      <c r="AA19" s="49">
        <v>7.1595158850000002</v>
      </c>
      <c r="AB19" s="49">
        <v>0.1985264598</v>
      </c>
      <c r="AC19" s="4" t="str">
        <f t="shared" si="0"/>
        <v>Tipper</v>
      </c>
      <c r="AD19" s="4" t="str">
        <f t="shared" si="1"/>
        <v>Operational</v>
      </c>
      <c r="AE19" s="4" t="str">
        <f t="shared" si="3"/>
        <v>Individual</v>
      </c>
    </row>
    <row r="20" spans="1:31" ht="14" hidden="1" customHeight="1" x14ac:dyDescent="0.35">
      <c r="A20" s="5">
        <v>5</v>
      </c>
      <c r="B20" s="5" t="s">
        <v>32</v>
      </c>
      <c r="C20" s="5" t="s">
        <v>50</v>
      </c>
      <c r="D20" s="54">
        <v>720</v>
      </c>
      <c r="E20" s="50">
        <v>0</v>
      </c>
      <c r="F20" s="50">
        <v>0</v>
      </c>
      <c r="G20" s="50">
        <v>0</v>
      </c>
      <c r="H20" s="50">
        <v>720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8">
        <v>0</v>
      </c>
      <c r="P20" s="58">
        <v>0</v>
      </c>
      <c r="Q20" s="5">
        <v>0</v>
      </c>
      <c r="R20" s="50">
        <v>0</v>
      </c>
      <c r="S20" s="50">
        <v>0</v>
      </c>
      <c r="T20" s="5">
        <v>0</v>
      </c>
      <c r="U20" s="5">
        <f t="shared" si="2"/>
        <v>0</v>
      </c>
      <c r="V20" s="5">
        <v>13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4" t="str">
        <f t="shared" si="0"/>
        <v>Tipper</v>
      </c>
      <c r="AD20" s="4" t="str">
        <f t="shared" si="1"/>
        <v>Non-Operational</v>
      </c>
      <c r="AE20" s="4" t="str">
        <f t="shared" si="3"/>
        <v>Individual</v>
      </c>
    </row>
    <row r="21" spans="1:31" ht="14" customHeight="1" x14ac:dyDescent="0.35">
      <c r="A21" s="3">
        <v>6</v>
      </c>
      <c r="B21" s="3" t="s">
        <v>32</v>
      </c>
      <c r="C21" s="3" t="s">
        <v>51</v>
      </c>
      <c r="D21" s="53">
        <v>720.00289999999904</v>
      </c>
      <c r="E21" s="49">
        <v>521.65219999999897</v>
      </c>
      <c r="F21" s="49">
        <v>223.343999999999</v>
      </c>
      <c r="G21" s="49">
        <v>222.04309999999899</v>
      </c>
      <c r="H21" s="49">
        <v>198.35069999999999</v>
      </c>
      <c r="I21" s="49">
        <v>5.6050000000000004</v>
      </c>
      <c r="J21" s="49">
        <v>298.30819999999898</v>
      </c>
      <c r="K21" s="49">
        <v>0.66119999999999901</v>
      </c>
      <c r="L21" s="49">
        <v>222.04309999999899</v>
      </c>
      <c r="M21" s="49">
        <v>6.2662000000000004</v>
      </c>
      <c r="N21" s="49">
        <v>228.30929999999901</v>
      </c>
      <c r="O21" s="57">
        <v>0.72451402629999995</v>
      </c>
      <c r="P21" s="57">
        <v>0.4256535293</v>
      </c>
      <c r="Q21" s="3">
        <v>465</v>
      </c>
      <c r="R21" s="49">
        <v>16923.509999999998</v>
      </c>
      <c r="S21" s="49">
        <v>36.394645160000003</v>
      </c>
      <c r="T21" s="3">
        <v>14</v>
      </c>
      <c r="U21" s="3">
        <f t="shared" si="2"/>
        <v>182</v>
      </c>
      <c r="V21" s="3">
        <v>13</v>
      </c>
      <c r="W21" s="49">
        <v>3173.74</v>
      </c>
      <c r="X21" s="49">
        <v>13.9010544</v>
      </c>
      <c r="Y21" s="49">
        <v>3086.6332130000001</v>
      </c>
      <c r="Z21" s="49">
        <v>87.106787100000005</v>
      </c>
      <c r="AA21" s="49">
        <v>6.6257620040000003</v>
      </c>
      <c r="AB21" s="49">
        <v>0.18553904560000001</v>
      </c>
      <c r="AC21" s="4" t="str">
        <f t="shared" si="0"/>
        <v>Tipper</v>
      </c>
      <c r="AD21" s="4" t="str">
        <f t="shared" si="1"/>
        <v>Operational</v>
      </c>
      <c r="AE21" s="4" t="str">
        <f t="shared" si="3"/>
        <v>Individual</v>
      </c>
    </row>
    <row r="22" spans="1:31" ht="14" customHeight="1" x14ac:dyDescent="0.35">
      <c r="A22" s="5">
        <v>7</v>
      </c>
      <c r="B22" s="5" t="s">
        <v>32</v>
      </c>
      <c r="C22" s="5" t="s">
        <v>52</v>
      </c>
      <c r="D22" s="54">
        <v>720.00139999999999</v>
      </c>
      <c r="E22" s="50">
        <v>150.88309999999899</v>
      </c>
      <c r="F22" s="50">
        <v>83.836699999999894</v>
      </c>
      <c r="G22" s="50">
        <v>81.373400000000004</v>
      </c>
      <c r="H22" s="50">
        <v>569.11829999999998</v>
      </c>
      <c r="I22" s="50">
        <v>1.1792</v>
      </c>
      <c r="J22" s="50">
        <v>67.046399999999906</v>
      </c>
      <c r="K22" s="50">
        <v>1.7363999999999999</v>
      </c>
      <c r="L22" s="50">
        <v>81.373400000000004</v>
      </c>
      <c r="M22" s="50">
        <v>2.9156</v>
      </c>
      <c r="N22" s="50">
        <v>84.289000000000001</v>
      </c>
      <c r="O22" s="58">
        <v>0.2095594536</v>
      </c>
      <c r="P22" s="58">
        <v>0.53931421079999997</v>
      </c>
      <c r="Q22" s="5">
        <v>151</v>
      </c>
      <c r="R22" s="50">
        <v>5633.1</v>
      </c>
      <c r="S22" s="50">
        <v>37.305298010000001</v>
      </c>
      <c r="T22" s="5">
        <v>1</v>
      </c>
      <c r="U22" s="5">
        <f t="shared" si="2"/>
        <v>13</v>
      </c>
      <c r="V22" s="5">
        <v>13</v>
      </c>
      <c r="W22" s="50">
        <v>998.02</v>
      </c>
      <c r="X22" s="50">
        <v>11.84045368</v>
      </c>
      <c r="Y22" s="50">
        <v>963.49797330000001</v>
      </c>
      <c r="Z22" s="50">
        <v>34.522026740000001</v>
      </c>
      <c r="AA22" s="50">
        <v>6.5659210530000003</v>
      </c>
      <c r="AB22" s="50">
        <v>0.1767627212</v>
      </c>
      <c r="AC22" s="4" t="str">
        <f t="shared" si="0"/>
        <v>Tipper</v>
      </c>
      <c r="AD22" s="4" t="str">
        <f t="shared" si="1"/>
        <v>Operational</v>
      </c>
      <c r="AE22" s="4" t="str">
        <f t="shared" si="3"/>
        <v>Individual</v>
      </c>
    </row>
    <row r="23" spans="1:31" ht="14" customHeight="1" x14ac:dyDescent="0.35">
      <c r="A23" s="3">
        <v>8</v>
      </c>
      <c r="B23" s="3" t="s">
        <v>32</v>
      </c>
      <c r="C23" s="3" t="s">
        <v>53</v>
      </c>
      <c r="D23" s="53">
        <v>720.00049999999896</v>
      </c>
      <c r="E23" s="49">
        <v>611.90359999999896</v>
      </c>
      <c r="F23" s="49">
        <v>342.73959999999897</v>
      </c>
      <c r="G23" s="49">
        <v>337.59769999999901</v>
      </c>
      <c r="H23" s="49">
        <v>108.09690000000001</v>
      </c>
      <c r="I23" s="49">
        <v>7.1208</v>
      </c>
      <c r="J23" s="49">
        <v>269.16399999999902</v>
      </c>
      <c r="K23" s="49">
        <v>3.1263999999999998</v>
      </c>
      <c r="L23" s="49">
        <v>337.59769999999901</v>
      </c>
      <c r="M23" s="49">
        <v>10.247199999999999</v>
      </c>
      <c r="N23" s="49">
        <v>347.84489999999897</v>
      </c>
      <c r="O23" s="57">
        <v>0.8498655209</v>
      </c>
      <c r="P23" s="57">
        <v>0.55171713320000004</v>
      </c>
      <c r="Q23" s="3">
        <v>679</v>
      </c>
      <c r="R23" s="49">
        <v>24977.95</v>
      </c>
      <c r="S23" s="49">
        <v>36.786377029999997</v>
      </c>
      <c r="T23" s="3">
        <v>17</v>
      </c>
      <c r="U23" s="3">
        <f t="shared" si="2"/>
        <v>221</v>
      </c>
      <c r="V23" s="3">
        <v>13</v>
      </c>
      <c r="W23" s="49">
        <v>4428.5099999999902</v>
      </c>
      <c r="X23" s="49">
        <v>12.731277649999999</v>
      </c>
      <c r="Y23" s="49">
        <v>4298.0500519999996</v>
      </c>
      <c r="Z23" s="49">
        <v>130.45994830000001</v>
      </c>
      <c r="AA23" s="49">
        <v>6.3628017239999997</v>
      </c>
      <c r="AB23" s="49">
        <v>0.17574184640000001</v>
      </c>
      <c r="AC23" s="4" t="str">
        <f t="shared" si="0"/>
        <v>Tipper</v>
      </c>
      <c r="AD23" s="4" t="str">
        <f t="shared" si="1"/>
        <v>Operational</v>
      </c>
      <c r="AE23" s="4" t="str">
        <f t="shared" si="3"/>
        <v>Individual</v>
      </c>
    </row>
    <row r="24" spans="1:31" ht="14" hidden="1" customHeight="1" x14ac:dyDescent="0.35">
      <c r="A24" s="5">
        <v>9</v>
      </c>
      <c r="B24" s="5" t="s">
        <v>32</v>
      </c>
      <c r="C24" s="5" t="s">
        <v>54</v>
      </c>
      <c r="D24" s="54">
        <v>719.99990000000003</v>
      </c>
      <c r="E24" s="50">
        <v>52.527999999999999</v>
      </c>
      <c r="F24" s="50">
        <v>10.5343</v>
      </c>
      <c r="G24" s="50">
        <v>8.5302000000000007</v>
      </c>
      <c r="H24" s="50">
        <v>667.47190000000001</v>
      </c>
      <c r="I24" s="50">
        <v>1.0712999999999999</v>
      </c>
      <c r="J24" s="50">
        <v>41.993699999999997</v>
      </c>
      <c r="K24" s="50">
        <v>0.4264</v>
      </c>
      <c r="L24" s="50">
        <v>8.5302000000000007</v>
      </c>
      <c r="M24" s="50">
        <v>1.4977</v>
      </c>
      <c r="N24" s="50">
        <v>10.027900000000001</v>
      </c>
      <c r="O24" s="58">
        <v>7.2955565700000002E-2</v>
      </c>
      <c r="P24" s="58">
        <v>0.16239339019999999</v>
      </c>
      <c r="Q24" s="5">
        <v>1</v>
      </c>
      <c r="R24" s="50">
        <v>35.28</v>
      </c>
      <c r="S24" s="50">
        <v>35.28</v>
      </c>
      <c r="T24" s="5">
        <v>4</v>
      </c>
      <c r="U24" s="5">
        <f t="shared" si="2"/>
        <v>52</v>
      </c>
      <c r="V24" s="5">
        <v>13</v>
      </c>
      <c r="W24" s="50">
        <v>180.95</v>
      </c>
      <c r="X24" s="50">
        <v>18.044655410000001</v>
      </c>
      <c r="Y24" s="50">
        <v>153.9245196</v>
      </c>
      <c r="Z24" s="50">
        <v>27.02548041</v>
      </c>
      <c r="AA24" s="50">
        <v>36.19</v>
      </c>
      <c r="AB24" s="50">
        <v>2.0732126489999998</v>
      </c>
      <c r="AC24" s="4" t="str">
        <f t="shared" si="0"/>
        <v>Tipper</v>
      </c>
      <c r="AD24" s="4" t="str">
        <f t="shared" si="1"/>
        <v>Operational</v>
      </c>
      <c r="AE24" s="4" t="str">
        <f t="shared" si="3"/>
        <v>Individual</v>
      </c>
    </row>
    <row r="25" spans="1:31" ht="14" customHeight="1" x14ac:dyDescent="0.35">
      <c r="A25" s="3">
        <v>10</v>
      </c>
      <c r="B25" s="3" t="s">
        <v>32</v>
      </c>
      <c r="C25" s="3" t="s">
        <v>55</v>
      </c>
      <c r="D25" s="53">
        <v>720.00109999999904</v>
      </c>
      <c r="E25" s="49">
        <v>501.64949999999902</v>
      </c>
      <c r="F25" s="49">
        <v>205.45069999999899</v>
      </c>
      <c r="G25" s="49">
        <v>202.5171</v>
      </c>
      <c r="H25" s="49">
        <v>218.35159999999999</v>
      </c>
      <c r="I25" s="49">
        <v>6.8214999999999897</v>
      </c>
      <c r="J25" s="49">
        <v>296.19879999999898</v>
      </c>
      <c r="K25" s="49">
        <v>14.245799999999999</v>
      </c>
      <c r="L25" s="49">
        <v>202.5171</v>
      </c>
      <c r="M25" s="49">
        <v>21.067299999999999</v>
      </c>
      <c r="N25" s="49">
        <v>223.58439999999999</v>
      </c>
      <c r="O25" s="57">
        <v>0.69673435220000002</v>
      </c>
      <c r="P25" s="57">
        <v>0.40370238580000001</v>
      </c>
      <c r="Q25" s="3">
        <v>438</v>
      </c>
      <c r="R25" s="49">
        <v>15854.01</v>
      </c>
      <c r="S25" s="49">
        <v>36.196369859999997</v>
      </c>
      <c r="T25" s="3">
        <v>12</v>
      </c>
      <c r="U25" s="3">
        <f t="shared" si="2"/>
        <v>156</v>
      </c>
      <c r="V25" s="3">
        <v>13</v>
      </c>
      <c r="W25" s="49">
        <v>3339.0699999999902</v>
      </c>
      <c r="X25" s="49">
        <v>14.93427091</v>
      </c>
      <c r="Y25" s="49">
        <v>3024.4452350000001</v>
      </c>
      <c r="Z25" s="49">
        <v>314.62476550000002</v>
      </c>
      <c r="AA25" s="49">
        <v>7.4201555560000001</v>
      </c>
      <c r="AB25" s="49">
        <v>0.20856139379999999</v>
      </c>
      <c r="AC25" s="4" t="str">
        <f t="shared" si="0"/>
        <v>Tipper</v>
      </c>
      <c r="AD25" s="4" t="str">
        <f t="shared" si="1"/>
        <v>Operational</v>
      </c>
      <c r="AE25" s="4" t="str">
        <f t="shared" si="3"/>
        <v>Individual</v>
      </c>
    </row>
    <row r="26" spans="1:31" ht="14" hidden="1" customHeight="1" x14ac:dyDescent="0.35">
      <c r="A26" s="5">
        <v>11</v>
      </c>
      <c r="B26" s="5" t="s">
        <v>32</v>
      </c>
      <c r="C26" s="5" t="s">
        <v>56</v>
      </c>
      <c r="D26" s="54">
        <v>720.00109999999995</v>
      </c>
      <c r="E26" s="50">
        <v>582.8098</v>
      </c>
      <c r="F26" s="50">
        <v>202.79910000000001</v>
      </c>
      <c r="G26" s="50">
        <v>199.49879999999899</v>
      </c>
      <c r="H26" s="50">
        <v>137.19130000000001</v>
      </c>
      <c r="I26" s="50">
        <v>18.857599999999898</v>
      </c>
      <c r="J26" s="50">
        <v>380.01069999999999</v>
      </c>
      <c r="K26" s="50">
        <v>13.7532999999999</v>
      </c>
      <c r="L26" s="50">
        <v>199.49879999999899</v>
      </c>
      <c r="M26" s="50">
        <v>32.610899999999901</v>
      </c>
      <c r="N26" s="50">
        <v>232.10969999999901</v>
      </c>
      <c r="O26" s="58">
        <v>0.80945681889999999</v>
      </c>
      <c r="P26" s="58">
        <v>0.34230515680000001</v>
      </c>
      <c r="Q26" s="5">
        <v>167</v>
      </c>
      <c r="R26" s="50">
        <v>6181.65</v>
      </c>
      <c r="S26" s="50">
        <v>37.015868259999998</v>
      </c>
      <c r="T26" s="5">
        <v>120</v>
      </c>
      <c r="U26" s="5">
        <f t="shared" si="2"/>
        <v>1560</v>
      </c>
      <c r="V26" s="5">
        <v>13</v>
      </c>
      <c r="W26" s="50">
        <v>2394.96</v>
      </c>
      <c r="X26" s="50">
        <v>10.31822453</v>
      </c>
      <c r="Y26" s="50">
        <v>2058.4734119999998</v>
      </c>
      <c r="Z26" s="50">
        <v>336.48658829999999</v>
      </c>
      <c r="AA26" s="50">
        <v>8.3448083620000002</v>
      </c>
      <c r="AB26" s="50">
        <v>0.30936040770000001</v>
      </c>
      <c r="AC26" s="4" t="str">
        <f t="shared" si="0"/>
        <v>Tipper</v>
      </c>
      <c r="AD26" s="4" t="str">
        <f t="shared" si="1"/>
        <v>Operational</v>
      </c>
      <c r="AE26" s="4" t="str">
        <f t="shared" si="3"/>
        <v>Individual</v>
      </c>
    </row>
    <row r="27" spans="1:31" ht="14" hidden="1" customHeight="1" x14ac:dyDescent="0.35">
      <c r="A27" s="3">
        <v>12</v>
      </c>
      <c r="B27" s="3" t="s">
        <v>32</v>
      </c>
      <c r="C27" s="3" t="s">
        <v>57</v>
      </c>
      <c r="D27" s="53">
        <v>720.00009999999997</v>
      </c>
      <c r="E27" s="49">
        <v>1.10919999999999</v>
      </c>
      <c r="F27" s="49">
        <v>1.10919999999999</v>
      </c>
      <c r="G27" s="49">
        <v>1.0325</v>
      </c>
      <c r="H27" s="49">
        <v>718.89089999999999</v>
      </c>
      <c r="I27" s="49">
        <v>0</v>
      </c>
      <c r="J27" s="49">
        <v>0</v>
      </c>
      <c r="K27" s="49">
        <v>4.3651999999999997</v>
      </c>
      <c r="L27" s="49">
        <v>1.0325</v>
      </c>
      <c r="M27" s="49">
        <v>4.3651999999999997</v>
      </c>
      <c r="N27" s="49">
        <v>5.3976999999999897</v>
      </c>
      <c r="O27" s="57">
        <v>1.5405553E-3</v>
      </c>
      <c r="P27" s="57">
        <v>0.93085106380000004</v>
      </c>
      <c r="Q27" s="3">
        <v>1</v>
      </c>
      <c r="R27" s="49">
        <v>35.82</v>
      </c>
      <c r="S27" s="49">
        <v>35.82</v>
      </c>
      <c r="T27" s="3">
        <v>0</v>
      </c>
      <c r="U27" s="3">
        <f t="shared" si="2"/>
        <v>0</v>
      </c>
      <c r="V27" s="3">
        <v>13</v>
      </c>
      <c r="W27" s="49">
        <v>0</v>
      </c>
      <c r="X27" s="49">
        <v>0</v>
      </c>
      <c r="Y27" s="49">
        <v>0</v>
      </c>
      <c r="Z27" s="49">
        <v>0</v>
      </c>
      <c r="AA27" s="49">
        <v>0</v>
      </c>
      <c r="AB27" s="49">
        <v>0</v>
      </c>
      <c r="AC27" s="4" t="str">
        <f t="shared" si="0"/>
        <v>Tipper</v>
      </c>
      <c r="AD27" s="4" t="str">
        <f t="shared" si="1"/>
        <v>Operational</v>
      </c>
      <c r="AE27" s="4" t="str">
        <f t="shared" si="3"/>
        <v>Individual</v>
      </c>
    </row>
    <row r="28" spans="1:31" ht="14" customHeight="1" x14ac:dyDescent="0.35">
      <c r="A28" s="5">
        <v>13</v>
      </c>
      <c r="B28" s="5" t="s">
        <v>32</v>
      </c>
      <c r="C28" s="5" t="s">
        <v>58</v>
      </c>
      <c r="D28" s="54">
        <v>720.00089999999898</v>
      </c>
      <c r="E28" s="50">
        <v>361.17439999999903</v>
      </c>
      <c r="F28" s="50">
        <v>151.48649999999901</v>
      </c>
      <c r="G28" s="50">
        <v>149.73410000000001</v>
      </c>
      <c r="H28" s="50">
        <v>358.82649999999899</v>
      </c>
      <c r="I28" s="50">
        <v>9.6075999999999908</v>
      </c>
      <c r="J28" s="50">
        <v>209.68789999999899</v>
      </c>
      <c r="K28" s="50">
        <v>16.767099999999999</v>
      </c>
      <c r="L28" s="50">
        <v>149.73410000000001</v>
      </c>
      <c r="M28" s="50">
        <v>26.374699999999901</v>
      </c>
      <c r="N28" s="50">
        <v>176.1088</v>
      </c>
      <c r="O28" s="58">
        <v>0.5016304841</v>
      </c>
      <c r="P28" s="58">
        <v>0.41457561780000002</v>
      </c>
      <c r="Q28" s="5">
        <v>264</v>
      </c>
      <c r="R28" s="50">
        <v>9637.2900000000009</v>
      </c>
      <c r="S28" s="50">
        <v>36.50488636</v>
      </c>
      <c r="T28" s="5">
        <v>14</v>
      </c>
      <c r="U28" s="5">
        <f t="shared" si="2"/>
        <v>182</v>
      </c>
      <c r="V28" s="5">
        <v>13</v>
      </c>
      <c r="W28" s="50">
        <v>1879.77</v>
      </c>
      <c r="X28" s="50">
        <v>10.673912939999999</v>
      </c>
      <c r="Y28" s="50">
        <v>1598.248748</v>
      </c>
      <c r="Z28" s="50">
        <v>281.52125169999999</v>
      </c>
      <c r="AA28" s="50">
        <v>6.76176259</v>
      </c>
      <c r="AB28" s="50">
        <v>0.19143644809999999</v>
      </c>
      <c r="AC28" s="4" t="str">
        <f t="shared" si="0"/>
        <v>Tipper</v>
      </c>
      <c r="AD28" s="4" t="str">
        <f t="shared" si="1"/>
        <v>Operational</v>
      </c>
      <c r="AE28" s="4" t="str">
        <f t="shared" si="3"/>
        <v>Individual</v>
      </c>
    </row>
    <row r="29" spans="1:31" ht="14" hidden="1" customHeight="1" x14ac:dyDescent="0.35">
      <c r="A29" s="3">
        <v>14</v>
      </c>
      <c r="B29" s="3" t="s">
        <v>32</v>
      </c>
      <c r="C29" s="3" t="s">
        <v>59</v>
      </c>
      <c r="D29" s="53">
        <v>720.00099999999895</v>
      </c>
      <c r="E29" s="49">
        <v>476.80609999999899</v>
      </c>
      <c r="F29" s="49">
        <v>183.37559999999999</v>
      </c>
      <c r="G29" s="49">
        <v>180.49760000000001</v>
      </c>
      <c r="H29" s="49">
        <v>243.194899999999</v>
      </c>
      <c r="I29" s="49">
        <v>7.3089000000000004</v>
      </c>
      <c r="J29" s="49">
        <v>293.43049999999897</v>
      </c>
      <c r="K29" s="49">
        <v>1.6093999999999999</v>
      </c>
      <c r="L29" s="49">
        <v>180.49760000000001</v>
      </c>
      <c r="M29" s="49">
        <v>8.9183000000000003</v>
      </c>
      <c r="N29" s="49">
        <v>189.41589999999999</v>
      </c>
      <c r="O29" s="57">
        <v>0.6622297747</v>
      </c>
      <c r="P29" s="57">
        <v>0.37855555959999998</v>
      </c>
      <c r="Q29" s="3">
        <v>539</v>
      </c>
      <c r="R29" s="49">
        <v>21237.87</v>
      </c>
      <c r="S29" s="49">
        <v>39.402356220000001</v>
      </c>
      <c r="T29" s="3">
        <v>26</v>
      </c>
      <c r="U29" s="3">
        <f t="shared" si="2"/>
        <v>338</v>
      </c>
      <c r="V29" s="3">
        <v>13</v>
      </c>
      <c r="W29" s="49">
        <v>3857.05</v>
      </c>
      <c r="X29" s="49">
        <v>20.362862889999999</v>
      </c>
      <c r="Y29" s="49">
        <v>3675.4478799298199</v>
      </c>
      <c r="Z29" s="49">
        <v>181.60212010000001</v>
      </c>
      <c r="AA29" s="49">
        <v>6.8266371680000004</v>
      </c>
      <c r="AB29" s="49">
        <v>0.17876683539999999</v>
      </c>
      <c r="AC29" s="4" t="str">
        <f t="shared" si="0"/>
        <v>Tipper</v>
      </c>
      <c r="AD29" s="4" t="str">
        <f t="shared" si="1"/>
        <v>Operational</v>
      </c>
      <c r="AE29" s="4" t="str">
        <f t="shared" si="3"/>
        <v>Individual</v>
      </c>
    </row>
    <row r="30" spans="1:31" ht="14" customHeight="1" x14ac:dyDescent="0.35">
      <c r="A30" s="5">
        <v>15</v>
      </c>
      <c r="B30" s="5" t="s">
        <v>32</v>
      </c>
      <c r="C30" s="5" t="s">
        <v>60</v>
      </c>
      <c r="D30" s="54">
        <v>720.00139999999897</v>
      </c>
      <c r="E30" s="50">
        <v>675.46979999999905</v>
      </c>
      <c r="F30" s="50">
        <v>307.4067</v>
      </c>
      <c r="G30" s="50">
        <v>304.05270000000002</v>
      </c>
      <c r="H30" s="50">
        <v>44.531599999999997</v>
      </c>
      <c r="I30" s="50">
        <v>10.278499999999999</v>
      </c>
      <c r="J30" s="50">
        <v>368.063099999999</v>
      </c>
      <c r="K30" s="50">
        <v>2.8309999999999902</v>
      </c>
      <c r="L30" s="50">
        <v>304.05270000000002</v>
      </c>
      <c r="M30" s="50">
        <v>13.109500000000001</v>
      </c>
      <c r="N30" s="50">
        <v>317.16219999999998</v>
      </c>
      <c r="O30" s="58">
        <v>0.9381506758</v>
      </c>
      <c r="P30" s="58">
        <v>0.45013515040000002</v>
      </c>
      <c r="Q30" s="5">
        <v>738</v>
      </c>
      <c r="R30" s="50">
        <v>27270.82</v>
      </c>
      <c r="S30" s="50">
        <v>36.952330619999998</v>
      </c>
      <c r="T30" s="5">
        <v>30</v>
      </c>
      <c r="U30" s="5">
        <f t="shared" si="2"/>
        <v>390</v>
      </c>
      <c r="V30" s="5">
        <v>13</v>
      </c>
      <c r="W30" s="50">
        <v>4938.5899999999901</v>
      </c>
      <c r="X30" s="50">
        <v>15.571180930000001</v>
      </c>
      <c r="Y30" s="50">
        <v>4734.4596039999997</v>
      </c>
      <c r="Z30" s="50">
        <v>204.1303964</v>
      </c>
      <c r="AA30" s="50">
        <v>6.4304557290000002</v>
      </c>
      <c r="AB30" s="50">
        <v>0.1785409832</v>
      </c>
      <c r="AC30" s="4" t="str">
        <f t="shared" si="0"/>
        <v>Tipper</v>
      </c>
      <c r="AD30" s="4" t="str">
        <f t="shared" si="1"/>
        <v>Operational</v>
      </c>
      <c r="AE30" s="4" t="str">
        <f t="shared" si="3"/>
        <v>Individual</v>
      </c>
    </row>
    <row r="31" spans="1:31" ht="14" customHeight="1" x14ac:dyDescent="0.35">
      <c r="A31" s="3">
        <v>16</v>
      </c>
      <c r="B31" s="3" t="s">
        <v>32</v>
      </c>
      <c r="C31" s="3" t="s">
        <v>61</v>
      </c>
      <c r="D31" s="53">
        <v>720.00120000000004</v>
      </c>
      <c r="E31" s="49">
        <v>199.519599999999</v>
      </c>
      <c r="F31" s="49">
        <v>96.880999999999901</v>
      </c>
      <c r="G31" s="49">
        <v>85.807000000000002</v>
      </c>
      <c r="H31" s="49">
        <v>520.48159999999996</v>
      </c>
      <c r="I31" s="49">
        <v>5.0511999999999997</v>
      </c>
      <c r="J31" s="49">
        <v>102.6386</v>
      </c>
      <c r="K31" s="49">
        <v>6.4216999999999897</v>
      </c>
      <c r="L31" s="49">
        <v>85.807000000000002</v>
      </c>
      <c r="M31" s="49">
        <v>11.472899999999999</v>
      </c>
      <c r="N31" s="49">
        <v>97.279899999999998</v>
      </c>
      <c r="O31" s="57">
        <v>0.2771100937</v>
      </c>
      <c r="P31" s="57">
        <v>0.4300680234</v>
      </c>
      <c r="Q31" s="3">
        <v>127</v>
      </c>
      <c r="R31" s="49">
        <v>4701.93</v>
      </c>
      <c r="S31" s="49">
        <v>37.023070869999998</v>
      </c>
      <c r="T31" s="3">
        <v>9</v>
      </c>
      <c r="U31" s="3">
        <f t="shared" si="2"/>
        <v>117</v>
      </c>
      <c r="V31" s="3">
        <v>13</v>
      </c>
      <c r="W31" s="49">
        <v>1105.53</v>
      </c>
      <c r="X31" s="49">
        <v>11.364423690000001</v>
      </c>
      <c r="Y31" s="49">
        <v>975.14710349999996</v>
      </c>
      <c r="Z31" s="49">
        <v>130.38289649999999</v>
      </c>
      <c r="AA31" s="49">
        <v>8.1288970589999998</v>
      </c>
      <c r="AB31" s="49">
        <v>0.22941399849999999</v>
      </c>
      <c r="AC31" s="4" t="str">
        <f t="shared" si="0"/>
        <v>Tipper</v>
      </c>
      <c r="AD31" s="4" t="str">
        <f t="shared" si="1"/>
        <v>Operational</v>
      </c>
      <c r="AE31" s="4" t="str">
        <f t="shared" si="3"/>
        <v>Individual</v>
      </c>
    </row>
    <row r="32" spans="1:31" ht="14" customHeight="1" x14ac:dyDescent="0.35">
      <c r="A32" s="5">
        <v>17</v>
      </c>
      <c r="B32" s="5" t="s">
        <v>32</v>
      </c>
      <c r="C32" s="5" t="s">
        <v>62</v>
      </c>
      <c r="D32" s="54">
        <v>720.00209999999902</v>
      </c>
      <c r="E32" s="50">
        <v>550.31369999999902</v>
      </c>
      <c r="F32" s="50">
        <v>297.58359999999902</v>
      </c>
      <c r="G32" s="50">
        <v>295.08519999999902</v>
      </c>
      <c r="H32" s="50">
        <v>169.6884</v>
      </c>
      <c r="I32" s="50">
        <v>9.0687999999999995</v>
      </c>
      <c r="J32" s="50">
        <v>252.730099999999</v>
      </c>
      <c r="K32" s="50">
        <v>2.8765000000000001</v>
      </c>
      <c r="L32" s="50">
        <v>295.08519999999902</v>
      </c>
      <c r="M32" s="50">
        <v>11.9453</v>
      </c>
      <c r="N32" s="50">
        <v>307.03049999999899</v>
      </c>
      <c r="O32" s="58">
        <v>0.76432235410000005</v>
      </c>
      <c r="P32" s="58">
        <v>0.53621270919999997</v>
      </c>
      <c r="Q32" s="5">
        <v>642</v>
      </c>
      <c r="R32" s="50">
        <v>23810</v>
      </c>
      <c r="S32" s="50">
        <v>37.087227409999997</v>
      </c>
      <c r="T32" s="5">
        <v>22</v>
      </c>
      <c r="U32" s="5">
        <f t="shared" si="2"/>
        <v>286</v>
      </c>
      <c r="V32" s="5">
        <v>13</v>
      </c>
      <c r="W32" s="50">
        <v>4483.6499999999996</v>
      </c>
      <c r="X32" s="50">
        <v>14.603272309999999</v>
      </c>
      <c r="Y32" s="50">
        <v>4309.2095310000004</v>
      </c>
      <c r="Z32" s="50">
        <v>174.44046879999999</v>
      </c>
      <c r="AA32" s="50">
        <v>6.7524849400000004</v>
      </c>
      <c r="AB32" s="50">
        <v>0.18607445219999999</v>
      </c>
      <c r="AC32" s="4" t="str">
        <f t="shared" si="0"/>
        <v>Tipper</v>
      </c>
      <c r="AD32" s="4" t="str">
        <f t="shared" si="1"/>
        <v>Operational</v>
      </c>
      <c r="AE32" s="4" t="str">
        <f t="shared" si="3"/>
        <v>Individual</v>
      </c>
    </row>
    <row r="33" spans="1:31" ht="14" customHeight="1" x14ac:dyDescent="0.35">
      <c r="A33" s="3">
        <v>18</v>
      </c>
      <c r="B33" s="3" t="s">
        <v>32</v>
      </c>
      <c r="C33" s="3" t="s">
        <v>63</v>
      </c>
      <c r="D33" s="53">
        <v>720.00109999999995</v>
      </c>
      <c r="E33" s="49">
        <v>472.27719999999903</v>
      </c>
      <c r="F33" s="49">
        <v>209.32839999999899</v>
      </c>
      <c r="G33" s="49">
        <v>207.344999999999</v>
      </c>
      <c r="H33" s="49">
        <v>247.72389999999999</v>
      </c>
      <c r="I33" s="49">
        <v>6.1993</v>
      </c>
      <c r="J33" s="49">
        <v>262.94880000000001</v>
      </c>
      <c r="K33" s="49">
        <v>1.5024</v>
      </c>
      <c r="L33" s="49">
        <v>207.344999999999</v>
      </c>
      <c r="M33" s="49">
        <v>7.7016999999999998</v>
      </c>
      <c r="N33" s="49">
        <v>215.04669999999899</v>
      </c>
      <c r="O33" s="57">
        <v>0.65593955339999999</v>
      </c>
      <c r="P33" s="57">
        <v>0.43903241570000001</v>
      </c>
      <c r="Q33" s="3">
        <v>489</v>
      </c>
      <c r="R33" s="49">
        <v>18253.95</v>
      </c>
      <c r="S33" s="49">
        <v>37.329141100000001</v>
      </c>
      <c r="T33" s="3">
        <v>15</v>
      </c>
      <c r="U33" s="3">
        <f t="shared" si="2"/>
        <v>195</v>
      </c>
      <c r="V33" s="3">
        <v>13</v>
      </c>
      <c r="W33" s="49">
        <v>3161.41</v>
      </c>
      <c r="X33" s="49">
        <v>14.701039359999999</v>
      </c>
      <c r="Y33" s="49">
        <v>3048.1870050000002</v>
      </c>
      <c r="Z33" s="49">
        <v>113.2229948</v>
      </c>
      <c r="AA33" s="49">
        <v>6.2726388890000004</v>
      </c>
      <c r="AB33" s="49">
        <v>0.17135988769999999</v>
      </c>
      <c r="AC33" s="4" t="str">
        <f t="shared" si="0"/>
        <v>Tipper</v>
      </c>
      <c r="AD33" s="4" t="str">
        <f t="shared" si="1"/>
        <v>Operational</v>
      </c>
      <c r="AE33" s="4" t="str">
        <f t="shared" si="3"/>
        <v>Individual</v>
      </c>
    </row>
    <row r="34" spans="1:31" ht="14" customHeight="1" x14ac:dyDescent="0.35">
      <c r="A34" s="5">
        <v>19</v>
      </c>
      <c r="B34" s="5" t="s">
        <v>32</v>
      </c>
      <c r="C34" s="5" t="s">
        <v>64</v>
      </c>
      <c r="D34" s="54">
        <v>720.00099999999895</v>
      </c>
      <c r="E34" s="50">
        <v>451.60959999999898</v>
      </c>
      <c r="F34" s="50">
        <v>182.85659999999899</v>
      </c>
      <c r="G34" s="50">
        <v>180.706199999999</v>
      </c>
      <c r="H34" s="50">
        <v>268.39139999999998</v>
      </c>
      <c r="I34" s="50">
        <v>5.3211000000000004</v>
      </c>
      <c r="J34" s="50">
        <v>268.75299999999902</v>
      </c>
      <c r="K34" s="50">
        <v>2.1966999999999901</v>
      </c>
      <c r="L34" s="50">
        <v>180.706199999999</v>
      </c>
      <c r="M34" s="50">
        <v>7.5177999999999896</v>
      </c>
      <c r="N34" s="50">
        <v>188.22399999999899</v>
      </c>
      <c r="O34" s="58">
        <v>0.62723468439999996</v>
      </c>
      <c r="P34" s="58">
        <v>0.4001380839</v>
      </c>
      <c r="Q34" s="5">
        <v>407</v>
      </c>
      <c r="R34" s="50">
        <v>15170.49</v>
      </c>
      <c r="S34" s="50">
        <v>37.2739312</v>
      </c>
      <c r="T34" s="5">
        <v>15</v>
      </c>
      <c r="U34" s="5">
        <f t="shared" si="2"/>
        <v>195</v>
      </c>
      <c r="V34" s="5">
        <v>13</v>
      </c>
      <c r="W34" s="50">
        <v>3086.45</v>
      </c>
      <c r="X34" s="50">
        <v>16.397749489999999</v>
      </c>
      <c r="Y34" s="50">
        <v>2963.1749989999998</v>
      </c>
      <c r="Z34" s="50">
        <v>123.2750011</v>
      </c>
      <c r="AA34" s="50">
        <v>7.3138625590000004</v>
      </c>
      <c r="AB34" s="50">
        <v>0.2008689602</v>
      </c>
      <c r="AC34" s="4" t="str">
        <f t="shared" si="0"/>
        <v>Tipper</v>
      </c>
      <c r="AD34" s="4" t="str">
        <f t="shared" si="1"/>
        <v>Operational</v>
      </c>
      <c r="AE34" s="4" t="str">
        <f t="shared" si="3"/>
        <v>Individual</v>
      </c>
    </row>
    <row r="35" spans="1:31" ht="14" customHeight="1" x14ac:dyDescent="0.35">
      <c r="A35" s="3">
        <v>20</v>
      </c>
      <c r="B35" s="3" t="s">
        <v>32</v>
      </c>
      <c r="C35" s="3" t="s">
        <v>65</v>
      </c>
      <c r="D35" s="53">
        <v>720.00059999999996</v>
      </c>
      <c r="E35" s="49">
        <v>274.84829999999999</v>
      </c>
      <c r="F35" s="49">
        <v>146.2132</v>
      </c>
      <c r="G35" s="49">
        <v>142.88460000000001</v>
      </c>
      <c r="H35" s="49">
        <v>445.15230000000003</v>
      </c>
      <c r="I35" s="49">
        <v>7.9057000000000004</v>
      </c>
      <c r="J35" s="49">
        <v>128.63509999999999</v>
      </c>
      <c r="K35" s="49">
        <v>7.9470000000000001</v>
      </c>
      <c r="L35" s="49">
        <v>142.88460000000001</v>
      </c>
      <c r="M35" s="49">
        <v>15.8527</v>
      </c>
      <c r="N35" s="49">
        <v>158.7373</v>
      </c>
      <c r="O35" s="57">
        <v>0.38173343189999998</v>
      </c>
      <c r="P35" s="57">
        <v>0.5198671413</v>
      </c>
      <c r="Q35" s="3">
        <v>275</v>
      </c>
      <c r="R35" s="49">
        <v>10173.1</v>
      </c>
      <c r="S35" s="49">
        <v>36.993090909999999</v>
      </c>
      <c r="T35" s="3">
        <v>9</v>
      </c>
      <c r="U35" s="3">
        <f t="shared" si="2"/>
        <v>117</v>
      </c>
      <c r="V35" s="3">
        <v>13</v>
      </c>
      <c r="W35" s="49">
        <v>2101.69</v>
      </c>
      <c r="X35" s="49">
        <v>13.24005133</v>
      </c>
      <c r="Y35" s="49">
        <v>1891.799438</v>
      </c>
      <c r="Z35" s="49">
        <v>209.89056170000001</v>
      </c>
      <c r="AA35" s="49">
        <v>7.4003169010000001</v>
      </c>
      <c r="AB35" s="49">
        <v>0.20424388490000001</v>
      </c>
      <c r="AC35" s="4" t="str">
        <f t="shared" si="0"/>
        <v>Tipper</v>
      </c>
      <c r="AD35" s="4" t="str">
        <f t="shared" si="1"/>
        <v>Operational</v>
      </c>
      <c r="AE35" s="4" t="str">
        <f t="shared" si="3"/>
        <v>Individual</v>
      </c>
    </row>
    <row r="36" spans="1:31" ht="14" hidden="1" customHeight="1" x14ac:dyDescent="0.35">
      <c r="A36" s="5">
        <v>21</v>
      </c>
      <c r="B36" s="5" t="s">
        <v>32</v>
      </c>
      <c r="C36" s="5" t="s">
        <v>66</v>
      </c>
      <c r="D36" s="54">
        <v>720.00099999999998</v>
      </c>
      <c r="E36" s="50">
        <v>600.40159999999901</v>
      </c>
      <c r="F36" s="50">
        <v>213.85579999999999</v>
      </c>
      <c r="G36" s="50">
        <v>211.49249999999901</v>
      </c>
      <c r="H36" s="50">
        <v>119.59939999999899</v>
      </c>
      <c r="I36" s="50">
        <v>10.696999999999999</v>
      </c>
      <c r="J36" s="50">
        <v>386.54579999999999</v>
      </c>
      <c r="K36" s="50">
        <v>0.50819999999999999</v>
      </c>
      <c r="L36" s="50">
        <v>211.49249999999901</v>
      </c>
      <c r="M36" s="50">
        <v>11.2052</v>
      </c>
      <c r="N36" s="50">
        <v>222.697699999999</v>
      </c>
      <c r="O36" s="58">
        <v>0.83388995290000001</v>
      </c>
      <c r="P36" s="58">
        <v>0.3522517262</v>
      </c>
      <c r="Q36" s="5">
        <v>624</v>
      </c>
      <c r="R36" s="50">
        <v>23011.16</v>
      </c>
      <c r="S36" s="50">
        <v>36.876858970000001</v>
      </c>
      <c r="T36" s="5">
        <v>23</v>
      </c>
      <c r="U36" s="5">
        <f t="shared" si="2"/>
        <v>299</v>
      </c>
      <c r="V36" s="5">
        <v>13</v>
      </c>
      <c r="W36" s="50">
        <v>4066.2</v>
      </c>
      <c r="X36" s="50">
        <v>18.25883249</v>
      </c>
      <c r="Y36" s="50">
        <v>3861.6061301935301</v>
      </c>
      <c r="Z36" s="50">
        <v>204.59386979999999</v>
      </c>
      <c r="AA36" s="50">
        <v>6.2846986090000003</v>
      </c>
      <c r="AB36" s="50">
        <v>0.17443895710000001</v>
      </c>
      <c r="AC36" s="4" t="str">
        <f t="shared" si="0"/>
        <v>Tipper</v>
      </c>
      <c r="AD36" s="4" t="str">
        <f t="shared" si="1"/>
        <v>Operational</v>
      </c>
      <c r="AE36" s="4" t="str">
        <f t="shared" si="3"/>
        <v>Individual</v>
      </c>
    </row>
    <row r="37" spans="1:31" ht="14" customHeight="1" x14ac:dyDescent="0.35">
      <c r="A37" s="3">
        <v>22</v>
      </c>
      <c r="B37" s="3" t="s">
        <v>32</v>
      </c>
      <c r="C37" s="3" t="s">
        <v>67</v>
      </c>
      <c r="D37" s="53">
        <v>720.00059999999905</v>
      </c>
      <c r="E37" s="49">
        <v>184.99939999999901</v>
      </c>
      <c r="F37" s="49">
        <v>99.541700000000006</v>
      </c>
      <c r="G37" s="49">
        <v>98.343099999999893</v>
      </c>
      <c r="H37" s="49">
        <v>535.00119999999902</v>
      </c>
      <c r="I37" s="49">
        <v>3.9438</v>
      </c>
      <c r="J37" s="49">
        <v>85.457699999999903</v>
      </c>
      <c r="K37" s="49">
        <v>0.387599999999999</v>
      </c>
      <c r="L37" s="49">
        <v>98.343099999999893</v>
      </c>
      <c r="M37" s="49">
        <v>4.3314000000000004</v>
      </c>
      <c r="N37" s="49">
        <v>102.67449999999999</v>
      </c>
      <c r="O37" s="57">
        <v>0.25694339700000002</v>
      </c>
      <c r="P37" s="57">
        <v>0.53158604840000001</v>
      </c>
      <c r="Q37" s="3">
        <v>191</v>
      </c>
      <c r="R37" s="49">
        <v>7184.44</v>
      </c>
      <c r="S37" s="49">
        <v>37.614869110000001</v>
      </c>
      <c r="T37" s="3">
        <v>1</v>
      </c>
      <c r="U37" s="3">
        <f t="shared" si="2"/>
        <v>13</v>
      </c>
      <c r="V37" s="3">
        <v>13</v>
      </c>
      <c r="W37" s="49">
        <v>1199.3699999999999</v>
      </c>
      <c r="X37" s="49">
        <v>11.681284059999999</v>
      </c>
      <c r="Y37" s="49">
        <v>1148.773686</v>
      </c>
      <c r="Z37" s="49">
        <v>50.596313770000002</v>
      </c>
      <c r="AA37" s="49">
        <v>6.2467187500000003</v>
      </c>
      <c r="AB37" s="49">
        <v>0.1666384159</v>
      </c>
      <c r="AC37" s="4" t="str">
        <f t="shared" si="0"/>
        <v>Tipper</v>
      </c>
      <c r="AD37" s="4" t="str">
        <f t="shared" si="1"/>
        <v>Operational</v>
      </c>
      <c r="AE37" s="4" t="str">
        <f t="shared" si="3"/>
        <v>Individual</v>
      </c>
    </row>
    <row r="38" spans="1:31" ht="14" hidden="1" customHeight="1" x14ac:dyDescent="0.35">
      <c r="A38" s="5">
        <v>23</v>
      </c>
      <c r="B38" s="5" t="s">
        <v>32</v>
      </c>
      <c r="C38" s="5" t="s">
        <v>68</v>
      </c>
      <c r="D38" s="54">
        <v>720</v>
      </c>
      <c r="E38" s="50">
        <v>720</v>
      </c>
      <c r="F38" s="50">
        <v>720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0</v>
      </c>
      <c r="N38" s="50">
        <v>0</v>
      </c>
      <c r="O38" s="58">
        <v>1</v>
      </c>
      <c r="P38" s="58">
        <v>0</v>
      </c>
      <c r="Q38" s="5">
        <v>0</v>
      </c>
      <c r="R38" s="50">
        <v>0</v>
      </c>
      <c r="S38" s="50">
        <v>0</v>
      </c>
      <c r="T38" s="5">
        <v>0</v>
      </c>
      <c r="U38" s="5">
        <f t="shared" si="2"/>
        <v>0</v>
      </c>
      <c r="V38" s="5">
        <v>13</v>
      </c>
      <c r="W38" s="50">
        <v>0</v>
      </c>
      <c r="X38" s="50">
        <v>0</v>
      </c>
      <c r="Y38" s="50">
        <v>0</v>
      </c>
      <c r="Z38" s="50">
        <v>0</v>
      </c>
      <c r="AA38" s="50">
        <v>0</v>
      </c>
      <c r="AB38" s="50">
        <v>0</v>
      </c>
      <c r="AC38" s="4" t="str">
        <f t="shared" si="0"/>
        <v>Tipper</v>
      </c>
      <c r="AD38" s="4" t="str">
        <f t="shared" si="1"/>
        <v>Operational</v>
      </c>
      <c r="AE38" s="4" t="str">
        <f t="shared" si="3"/>
        <v>Individual</v>
      </c>
    </row>
    <row r="39" spans="1:31" ht="14" hidden="1" customHeight="1" x14ac:dyDescent="0.35">
      <c r="A39" s="3">
        <v>24</v>
      </c>
      <c r="B39" s="3" t="s">
        <v>32</v>
      </c>
      <c r="C39" s="3" t="s">
        <v>69</v>
      </c>
      <c r="D39" s="53">
        <v>720.00109999999995</v>
      </c>
      <c r="E39" s="49">
        <v>598.94939999999997</v>
      </c>
      <c r="F39" s="49">
        <v>208.81899999999999</v>
      </c>
      <c r="G39" s="49">
        <v>206.57939999999999</v>
      </c>
      <c r="H39" s="49">
        <v>121.0517</v>
      </c>
      <c r="I39" s="49">
        <v>5.71579999999999</v>
      </c>
      <c r="J39" s="49">
        <v>390.13040000000001</v>
      </c>
      <c r="K39" s="49">
        <v>4.9349999999999996</v>
      </c>
      <c r="L39" s="49">
        <v>206.57939999999999</v>
      </c>
      <c r="M39" s="49">
        <v>10.6508</v>
      </c>
      <c r="N39" s="49">
        <v>217.2302</v>
      </c>
      <c r="O39" s="57">
        <v>0.8318728957</v>
      </c>
      <c r="P39" s="57">
        <v>0.34490292500000003</v>
      </c>
      <c r="Q39" s="3">
        <v>431</v>
      </c>
      <c r="R39" s="49">
        <v>16107.53</v>
      </c>
      <c r="S39" s="49">
        <v>37.372459399999997</v>
      </c>
      <c r="T39" s="3">
        <v>24</v>
      </c>
      <c r="U39" s="3">
        <f t="shared" si="2"/>
        <v>312</v>
      </c>
      <c r="V39" s="3">
        <v>13</v>
      </c>
      <c r="W39" s="49">
        <v>3416.0699999999902</v>
      </c>
      <c r="X39" s="49">
        <v>15.72557591</v>
      </c>
      <c r="Y39" s="49">
        <v>3248.5800359999998</v>
      </c>
      <c r="Z39" s="49">
        <v>167.48996389999999</v>
      </c>
      <c r="AA39" s="49">
        <v>7.5078461540000001</v>
      </c>
      <c r="AB39" s="49">
        <v>0.2080491951</v>
      </c>
      <c r="AC39" s="4" t="str">
        <f t="shared" si="0"/>
        <v>Tipper</v>
      </c>
      <c r="AD39" s="4" t="str">
        <f t="shared" si="1"/>
        <v>Operational</v>
      </c>
      <c r="AE39" s="4" t="str">
        <f t="shared" si="3"/>
        <v>Individual</v>
      </c>
    </row>
    <row r="40" spans="1:31" ht="14" hidden="1" customHeight="1" x14ac:dyDescent="0.35">
      <c r="A40" s="5">
        <v>25</v>
      </c>
      <c r="B40" s="5" t="s">
        <v>32</v>
      </c>
      <c r="C40" s="5" t="s">
        <v>70</v>
      </c>
      <c r="D40" s="54">
        <v>716.2894</v>
      </c>
      <c r="E40" s="50">
        <v>657.18020000000001</v>
      </c>
      <c r="F40" s="50">
        <v>56.712800000000001</v>
      </c>
      <c r="G40" s="50">
        <v>55.707000000000001</v>
      </c>
      <c r="H40" s="50">
        <v>59.109200000000001</v>
      </c>
      <c r="I40" s="50">
        <v>2.2835999999999999</v>
      </c>
      <c r="J40" s="50">
        <v>600.4674</v>
      </c>
      <c r="K40" s="50">
        <v>0</v>
      </c>
      <c r="L40" s="50">
        <v>55.707000000000001</v>
      </c>
      <c r="M40" s="50">
        <v>2.2835999999999999</v>
      </c>
      <c r="N40" s="50">
        <v>57.990600000000001</v>
      </c>
      <c r="O40" s="58">
        <v>0.91747860569999995</v>
      </c>
      <c r="P40" s="58">
        <v>8.4766704799999995E-2</v>
      </c>
      <c r="Q40" s="5">
        <v>384</v>
      </c>
      <c r="R40" s="50">
        <v>14152.04</v>
      </c>
      <c r="S40" s="50">
        <v>36.854270829999997</v>
      </c>
      <c r="T40" s="5">
        <v>11</v>
      </c>
      <c r="U40" s="5">
        <f t="shared" si="2"/>
        <v>143</v>
      </c>
      <c r="V40" s="5">
        <v>13</v>
      </c>
      <c r="W40" s="50">
        <v>2683.18</v>
      </c>
      <c r="X40" s="50">
        <v>46.269222939999999</v>
      </c>
      <c r="Y40" s="50">
        <v>2577.5196019999998</v>
      </c>
      <c r="Z40" s="50">
        <v>105.6603975</v>
      </c>
      <c r="AA40" s="50">
        <v>6.7928607589999999</v>
      </c>
      <c r="AB40" s="50">
        <v>0.1877000694</v>
      </c>
      <c r="AC40" s="4" t="str">
        <f t="shared" si="0"/>
        <v>Tipper</v>
      </c>
      <c r="AD40" s="4" t="str">
        <f t="shared" si="1"/>
        <v>Operational</v>
      </c>
      <c r="AE40" s="4" t="str">
        <f t="shared" si="3"/>
        <v>Individual</v>
      </c>
    </row>
    <row r="41" spans="1:31" ht="14" customHeight="1" x14ac:dyDescent="0.35">
      <c r="A41" s="3">
        <v>26</v>
      </c>
      <c r="B41" s="3" t="s">
        <v>32</v>
      </c>
      <c r="C41" s="3" t="s">
        <v>71</v>
      </c>
      <c r="D41" s="53">
        <v>720.00069999999903</v>
      </c>
      <c r="E41" s="49">
        <v>549.39039999999898</v>
      </c>
      <c r="F41" s="49">
        <v>253.524699999999</v>
      </c>
      <c r="G41" s="49">
        <v>251.49359999999999</v>
      </c>
      <c r="H41" s="49">
        <v>170.6103</v>
      </c>
      <c r="I41" s="49">
        <v>11.197100000000001</v>
      </c>
      <c r="J41" s="49">
        <v>295.86569999999898</v>
      </c>
      <c r="K41" s="49">
        <v>7.9417999999999997</v>
      </c>
      <c r="L41" s="49">
        <v>251.49359999999999</v>
      </c>
      <c r="M41" s="49">
        <v>19.1389</v>
      </c>
      <c r="N41" s="49">
        <v>270.63249999999999</v>
      </c>
      <c r="O41" s="57">
        <v>0.76304148039999997</v>
      </c>
      <c r="P41" s="57">
        <v>0.4577684648</v>
      </c>
      <c r="Q41" s="3">
        <v>608</v>
      </c>
      <c r="R41" s="49">
        <v>22246.39</v>
      </c>
      <c r="S41" s="49">
        <v>36.589457240000002</v>
      </c>
      <c r="T41" s="3">
        <v>8</v>
      </c>
      <c r="U41" s="3">
        <f t="shared" si="2"/>
        <v>104</v>
      </c>
      <c r="V41" s="3">
        <v>13</v>
      </c>
      <c r="W41" s="49">
        <v>4020.74</v>
      </c>
      <c r="X41" s="49">
        <v>14.856826140000001</v>
      </c>
      <c r="Y41" s="49">
        <v>3736.3966902127399</v>
      </c>
      <c r="Z41" s="49">
        <v>284.34330979999999</v>
      </c>
      <c r="AA41" s="49">
        <v>6.527175325</v>
      </c>
      <c r="AB41" s="49">
        <v>0.17989574229999999</v>
      </c>
      <c r="AC41" s="4" t="str">
        <f t="shared" si="0"/>
        <v>Tipper</v>
      </c>
      <c r="AD41" s="4" t="str">
        <f t="shared" si="1"/>
        <v>Operational</v>
      </c>
      <c r="AE41" s="4" t="str">
        <f t="shared" si="3"/>
        <v>Individual</v>
      </c>
    </row>
    <row r="42" spans="1:31" ht="14" customHeight="1" x14ac:dyDescent="0.35">
      <c r="A42" s="5">
        <v>27</v>
      </c>
      <c r="B42" s="5" t="s">
        <v>32</v>
      </c>
      <c r="C42" s="5" t="s">
        <v>72</v>
      </c>
      <c r="D42" s="54">
        <v>720.001699999999</v>
      </c>
      <c r="E42" s="50">
        <v>592.23759999999902</v>
      </c>
      <c r="F42" s="50">
        <v>291.51699999999897</v>
      </c>
      <c r="G42" s="50">
        <v>288.62049999999903</v>
      </c>
      <c r="H42" s="50">
        <v>127.764099999999</v>
      </c>
      <c r="I42" s="50">
        <v>11.7051</v>
      </c>
      <c r="J42" s="50">
        <v>300.72059999999902</v>
      </c>
      <c r="K42" s="50">
        <v>8.1949000000000005</v>
      </c>
      <c r="L42" s="50">
        <v>288.62049999999903</v>
      </c>
      <c r="M42" s="50">
        <v>19.899999999999999</v>
      </c>
      <c r="N42" s="50">
        <v>308.520499999999</v>
      </c>
      <c r="O42" s="58">
        <v>0.82255028009999998</v>
      </c>
      <c r="P42" s="58">
        <v>0.48733903420000002</v>
      </c>
      <c r="Q42" s="5">
        <v>699</v>
      </c>
      <c r="R42" s="50">
        <v>25583.07</v>
      </c>
      <c r="S42" s="50">
        <v>36.599527899999998</v>
      </c>
      <c r="T42" s="5">
        <v>8</v>
      </c>
      <c r="U42" s="5">
        <f t="shared" si="2"/>
        <v>104</v>
      </c>
      <c r="V42" s="5">
        <v>13</v>
      </c>
      <c r="W42" s="50">
        <v>4567.8099999999904</v>
      </c>
      <c r="X42" s="50">
        <v>14.80553156</v>
      </c>
      <c r="Y42" s="50">
        <v>4273.1799220000003</v>
      </c>
      <c r="Z42" s="50">
        <v>294.63007809999999</v>
      </c>
      <c r="AA42" s="50">
        <v>6.4608345119999999</v>
      </c>
      <c r="AB42" s="50">
        <v>0.17782526379999999</v>
      </c>
      <c r="AC42" s="4" t="str">
        <f t="shared" si="0"/>
        <v>Tipper</v>
      </c>
      <c r="AD42" s="4" t="str">
        <f t="shared" si="1"/>
        <v>Operational</v>
      </c>
      <c r="AE42" s="4" t="str">
        <f t="shared" si="3"/>
        <v>Individual</v>
      </c>
    </row>
    <row r="43" spans="1:31" ht="14" customHeight="1" x14ac:dyDescent="0.35">
      <c r="A43" s="3">
        <v>28</v>
      </c>
      <c r="B43" s="3" t="s">
        <v>32</v>
      </c>
      <c r="C43" s="3" t="s">
        <v>73</v>
      </c>
      <c r="D43" s="53">
        <v>720.001699999999</v>
      </c>
      <c r="E43" s="49">
        <v>572.86410000000001</v>
      </c>
      <c r="F43" s="49">
        <v>292.70549999999997</v>
      </c>
      <c r="G43" s="49">
        <v>289.779099999999</v>
      </c>
      <c r="H43" s="49">
        <v>147.13759999999999</v>
      </c>
      <c r="I43" s="49">
        <v>7.4080999999999904</v>
      </c>
      <c r="J43" s="49">
        <v>280.15859999999998</v>
      </c>
      <c r="K43" s="49">
        <v>3.6444999999999999</v>
      </c>
      <c r="L43" s="49">
        <v>289.779099999999</v>
      </c>
      <c r="M43" s="49">
        <v>11.052599999999901</v>
      </c>
      <c r="N43" s="49">
        <v>300.83169999999899</v>
      </c>
      <c r="O43" s="57">
        <v>0.79564270469999998</v>
      </c>
      <c r="P43" s="57">
        <v>0.50584265969999997</v>
      </c>
      <c r="Q43" s="3">
        <v>646</v>
      </c>
      <c r="R43" s="49">
        <v>23881.17</v>
      </c>
      <c r="S43" s="49">
        <v>36.967755420000003</v>
      </c>
      <c r="T43" s="3">
        <v>7</v>
      </c>
      <c r="U43" s="3">
        <f t="shared" si="2"/>
        <v>91</v>
      </c>
      <c r="V43" s="3">
        <v>13</v>
      </c>
      <c r="W43" s="49">
        <v>4128.04</v>
      </c>
      <c r="X43" s="49">
        <v>13.72209112</v>
      </c>
      <c r="Y43" s="49">
        <v>3976.3752159999999</v>
      </c>
      <c r="Z43" s="49">
        <v>151.66478430000001</v>
      </c>
      <c r="AA43" s="49">
        <v>6.3216539049999998</v>
      </c>
      <c r="AB43" s="49">
        <v>0.17220134849999999</v>
      </c>
      <c r="AC43" s="4" t="str">
        <f t="shared" si="0"/>
        <v>Tipper</v>
      </c>
      <c r="AD43" s="4" t="str">
        <f t="shared" si="1"/>
        <v>Operational</v>
      </c>
      <c r="AE43" s="4" t="str">
        <f t="shared" si="3"/>
        <v>Individual</v>
      </c>
    </row>
    <row r="44" spans="1:31" ht="14" customHeight="1" x14ac:dyDescent="0.35">
      <c r="A44" s="5">
        <v>29</v>
      </c>
      <c r="B44" s="5" t="s">
        <v>32</v>
      </c>
      <c r="C44" s="5" t="s">
        <v>74</v>
      </c>
      <c r="D44" s="54">
        <v>717.872199999999</v>
      </c>
      <c r="E44" s="50">
        <v>616.73129999999901</v>
      </c>
      <c r="F44" s="50">
        <v>326.97919999999903</v>
      </c>
      <c r="G44" s="50">
        <v>313.95030000000003</v>
      </c>
      <c r="H44" s="50">
        <v>101.1409</v>
      </c>
      <c r="I44" s="50">
        <v>6.9806999999999899</v>
      </c>
      <c r="J44" s="50">
        <v>289.75209999999902</v>
      </c>
      <c r="K44" s="50">
        <v>5.8646000000000003</v>
      </c>
      <c r="L44" s="50">
        <v>313.95030000000003</v>
      </c>
      <c r="M44" s="50">
        <v>12.8452999999999</v>
      </c>
      <c r="N44" s="50">
        <v>326.79559999999998</v>
      </c>
      <c r="O44" s="58">
        <v>0.8591101592</v>
      </c>
      <c r="P44" s="58">
        <v>0.50905524010000003</v>
      </c>
      <c r="Q44" s="5">
        <v>546</v>
      </c>
      <c r="R44" s="50">
        <v>20184.75</v>
      </c>
      <c r="S44" s="50">
        <v>36.968406590000001</v>
      </c>
      <c r="T44" s="5">
        <v>19</v>
      </c>
      <c r="U44" s="5">
        <f t="shared" si="2"/>
        <v>247</v>
      </c>
      <c r="V44" s="5">
        <v>13</v>
      </c>
      <c r="W44" s="50">
        <v>3844.84</v>
      </c>
      <c r="X44" s="50">
        <v>11.76527469</v>
      </c>
      <c r="Y44" s="50">
        <v>3693.7115170000002</v>
      </c>
      <c r="Z44" s="50">
        <v>151.12848289999999</v>
      </c>
      <c r="AA44" s="50">
        <v>6.8050265489999999</v>
      </c>
      <c r="AB44" s="50">
        <v>0.18817967129999999</v>
      </c>
      <c r="AC44" s="4" t="str">
        <f t="shared" si="0"/>
        <v>Tipper</v>
      </c>
      <c r="AD44" s="4" t="str">
        <f t="shared" si="1"/>
        <v>Operational</v>
      </c>
      <c r="AE44" s="4" t="str">
        <f t="shared" si="3"/>
        <v>Individual</v>
      </c>
    </row>
    <row r="45" spans="1:31" ht="14" customHeight="1" x14ac:dyDescent="0.35">
      <c r="A45" s="3">
        <v>30</v>
      </c>
      <c r="B45" s="3" t="s">
        <v>32</v>
      </c>
      <c r="C45" s="3" t="s">
        <v>75</v>
      </c>
      <c r="D45" s="53">
        <v>720.00209999999902</v>
      </c>
      <c r="E45" s="49">
        <v>587.37549999999896</v>
      </c>
      <c r="F45" s="49">
        <v>279.16879999999998</v>
      </c>
      <c r="G45" s="49">
        <v>274.9556</v>
      </c>
      <c r="H45" s="49">
        <v>132.6266</v>
      </c>
      <c r="I45" s="49">
        <v>7.9543999999999997</v>
      </c>
      <c r="J45" s="49">
        <v>308.20669999999899</v>
      </c>
      <c r="K45" s="49">
        <v>2.4036</v>
      </c>
      <c r="L45" s="49">
        <v>274.9556</v>
      </c>
      <c r="M45" s="49">
        <v>10.358000000000001</v>
      </c>
      <c r="N45" s="49">
        <v>285.31360000000001</v>
      </c>
      <c r="O45" s="57">
        <v>0.81579692609999999</v>
      </c>
      <c r="P45" s="57">
        <v>0.46810873110000001</v>
      </c>
      <c r="Q45" s="3">
        <v>678</v>
      </c>
      <c r="R45" s="49">
        <v>24658.43</v>
      </c>
      <c r="S45" s="49">
        <v>36.369365780000003</v>
      </c>
      <c r="T45" s="3">
        <v>16</v>
      </c>
      <c r="U45" s="3">
        <f t="shared" si="2"/>
        <v>208</v>
      </c>
      <c r="V45" s="3">
        <v>13</v>
      </c>
      <c r="W45" s="49">
        <v>4084.74999999999</v>
      </c>
      <c r="X45" s="49">
        <v>14.31670274</v>
      </c>
      <c r="Y45" s="49">
        <v>3936.4575930000001</v>
      </c>
      <c r="Z45" s="49">
        <v>148.292407</v>
      </c>
      <c r="AA45" s="49">
        <v>5.8858069159999999</v>
      </c>
      <c r="AB45" s="49">
        <v>0.1642676492</v>
      </c>
      <c r="AC45" s="4" t="str">
        <f t="shared" si="0"/>
        <v>Tipper</v>
      </c>
      <c r="AD45" s="4" t="str">
        <f t="shared" si="1"/>
        <v>Operational</v>
      </c>
      <c r="AE45" s="4" t="str">
        <f t="shared" si="3"/>
        <v>Individual</v>
      </c>
    </row>
    <row r="46" spans="1:31" ht="14" hidden="1" customHeight="1" x14ac:dyDescent="0.35">
      <c r="A46" s="5">
        <v>31</v>
      </c>
      <c r="B46" s="5" t="s">
        <v>32</v>
      </c>
      <c r="C46" s="5" t="s">
        <v>76</v>
      </c>
      <c r="D46" s="54">
        <v>720.00099999999998</v>
      </c>
      <c r="E46" s="50">
        <v>462.91739999999999</v>
      </c>
      <c r="F46" s="50">
        <v>176.98259999999999</v>
      </c>
      <c r="G46" s="50">
        <v>173.47219999999999</v>
      </c>
      <c r="H46" s="50">
        <v>257.08359999999999</v>
      </c>
      <c r="I46" s="50">
        <v>10.1624</v>
      </c>
      <c r="J46" s="50">
        <v>285.93479999999897</v>
      </c>
      <c r="K46" s="50">
        <v>23.584599999999998</v>
      </c>
      <c r="L46" s="50">
        <v>173.47219999999999</v>
      </c>
      <c r="M46" s="50">
        <v>33.747</v>
      </c>
      <c r="N46" s="50">
        <v>207.2192</v>
      </c>
      <c r="O46" s="58">
        <v>0.64293994040000002</v>
      </c>
      <c r="P46" s="58">
        <v>0.37473683209999997</v>
      </c>
      <c r="Q46" s="5">
        <v>425</v>
      </c>
      <c r="R46" s="50">
        <v>15758.49</v>
      </c>
      <c r="S46" s="50">
        <v>37.078800000000001</v>
      </c>
      <c r="T46" s="5">
        <v>9</v>
      </c>
      <c r="U46" s="5">
        <f t="shared" si="2"/>
        <v>117</v>
      </c>
      <c r="V46" s="5">
        <v>13</v>
      </c>
      <c r="W46" s="50">
        <v>2906.7</v>
      </c>
      <c r="X46" s="50">
        <v>14.02717509</v>
      </c>
      <c r="Y46" s="50">
        <v>2433.3249219999998</v>
      </c>
      <c r="Z46" s="50">
        <v>473.37507770000002</v>
      </c>
      <c r="AA46" s="50">
        <v>6.697465438</v>
      </c>
      <c r="AB46" s="50">
        <v>0.1830935612</v>
      </c>
      <c r="AC46" s="4" t="str">
        <f t="shared" si="0"/>
        <v>Tipper</v>
      </c>
      <c r="AD46" s="4" t="str">
        <f t="shared" si="1"/>
        <v>Operational</v>
      </c>
      <c r="AE46" s="4" t="str">
        <f t="shared" si="3"/>
        <v>Individual</v>
      </c>
    </row>
    <row r="47" spans="1:31" ht="14" customHeight="1" x14ac:dyDescent="0.35">
      <c r="A47" s="3">
        <v>32</v>
      </c>
      <c r="B47" s="3" t="s">
        <v>32</v>
      </c>
      <c r="C47" s="3" t="s">
        <v>77</v>
      </c>
      <c r="D47" s="53">
        <v>720.000799999999</v>
      </c>
      <c r="E47" s="49">
        <v>139.3167</v>
      </c>
      <c r="F47" s="49">
        <v>76.471999999999994</v>
      </c>
      <c r="G47" s="49">
        <v>75.177000000000007</v>
      </c>
      <c r="H47" s="49">
        <v>580.68409999999994</v>
      </c>
      <c r="I47" s="49">
        <v>2.5979999999999999</v>
      </c>
      <c r="J47" s="49">
        <v>62.844700000000003</v>
      </c>
      <c r="K47" s="49">
        <v>1.5333000000000001</v>
      </c>
      <c r="L47" s="49">
        <v>75.177000000000007</v>
      </c>
      <c r="M47" s="49">
        <v>4.1313000000000004</v>
      </c>
      <c r="N47" s="49">
        <v>79.308300000000003</v>
      </c>
      <c r="O47" s="57">
        <v>0.19349520170000001</v>
      </c>
      <c r="P47" s="57">
        <v>0.53961226470000001</v>
      </c>
      <c r="Q47" s="3">
        <v>109</v>
      </c>
      <c r="R47" s="49">
        <v>4042.16</v>
      </c>
      <c r="S47" s="49">
        <v>37.084036699999999</v>
      </c>
      <c r="T47" s="3">
        <v>5</v>
      </c>
      <c r="U47" s="3">
        <f t="shared" si="2"/>
        <v>65</v>
      </c>
      <c r="V47" s="3">
        <v>13</v>
      </c>
      <c r="W47" s="49">
        <v>828</v>
      </c>
      <c r="X47" s="49">
        <v>10.44026918</v>
      </c>
      <c r="Y47" s="49">
        <v>784.86811590000002</v>
      </c>
      <c r="Z47" s="49">
        <v>43.131884049999996</v>
      </c>
      <c r="AA47" s="49">
        <v>7.263157895</v>
      </c>
      <c r="AB47" s="49">
        <v>0.20159915849999999</v>
      </c>
      <c r="AC47" s="4" t="str">
        <f t="shared" si="0"/>
        <v>Tipper</v>
      </c>
      <c r="AD47" s="4" t="str">
        <f t="shared" si="1"/>
        <v>Operational</v>
      </c>
      <c r="AE47" s="4" t="str">
        <f t="shared" si="3"/>
        <v>Individual</v>
      </c>
    </row>
    <row r="48" spans="1:31" ht="14" customHeight="1" x14ac:dyDescent="0.35">
      <c r="A48" s="5">
        <v>33</v>
      </c>
      <c r="B48" s="5" t="s">
        <v>32</v>
      </c>
      <c r="C48" s="5" t="s">
        <v>78</v>
      </c>
      <c r="D48" s="54">
        <v>720.00279999999998</v>
      </c>
      <c r="E48" s="50">
        <v>517.69920000000002</v>
      </c>
      <c r="F48" s="50">
        <v>218.267799999999</v>
      </c>
      <c r="G48" s="50">
        <v>213.0866</v>
      </c>
      <c r="H48" s="50">
        <v>202.30359999999999</v>
      </c>
      <c r="I48" s="50">
        <v>12.4354999999999</v>
      </c>
      <c r="J48" s="50">
        <v>299.4314</v>
      </c>
      <c r="K48" s="50">
        <v>19.192900000000002</v>
      </c>
      <c r="L48" s="50">
        <v>213.0866</v>
      </c>
      <c r="M48" s="50">
        <v>31.628399999999999</v>
      </c>
      <c r="N48" s="50">
        <v>244.715</v>
      </c>
      <c r="O48" s="58">
        <v>0.71902387050000005</v>
      </c>
      <c r="P48" s="58">
        <v>0.41160310849999998</v>
      </c>
      <c r="Q48" s="5">
        <v>172</v>
      </c>
      <c r="R48" s="50">
        <v>3721.15</v>
      </c>
      <c r="S48" s="50">
        <v>21.634593020000001</v>
      </c>
      <c r="T48" s="5">
        <v>49</v>
      </c>
      <c r="U48" s="5">
        <f t="shared" si="2"/>
        <v>637</v>
      </c>
      <c r="V48" s="5">
        <v>13</v>
      </c>
      <c r="W48" s="50">
        <v>1981.69999999999</v>
      </c>
      <c r="X48" s="50">
        <v>8.0979915410000007</v>
      </c>
      <c r="Y48" s="50">
        <v>1725.573484</v>
      </c>
      <c r="Z48" s="50">
        <v>256.12651570000003</v>
      </c>
      <c r="AA48" s="50">
        <v>8.9669683259999999</v>
      </c>
      <c r="AB48" s="50">
        <v>0.45471128799999999</v>
      </c>
      <c r="AC48" s="4" t="str">
        <f t="shared" si="0"/>
        <v>Tipper</v>
      </c>
      <c r="AD48" s="4" t="str">
        <f t="shared" si="1"/>
        <v>Operational</v>
      </c>
      <c r="AE48" s="4" t="str">
        <f t="shared" si="3"/>
        <v>Individual</v>
      </c>
    </row>
    <row r="49" spans="1:31" ht="14" customHeight="1" x14ac:dyDescent="0.35">
      <c r="A49" s="3">
        <v>34</v>
      </c>
      <c r="B49" s="3" t="s">
        <v>32</v>
      </c>
      <c r="C49" s="3" t="s">
        <v>79</v>
      </c>
      <c r="D49" s="53">
        <v>720.00329999999894</v>
      </c>
      <c r="E49" s="49">
        <v>567.42469999999901</v>
      </c>
      <c r="F49" s="49">
        <v>312.48319999999899</v>
      </c>
      <c r="G49" s="49">
        <v>308.123099999999</v>
      </c>
      <c r="H49" s="49">
        <v>152.57859999999999</v>
      </c>
      <c r="I49" s="49">
        <v>9.5143000000000004</v>
      </c>
      <c r="J49" s="49">
        <v>254.941499999999</v>
      </c>
      <c r="K49" s="49">
        <v>6.4199000000000002</v>
      </c>
      <c r="L49" s="49">
        <v>308.123099999999</v>
      </c>
      <c r="M49" s="49">
        <v>15.934200000000001</v>
      </c>
      <c r="N49" s="49">
        <v>324.05729999999897</v>
      </c>
      <c r="O49" s="57">
        <v>0.78808624900000002</v>
      </c>
      <c r="P49" s="57">
        <v>0.54302024569999996</v>
      </c>
      <c r="Q49" s="3">
        <v>651</v>
      </c>
      <c r="R49" s="49">
        <v>24103.43</v>
      </c>
      <c r="S49" s="49">
        <v>37.025238100000003</v>
      </c>
      <c r="T49" s="3">
        <v>16</v>
      </c>
      <c r="U49" s="3">
        <f t="shared" si="2"/>
        <v>208</v>
      </c>
      <c r="V49" s="3">
        <v>13</v>
      </c>
      <c r="W49" s="49">
        <v>4387.28</v>
      </c>
      <c r="X49" s="49">
        <v>13.538593329999999</v>
      </c>
      <c r="Y49" s="49">
        <v>4171.5533459999997</v>
      </c>
      <c r="Z49" s="49">
        <v>215.72665380000001</v>
      </c>
      <c r="AA49" s="49">
        <v>6.5776311840000004</v>
      </c>
      <c r="AB49" s="49">
        <v>0.18046161829999999</v>
      </c>
      <c r="AC49" s="4" t="str">
        <f t="shared" si="0"/>
        <v>Tipper</v>
      </c>
      <c r="AD49" s="4" t="str">
        <f t="shared" si="1"/>
        <v>Operational</v>
      </c>
      <c r="AE49" s="4" t="str">
        <f t="shared" si="3"/>
        <v>Individual</v>
      </c>
    </row>
    <row r="50" spans="1:31" ht="14" hidden="1" customHeight="1" x14ac:dyDescent="0.35">
      <c r="A50" s="5">
        <v>35</v>
      </c>
      <c r="B50" s="5" t="s">
        <v>32</v>
      </c>
      <c r="C50" s="5" t="s">
        <v>80</v>
      </c>
      <c r="D50" s="54">
        <v>720.00019999999995</v>
      </c>
      <c r="E50" s="50">
        <v>626.212299999999</v>
      </c>
      <c r="F50" s="50">
        <v>175.98169999999999</v>
      </c>
      <c r="G50" s="50">
        <v>173.48779999999999</v>
      </c>
      <c r="H50" s="50">
        <v>93.787899999999993</v>
      </c>
      <c r="I50" s="50">
        <v>9.1209000000000007</v>
      </c>
      <c r="J50" s="50">
        <v>450.23059999999901</v>
      </c>
      <c r="K50" s="50">
        <v>9.4271999999999991</v>
      </c>
      <c r="L50" s="50">
        <v>173.48779999999999</v>
      </c>
      <c r="M50" s="50">
        <v>18.548100000000002</v>
      </c>
      <c r="N50" s="50">
        <v>192.0359</v>
      </c>
      <c r="O50" s="58">
        <v>0.86973906400000001</v>
      </c>
      <c r="P50" s="58">
        <v>0.27704310500000001</v>
      </c>
      <c r="Q50" s="5">
        <v>651</v>
      </c>
      <c r="R50" s="50">
        <v>24039.4</v>
      </c>
      <c r="S50" s="50">
        <v>36.926881719999997</v>
      </c>
      <c r="T50" s="5">
        <v>19</v>
      </c>
      <c r="U50" s="5">
        <f t="shared" si="2"/>
        <v>247</v>
      </c>
      <c r="V50" s="5">
        <v>13</v>
      </c>
      <c r="W50" s="50">
        <v>4786.08</v>
      </c>
      <c r="X50" s="50">
        <v>24.92283995</v>
      </c>
      <c r="Y50" s="50">
        <v>4323.8086720000001</v>
      </c>
      <c r="Z50" s="50">
        <v>462.27132760000001</v>
      </c>
      <c r="AA50" s="50">
        <v>7.1434029849999998</v>
      </c>
      <c r="AB50" s="50">
        <v>0.1970683181</v>
      </c>
      <c r="AC50" s="4" t="str">
        <f t="shared" si="0"/>
        <v>Tipper</v>
      </c>
      <c r="AD50" s="4" t="str">
        <f t="shared" si="1"/>
        <v>Operational</v>
      </c>
      <c r="AE50" s="4" t="str">
        <f t="shared" si="3"/>
        <v>Individual</v>
      </c>
    </row>
    <row r="51" spans="1:31" ht="14" hidden="1" customHeight="1" x14ac:dyDescent="0.35">
      <c r="A51" s="3">
        <v>36</v>
      </c>
      <c r="B51" s="3" t="s">
        <v>32</v>
      </c>
      <c r="C51" s="3" t="s">
        <v>81</v>
      </c>
      <c r="D51" s="53">
        <v>720.00089999999898</v>
      </c>
      <c r="E51" s="49">
        <v>443.94739999999899</v>
      </c>
      <c r="F51" s="49">
        <v>160.58439999999999</v>
      </c>
      <c r="G51" s="49">
        <v>158.71789999999999</v>
      </c>
      <c r="H51" s="49">
        <v>276.05349999999999</v>
      </c>
      <c r="I51" s="49">
        <v>3.5969999999999902</v>
      </c>
      <c r="J51" s="49">
        <v>283.36299999999898</v>
      </c>
      <c r="K51" s="49">
        <v>1.7755000000000001</v>
      </c>
      <c r="L51" s="49">
        <v>158.71789999999999</v>
      </c>
      <c r="M51" s="49">
        <v>5.3724999999999996</v>
      </c>
      <c r="N51" s="49">
        <v>164.09039999999999</v>
      </c>
      <c r="O51" s="57">
        <v>0.61659284039999995</v>
      </c>
      <c r="P51" s="57">
        <v>0.35751510199999997</v>
      </c>
      <c r="Q51" s="3">
        <v>426</v>
      </c>
      <c r="R51" s="49">
        <v>15793.92</v>
      </c>
      <c r="S51" s="49">
        <v>37.074929580000003</v>
      </c>
      <c r="T51" s="3">
        <v>12</v>
      </c>
      <c r="U51" s="3">
        <f t="shared" si="2"/>
        <v>156</v>
      </c>
      <c r="V51" s="3">
        <v>13</v>
      </c>
      <c r="W51" s="49">
        <v>2953.3299999999899</v>
      </c>
      <c r="X51" s="49">
        <v>17.998188800000001</v>
      </c>
      <c r="Y51" s="49">
        <v>2856.6347310000001</v>
      </c>
      <c r="Z51" s="49">
        <v>96.695269350000004</v>
      </c>
      <c r="AA51" s="49">
        <v>6.7427625569999998</v>
      </c>
      <c r="AB51" s="49">
        <v>0.18516268420000001</v>
      </c>
      <c r="AC51" s="4" t="str">
        <f t="shared" si="0"/>
        <v>Tipper</v>
      </c>
      <c r="AD51" s="4" t="str">
        <f t="shared" si="1"/>
        <v>Operational</v>
      </c>
      <c r="AE51" s="4" t="str">
        <f t="shared" si="3"/>
        <v>Individual</v>
      </c>
    </row>
    <row r="52" spans="1:31" ht="14" customHeight="1" x14ac:dyDescent="0.35">
      <c r="A52" s="5">
        <v>37</v>
      </c>
      <c r="B52" s="5" t="s">
        <v>32</v>
      </c>
      <c r="C52" s="5" t="s">
        <v>82</v>
      </c>
      <c r="D52" s="54">
        <v>720.00159999999903</v>
      </c>
      <c r="E52" s="50">
        <v>543.92229999999904</v>
      </c>
      <c r="F52" s="50">
        <v>278.56369999999902</v>
      </c>
      <c r="G52" s="50">
        <v>275.89969999999897</v>
      </c>
      <c r="H52" s="50">
        <v>176.07929999999999</v>
      </c>
      <c r="I52" s="50">
        <v>12.3329</v>
      </c>
      <c r="J52" s="50">
        <v>265.358599999999</v>
      </c>
      <c r="K52" s="50">
        <v>28.263100000000001</v>
      </c>
      <c r="L52" s="50">
        <v>275.89969999999897</v>
      </c>
      <c r="M52" s="50">
        <v>40.595999999999997</v>
      </c>
      <c r="N52" s="50">
        <v>316.49569999999898</v>
      </c>
      <c r="O52" s="58">
        <v>0.75544596009999998</v>
      </c>
      <c r="P52" s="58">
        <v>0.50724101590000004</v>
      </c>
      <c r="Q52" s="5">
        <v>529</v>
      </c>
      <c r="R52" s="50">
        <v>19665.82</v>
      </c>
      <c r="S52" s="50">
        <v>37.175463139999998</v>
      </c>
      <c r="T52" s="5">
        <v>12</v>
      </c>
      <c r="U52" s="5">
        <f t="shared" si="2"/>
        <v>156</v>
      </c>
      <c r="V52" s="5">
        <v>13</v>
      </c>
      <c r="W52" s="50">
        <v>4273.24</v>
      </c>
      <c r="X52" s="50">
        <v>13.501731619999999</v>
      </c>
      <c r="Y52" s="50">
        <v>3725.1237030000002</v>
      </c>
      <c r="Z52" s="50">
        <v>548.11629679999999</v>
      </c>
      <c r="AA52" s="50">
        <v>7.8987800369999999</v>
      </c>
      <c r="AB52" s="50">
        <v>0.21558262559999999</v>
      </c>
      <c r="AC52" s="4" t="str">
        <f t="shared" si="0"/>
        <v>Tipper</v>
      </c>
      <c r="AD52" s="4" t="str">
        <f t="shared" si="1"/>
        <v>Operational</v>
      </c>
      <c r="AE52" s="4" t="str">
        <f t="shared" si="3"/>
        <v>Individual</v>
      </c>
    </row>
    <row r="53" spans="1:31" ht="14" customHeight="1" x14ac:dyDescent="0.35">
      <c r="A53" s="3">
        <v>38</v>
      </c>
      <c r="B53" s="3" t="s">
        <v>32</v>
      </c>
      <c r="C53" s="3" t="s">
        <v>83</v>
      </c>
      <c r="D53" s="53">
        <v>720.00130000000001</v>
      </c>
      <c r="E53" s="49">
        <v>226.03790000000001</v>
      </c>
      <c r="F53" s="49">
        <v>108.9923</v>
      </c>
      <c r="G53" s="49">
        <v>107.607699999999</v>
      </c>
      <c r="H53" s="49">
        <v>493.96339999999998</v>
      </c>
      <c r="I53" s="49">
        <v>8.0510000000000002</v>
      </c>
      <c r="J53" s="49">
        <v>117.04559999999999</v>
      </c>
      <c r="K53" s="49">
        <v>3.6478000000000002</v>
      </c>
      <c r="L53" s="49">
        <v>107.607699999999</v>
      </c>
      <c r="M53" s="49">
        <v>11.6988</v>
      </c>
      <c r="N53" s="49">
        <v>119.30649999999901</v>
      </c>
      <c r="O53" s="57">
        <v>0.31394096090000001</v>
      </c>
      <c r="P53" s="57">
        <v>0.47606043059999997</v>
      </c>
      <c r="Q53" s="3">
        <v>190</v>
      </c>
      <c r="R53" s="49">
        <v>7076.13</v>
      </c>
      <c r="S53" s="49">
        <v>37.242789469999998</v>
      </c>
      <c r="T53" s="3">
        <v>14</v>
      </c>
      <c r="U53" s="3">
        <f t="shared" si="2"/>
        <v>182</v>
      </c>
      <c r="V53" s="3">
        <v>13</v>
      </c>
      <c r="W53" s="49">
        <v>1368.87</v>
      </c>
      <c r="X53" s="49">
        <v>11.473557599999999</v>
      </c>
      <c r="Y53" s="49">
        <v>1234.6431439999999</v>
      </c>
      <c r="Z53" s="49">
        <v>134.22685569999999</v>
      </c>
      <c r="AA53" s="49">
        <v>6.7101470589999996</v>
      </c>
      <c r="AB53" s="49">
        <v>0.18859816509999999</v>
      </c>
      <c r="AC53" s="4" t="str">
        <f t="shared" si="0"/>
        <v>Tipper</v>
      </c>
      <c r="AD53" s="4" t="str">
        <f t="shared" si="1"/>
        <v>Operational</v>
      </c>
      <c r="AE53" s="4" t="str">
        <f t="shared" si="3"/>
        <v>Individual</v>
      </c>
    </row>
    <row r="54" spans="1:31" ht="14" customHeight="1" x14ac:dyDescent="0.35">
      <c r="A54" s="5">
        <v>39</v>
      </c>
      <c r="B54" s="5" t="s">
        <v>32</v>
      </c>
      <c r="C54" s="5" t="s">
        <v>84</v>
      </c>
      <c r="D54" s="54">
        <v>720.00209999999902</v>
      </c>
      <c r="E54" s="50">
        <v>673.50969999999904</v>
      </c>
      <c r="F54" s="50">
        <v>316.02739999999898</v>
      </c>
      <c r="G54" s="50">
        <v>311.98039999999997</v>
      </c>
      <c r="H54" s="50">
        <v>46.492399999999897</v>
      </c>
      <c r="I54" s="50">
        <v>12.193599999999901</v>
      </c>
      <c r="J54" s="50">
        <v>357.48229999999899</v>
      </c>
      <c r="K54" s="50">
        <v>6.5000999999999998</v>
      </c>
      <c r="L54" s="50">
        <v>311.98039999999997</v>
      </c>
      <c r="M54" s="50">
        <v>18.6936999999999</v>
      </c>
      <c r="N54" s="50">
        <v>330.67410000000001</v>
      </c>
      <c r="O54" s="58">
        <v>0.93542741060000001</v>
      </c>
      <c r="P54" s="58">
        <v>0.46321589730000001</v>
      </c>
      <c r="Q54" s="5">
        <v>715</v>
      </c>
      <c r="R54" s="50">
        <v>26475.62</v>
      </c>
      <c r="S54" s="50">
        <v>37.028839159999997</v>
      </c>
      <c r="T54" s="5">
        <v>15</v>
      </c>
      <c r="U54" s="5">
        <f t="shared" si="2"/>
        <v>195</v>
      </c>
      <c r="V54" s="5">
        <v>13</v>
      </c>
      <c r="W54" s="50">
        <v>4868.6000000000004</v>
      </c>
      <c r="X54" s="50">
        <v>14.72325773</v>
      </c>
      <c r="Y54" s="50">
        <v>4593.3678369999998</v>
      </c>
      <c r="Z54" s="50">
        <v>275.23216309999998</v>
      </c>
      <c r="AA54" s="50">
        <v>6.6693150680000004</v>
      </c>
      <c r="AB54" s="50">
        <v>0.1825454376</v>
      </c>
      <c r="AC54" s="4" t="str">
        <f t="shared" si="0"/>
        <v>Tipper</v>
      </c>
      <c r="AD54" s="4" t="str">
        <f t="shared" si="1"/>
        <v>Operational</v>
      </c>
      <c r="AE54" s="4" t="str">
        <f t="shared" si="3"/>
        <v>Individual</v>
      </c>
    </row>
    <row r="55" spans="1:31" ht="14" customHeight="1" x14ac:dyDescent="0.35">
      <c r="A55" s="3">
        <v>40</v>
      </c>
      <c r="B55" s="3" t="s">
        <v>32</v>
      </c>
      <c r="C55" s="3" t="s">
        <v>85</v>
      </c>
      <c r="D55" s="53">
        <v>715.84799999999905</v>
      </c>
      <c r="E55" s="49">
        <v>586.19979999999896</v>
      </c>
      <c r="F55" s="49">
        <v>343.98119999999898</v>
      </c>
      <c r="G55" s="49">
        <v>340.86659999999898</v>
      </c>
      <c r="H55" s="49">
        <v>129.6482</v>
      </c>
      <c r="I55" s="49">
        <v>11.2362</v>
      </c>
      <c r="J55" s="49">
        <v>242.21859999999899</v>
      </c>
      <c r="K55" s="49">
        <v>3.1084000000000001</v>
      </c>
      <c r="L55" s="49">
        <v>340.86659999999898</v>
      </c>
      <c r="M55" s="49">
        <v>14.3446</v>
      </c>
      <c r="N55" s="49">
        <v>355.211199999999</v>
      </c>
      <c r="O55" s="57">
        <v>0.81888864679999995</v>
      </c>
      <c r="P55" s="57">
        <v>0.58148535700000004</v>
      </c>
      <c r="Q55" s="3">
        <v>665</v>
      </c>
      <c r="R55" s="49">
        <v>24877.82</v>
      </c>
      <c r="S55" s="49">
        <v>37.410255640000003</v>
      </c>
      <c r="T55" s="3">
        <v>23</v>
      </c>
      <c r="U55" s="3">
        <f t="shared" si="2"/>
        <v>299</v>
      </c>
      <c r="V55" s="3">
        <v>13</v>
      </c>
      <c r="W55" s="49">
        <v>4924.38</v>
      </c>
      <c r="X55" s="49">
        <v>13.863245300000001</v>
      </c>
      <c r="Y55" s="49">
        <v>4725.5172910000001</v>
      </c>
      <c r="Z55" s="49">
        <v>198.86270859999999</v>
      </c>
      <c r="AA55" s="49">
        <v>7.1575290699999998</v>
      </c>
      <c r="AB55" s="49">
        <v>0.19559181819999999</v>
      </c>
      <c r="AC55" s="4" t="str">
        <f t="shared" si="0"/>
        <v>Tipper</v>
      </c>
      <c r="AD55" s="4" t="str">
        <f t="shared" si="1"/>
        <v>Operational</v>
      </c>
      <c r="AE55" s="4" t="str">
        <f t="shared" si="3"/>
        <v>Individual</v>
      </c>
    </row>
    <row r="56" spans="1:31" ht="14" hidden="1" customHeight="1" x14ac:dyDescent="0.35">
      <c r="A56" s="5">
        <v>41</v>
      </c>
      <c r="B56" s="5" t="s">
        <v>32</v>
      </c>
      <c r="C56" s="5" t="s">
        <v>86</v>
      </c>
      <c r="D56" s="54">
        <v>720.00109999999995</v>
      </c>
      <c r="E56" s="50">
        <v>358.83890000000002</v>
      </c>
      <c r="F56" s="50">
        <v>3.9135</v>
      </c>
      <c r="G56" s="50">
        <v>0</v>
      </c>
      <c r="H56" s="50">
        <v>361.16219999999998</v>
      </c>
      <c r="I56" s="50">
        <v>0</v>
      </c>
      <c r="J56" s="50">
        <v>354.92540000000002</v>
      </c>
      <c r="K56" s="50">
        <v>0</v>
      </c>
      <c r="L56" s="50">
        <v>0</v>
      </c>
      <c r="M56" s="50">
        <v>0</v>
      </c>
      <c r="N56" s="50">
        <v>0</v>
      </c>
      <c r="O56" s="58">
        <v>0.49838659969999999</v>
      </c>
      <c r="P56" s="58">
        <v>0</v>
      </c>
      <c r="Q56" s="5">
        <v>730</v>
      </c>
      <c r="R56" s="50">
        <v>26879.43</v>
      </c>
      <c r="S56" s="50">
        <v>36.821136989999999</v>
      </c>
      <c r="T56" s="5">
        <v>19</v>
      </c>
      <c r="U56" s="5">
        <f t="shared" si="2"/>
        <v>247</v>
      </c>
      <c r="V56" s="5">
        <v>13</v>
      </c>
      <c r="W56" s="50">
        <v>5028.8999999999996</v>
      </c>
      <c r="X56" s="50">
        <v>0</v>
      </c>
      <c r="Y56" s="50">
        <v>0</v>
      </c>
      <c r="Z56" s="50">
        <v>0</v>
      </c>
      <c r="AA56" s="50">
        <v>6.7141522030000003</v>
      </c>
      <c r="AB56" s="50">
        <v>0.1853874616</v>
      </c>
      <c r="AC56" s="4" t="str">
        <f t="shared" si="0"/>
        <v>Tipper</v>
      </c>
      <c r="AD56" s="4" t="str">
        <f t="shared" si="1"/>
        <v>Operational</v>
      </c>
      <c r="AE56" s="4" t="str">
        <f t="shared" si="3"/>
        <v>Individual</v>
      </c>
    </row>
    <row r="57" spans="1:31" ht="14" customHeight="1" x14ac:dyDescent="0.35">
      <c r="A57" s="3">
        <v>42</v>
      </c>
      <c r="B57" s="3" t="s">
        <v>32</v>
      </c>
      <c r="C57" s="3" t="s">
        <v>87</v>
      </c>
      <c r="D57" s="53">
        <v>716.60729999999899</v>
      </c>
      <c r="E57" s="49">
        <v>532.73809999999901</v>
      </c>
      <c r="F57" s="49">
        <v>331.53289999999902</v>
      </c>
      <c r="G57" s="49">
        <v>328.79539999999901</v>
      </c>
      <c r="H57" s="49">
        <v>183.86920000000001</v>
      </c>
      <c r="I57" s="49">
        <v>10.8447999999999</v>
      </c>
      <c r="J57" s="49">
        <v>201.205199999999</v>
      </c>
      <c r="K57" s="49">
        <v>5.8987999999999996</v>
      </c>
      <c r="L57" s="49">
        <v>328.79539999999901</v>
      </c>
      <c r="M57" s="49">
        <v>16.743599999999901</v>
      </c>
      <c r="N57" s="49">
        <v>345.53899999999902</v>
      </c>
      <c r="O57" s="57">
        <v>0.74341707099999998</v>
      </c>
      <c r="P57" s="57">
        <v>0.61718018669999997</v>
      </c>
      <c r="Q57" s="3">
        <v>637</v>
      </c>
      <c r="R57" s="49">
        <v>23485.79</v>
      </c>
      <c r="S57" s="49">
        <v>36.869372060000003</v>
      </c>
      <c r="T57" s="3">
        <v>12</v>
      </c>
      <c r="U57" s="3">
        <f t="shared" si="2"/>
        <v>156</v>
      </c>
      <c r="V57" s="3">
        <v>13</v>
      </c>
      <c r="W57" s="49">
        <v>4597.7999999999902</v>
      </c>
      <c r="X57" s="49">
        <v>13.306168039999999</v>
      </c>
      <c r="Y57" s="49">
        <v>4375.0068449999999</v>
      </c>
      <c r="Z57" s="49">
        <v>222.7931553</v>
      </c>
      <c r="AA57" s="49">
        <v>7.0844375959999999</v>
      </c>
      <c r="AB57" s="49">
        <v>0.1944776601</v>
      </c>
      <c r="AC57" s="4" t="str">
        <f t="shared" si="0"/>
        <v>Tipper</v>
      </c>
      <c r="AD57" s="4" t="str">
        <f t="shared" si="1"/>
        <v>Operational</v>
      </c>
      <c r="AE57" s="4" t="str">
        <f t="shared" si="3"/>
        <v>Individual</v>
      </c>
    </row>
    <row r="58" spans="1:31" ht="14" customHeight="1" x14ac:dyDescent="0.35">
      <c r="A58" s="5">
        <v>43</v>
      </c>
      <c r="B58" s="5" t="s">
        <v>32</v>
      </c>
      <c r="C58" s="5" t="s">
        <v>88</v>
      </c>
      <c r="D58" s="54">
        <v>720.00039999999899</v>
      </c>
      <c r="E58" s="50">
        <v>588.29839999999899</v>
      </c>
      <c r="F58" s="50">
        <v>278.55119999999903</v>
      </c>
      <c r="G58" s="50">
        <v>276.07339999999903</v>
      </c>
      <c r="H58" s="50">
        <v>131.702</v>
      </c>
      <c r="I58" s="50">
        <v>11.5982</v>
      </c>
      <c r="J58" s="50">
        <v>309.747199999999</v>
      </c>
      <c r="K58" s="50">
        <v>18.107799999999902</v>
      </c>
      <c r="L58" s="50">
        <v>276.07339999999903</v>
      </c>
      <c r="M58" s="50">
        <v>29.706</v>
      </c>
      <c r="N58" s="50">
        <v>305.77939999999899</v>
      </c>
      <c r="O58" s="58">
        <v>0.8170806572</v>
      </c>
      <c r="P58" s="58">
        <v>0.46927443619999998</v>
      </c>
      <c r="Q58" s="5">
        <v>606</v>
      </c>
      <c r="R58" s="50">
        <v>22265.46</v>
      </c>
      <c r="S58" s="50">
        <v>36.741683170000002</v>
      </c>
      <c r="T58" s="5">
        <v>21</v>
      </c>
      <c r="U58" s="5">
        <f t="shared" si="2"/>
        <v>273</v>
      </c>
      <c r="V58" s="5">
        <v>13</v>
      </c>
      <c r="W58" s="50">
        <v>4669.32</v>
      </c>
      <c r="X58" s="50">
        <v>15.270224219999999</v>
      </c>
      <c r="Y58" s="50">
        <v>4215.7027189999999</v>
      </c>
      <c r="Z58" s="50">
        <v>453.61728069999998</v>
      </c>
      <c r="AA58" s="50">
        <v>7.4470813400000004</v>
      </c>
      <c r="AB58" s="50">
        <v>0.2071712087</v>
      </c>
      <c r="AC58" s="4" t="str">
        <f t="shared" si="0"/>
        <v>Tipper</v>
      </c>
      <c r="AD58" s="4" t="str">
        <f t="shared" si="1"/>
        <v>Operational</v>
      </c>
      <c r="AE58" s="4" t="str">
        <f t="shared" si="3"/>
        <v>Individual</v>
      </c>
    </row>
    <row r="59" spans="1:31" ht="14" customHeight="1" x14ac:dyDescent="0.35">
      <c r="A59" s="3">
        <v>44</v>
      </c>
      <c r="B59" s="3" t="s">
        <v>32</v>
      </c>
      <c r="C59" s="3" t="s">
        <v>89</v>
      </c>
      <c r="D59" s="53">
        <v>720.00139999999999</v>
      </c>
      <c r="E59" s="49">
        <v>494.6542</v>
      </c>
      <c r="F59" s="49">
        <v>252.3193</v>
      </c>
      <c r="G59" s="49">
        <v>225.46870000000001</v>
      </c>
      <c r="H59" s="49">
        <v>225.34719999999999</v>
      </c>
      <c r="I59" s="49">
        <v>6.6971999999999996</v>
      </c>
      <c r="J59" s="49">
        <v>242.33489999999901</v>
      </c>
      <c r="K59" s="49">
        <v>2.2896000000000001</v>
      </c>
      <c r="L59" s="49">
        <v>225.46870000000001</v>
      </c>
      <c r="M59" s="49">
        <v>8.9867999999999899</v>
      </c>
      <c r="N59" s="49">
        <v>234.4555</v>
      </c>
      <c r="O59" s="57">
        <v>0.68701838640000001</v>
      </c>
      <c r="P59" s="57">
        <v>0.45581074620000001</v>
      </c>
      <c r="Q59" s="3">
        <v>469</v>
      </c>
      <c r="R59" s="49">
        <v>17513.490000000002</v>
      </c>
      <c r="S59" s="49">
        <v>37.34219616</v>
      </c>
      <c r="T59" s="3">
        <v>18</v>
      </c>
      <c r="U59" s="3">
        <f t="shared" si="2"/>
        <v>234</v>
      </c>
      <c r="V59" s="3">
        <v>13</v>
      </c>
      <c r="W59" s="49">
        <v>3456.21</v>
      </c>
      <c r="X59" s="49">
        <v>14.741432809999999</v>
      </c>
      <c r="Y59" s="49">
        <v>3323.7316919999998</v>
      </c>
      <c r="Z59" s="49">
        <v>132.4783084</v>
      </c>
      <c r="AA59" s="49">
        <v>7.0969404520000001</v>
      </c>
      <c r="AB59" s="49">
        <v>0.19474359469999999</v>
      </c>
      <c r="AC59" s="4" t="str">
        <f t="shared" si="0"/>
        <v>Tipper</v>
      </c>
      <c r="AD59" s="4" t="str">
        <f t="shared" si="1"/>
        <v>Operational</v>
      </c>
      <c r="AE59" s="4" t="str">
        <f t="shared" si="3"/>
        <v>Individual</v>
      </c>
    </row>
    <row r="60" spans="1:31" ht="14" customHeight="1" x14ac:dyDescent="0.35">
      <c r="A60" s="5">
        <v>45</v>
      </c>
      <c r="B60" s="5" t="s">
        <v>32</v>
      </c>
      <c r="C60" s="5" t="s">
        <v>90</v>
      </c>
      <c r="D60" s="54">
        <v>720.00219999999899</v>
      </c>
      <c r="E60" s="50">
        <v>596.574199999999</v>
      </c>
      <c r="F60" s="50">
        <v>351.92209999999898</v>
      </c>
      <c r="G60" s="50">
        <v>345.3929</v>
      </c>
      <c r="H60" s="50">
        <v>123.428</v>
      </c>
      <c r="I60" s="50">
        <v>10.487299999999999</v>
      </c>
      <c r="J60" s="50">
        <v>244.652099999999</v>
      </c>
      <c r="K60" s="50">
        <v>10.633100000000001</v>
      </c>
      <c r="L60" s="50">
        <v>345.3929</v>
      </c>
      <c r="M60" s="50">
        <v>21.1204</v>
      </c>
      <c r="N60" s="50">
        <v>366.51330000000002</v>
      </c>
      <c r="O60" s="58">
        <v>0.82857274599999997</v>
      </c>
      <c r="P60" s="58">
        <v>0.57896050480000005</v>
      </c>
      <c r="Q60" s="5">
        <v>846</v>
      </c>
      <c r="R60" s="50">
        <v>29955.96</v>
      </c>
      <c r="S60" s="50">
        <v>35.408936169999997</v>
      </c>
      <c r="T60" s="5">
        <v>10</v>
      </c>
      <c r="U60" s="5">
        <f t="shared" si="2"/>
        <v>130</v>
      </c>
      <c r="V60" s="5">
        <v>13</v>
      </c>
      <c r="W60" s="50">
        <v>4950.6899999999896</v>
      </c>
      <c r="X60" s="50">
        <v>13.507531650000001</v>
      </c>
      <c r="Y60" s="50">
        <v>4665.4055289999997</v>
      </c>
      <c r="Z60" s="50">
        <v>285.2844715</v>
      </c>
      <c r="AA60" s="50">
        <v>5.7835163549999997</v>
      </c>
      <c r="AB60" s="50">
        <v>0.1645515051</v>
      </c>
      <c r="AC60" s="4" t="str">
        <f t="shared" si="0"/>
        <v>Tipper</v>
      </c>
      <c r="AD60" s="4" t="str">
        <f t="shared" si="1"/>
        <v>Operational</v>
      </c>
      <c r="AE60" s="4" t="str">
        <f t="shared" si="3"/>
        <v>Individual</v>
      </c>
    </row>
    <row r="61" spans="1:31" ht="14" customHeight="1" x14ac:dyDescent="0.35">
      <c r="A61" s="3">
        <v>46</v>
      </c>
      <c r="B61" s="3" t="s">
        <v>32</v>
      </c>
      <c r="C61" s="3" t="s">
        <v>91</v>
      </c>
      <c r="D61" s="53">
        <v>720.00099999999998</v>
      </c>
      <c r="E61" s="49">
        <v>670.19169999999997</v>
      </c>
      <c r="F61" s="49">
        <v>429.10770000000002</v>
      </c>
      <c r="G61" s="49">
        <v>425.69699999999898</v>
      </c>
      <c r="H61" s="49">
        <v>49.8093</v>
      </c>
      <c r="I61" s="49">
        <v>18.710699999999999</v>
      </c>
      <c r="J61" s="49">
        <v>241.08399999999901</v>
      </c>
      <c r="K61" s="49">
        <v>9.2585999999999995</v>
      </c>
      <c r="L61" s="49">
        <v>425.69699999999898</v>
      </c>
      <c r="M61" s="49">
        <v>27.9693</v>
      </c>
      <c r="N61" s="49">
        <v>453.66629999999901</v>
      </c>
      <c r="O61" s="57">
        <v>0.93082051269999999</v>
      </c>
      <c r="P61" s="57">
        <v>0.6351869174</v>
      </c>
      <c r="Q61" s="3">
        <v>911</v>
      </c>
      <c r="R61" s="49">
        <v>32265.1</v>
      </c>
      <c r="S61" s="49">
        <v>35.417233809999999</v>
      </c>
      <c r="T61" s="3">
        <v>9</v>
      </c>
      <c r="U61" s="3">
        <f t="shared" si="2"/>
        <v>117</v>
      </c>
      <c r="V61" s="3">
        <v>13</v>
      </c>
      <c r="W61" s="49">
        <v>5821.4299999999903</v>
      </c>
      <c r="X61" s="49">
        <v>12.83196482</v>
      </c>
      <c r="Y61" s="49">
        <v>5462.528926</v>
      </c>
      <c r="Z61" s="49">
        <v>358.9010735</v>
      </c>
      <c r="AA61" s="49">
        <v>6.3276413040000001</v>
      </c>
      <c r="AB61" s="49">
        <v>0.17977308450000001</v>
      </c>
      <c r="AC61" s="4" t="str">
        <f t="shared" si="0"/>
        <v>Tipper</v>
      </c>
      <c r="AD61" s="4" t="str">
        <f t="shared" si="1"/>
        <v>Operational</v>
      </c>
      <c r="AE61" s="4" t="str">
        <f t="shared" si="3"/>
        <v>Individual</v>
      </c>
    </row>
    <row r="62" spans="1:31" ht="14" customHeight="1" x14ac:dyDescent="0.35">
      <c r="A62" s="5">
        <v>47</v>
      </c>
      <c r="B62" s="5" t="s">
        <v>32</v>
      </c>
      <c r="C62" s="5" t="s">
        <v>92</v>
      </c>
      <c r="D62" s="54">
        <v>720.00109999999995</v>
      </c>
      <c r="E62" s="50">
        <v>658.84989999999902</v>
      </c>
      <c r="F62" s="50">
        <v>405.55149999999901</v>
      </c>
      <c r="G62" s="50">
        <v>399.054499999999</v>
      </c>
      <c r="H62" s="50">
        <v>61.151200000000003</v>
      </c>
      <c r="I62" s="50">
        <v>18.540299999999998</v>
      </c>
      <c r="J62" s="50">
        <v>253.29839999999899</v>
      </c>
      <c r="K62" s="50">
        <v>9.0686999999999909</v>
      </c>
      <c r="L62" s="50">
        <v>399.054499999999</v>
      </c>
      <c r="M62" s="50">
        <v>27.609000000000002</v>
      </c>
      <c r="N62" s="50">
        <v>426.66349999999898</v>
      </c>
      <c r="O62" s="58">
        <v>0.9150679075</v>
      </c>
      <c r="P62" s="58">
        <v>0.60568347970000003</v>
      </c>
      <c r="Q62" s="5">
        <v>925</v>
      </c>
      <c r="R62" s="50">
        <v>32484.98</v>
      </c>
      <c r="S62" s="50">
        <v>35.1188973</v>
      </c>
      <c r="T62" s="5">
        <v>12</v>
      </c>
      <c r="U62" s="5">
        <f t="shared" si="2"/>
        <v>156</v>
      </c>
      <c r="V62" s="5">
        <v>13</v>
      </c>
      <c r="W62" s="50">
        <v>5494.24</v>
      </c>
      <c r="X62" s="50">
        <v>12.87722057</v>
      </c>
      <c r="Y62" s="50">
        <v>5138.7128169999996</v>
      </c>
      <c r="Z62" s="50">
        <v>355.52718279999999</v>
      </c>
      <c r="AA62" s="50">
        <v>5.8636499469999999</v>
      </c>
      <c r="AB62" s="50">
        <v>0.16832337750000001</v>
      </c>
      <c r="AC62" s="4" t="str">
        <f t="shared" si="0"/>
        <v>Tipper</v>
      </c>
      <c r="AD62" s="4" t="str">
        <f t="shared" si="1"/>
        <v>Operational</v>
      </c>
      <c r="AE62" s="4" t="str">
        <f t="shared" si="3"/>
        <v>Individual</v>
      </c>
    </row>
    <row r="63" spans="1:31" ht="14" customHeight="1" x14ac:dyDescent="0.35">
      <c r="A63" s="3">
        <v>48</v>
      </c>
      <c r="B63" s="3" t="s">
        <v>32</v>
      </c>
      <c r="C63" s="3" t="s">
        <v>93</v>
      </c>
      <c r="D63" s="53">
        <v>720.00129999999899</v>
      </c>
      <c r="E63" s="49">
        <v>572.929699999999</v>
      </c>
      <c r="F63" s="49">
        <v>324.52539999999902</v>
      </c>
      <c r="G63" s="49">
        <v>321.44389999999999</v>
      </c>
      <c r="H63" s="49">
        <v>147.07159999999899</v>
      </c>
      <c r="I63" s="49">
        <v>10.5725999999999</v>
      </c>
      <c r="J63" s="49">
        <v>248.40429999999901</v>
      </c>
      <c r="K63" s="49">
        <v>6.5697999999999999</v>
      </c>
      <c r="L63" s="49">
        <v>321.44389999999999</v>
      </c>
      <c r="M63" s="49">
        <v>17.142399999999999</v>
      </c>
      <c r="N63" s="49">
        <v>338.58629999999999</v>
      </c>
      <c r="O63" s="57">
        <v>0.79573425769999995</v>
      </c>
      <c r="P63" s="57">
        <v>0.56105295290000001</v>
      </c>
      <c r="Q63" s="3">
        <v>866</v>
      </c>
      <c r="R63" s="49">
        <v>30530.62</v>
      </c>
      <c r="S63" s="49">
        <v>35.254757509999997</v>
      </c>
      <c r="T63" s="3">
        <v>11</v>
      </c>
      <c r="U63" s="3">
        <f t="shared" si="2"/>
        <v>143</v>
      </c>
      <c r="V63" s="3">
        <v>13</v>
      </c>
      <c r="W63" s="49">
        <v>5070.4099999999899</v>
      </c>
      <c r="X63" s="49">
        <v>14.97523674</v>
      </c>
      <c r="Y63" s="49">
        <v>4813.6985020000002</v>
      </c>
      <c r="Z63" s="49">
        <v>256.71149830000002</v>
      </c>
      <c r="AA63" s="49">
        <v>5.7815393390000001</v>
      </c>
      <c r="AB63" s="49">
        <v>0.1653019761</v>
      </c>
      <c r="AC63" s="4" t="str">
        <f t="shared" si="0"/>
        <v>Tipper</v>
      </c>
      <c r="AD63" s="4" t="str">
        <f t="shared" si="1"/>
        <v>Operational</v>
      </c>
      <c r="AE63" s="4" t="str">
        <f t="shared" si="3"/>
        <v>Individual</v>
      </c>
    </row>
    <row r="64" spans="1:31" ht="14" customHeight="1" x14ac:dyDescent="0.35">
      <c r="A64" s="5">
        <v>49</v>
      </c>
      <c r="B64" s="5" t="s">
        <v>32</v>
      </c>
      <c r="C64" s="5" t="s">
        <v>94</v>
      </c>
      <c r="D64" s="54">
        <v>720.00019999999995</v>
      </c>
      <c r="E64" s="50">
        <v>678.13589999999999</v>
      </c>
      <c r="F64" s="50">
        <v>329.52539999999999</v>
      </c>
      <c r="G64" s="50">
        <v>324.64299999999997</v>
      </c>
      <c r="H64" s="50">
        <v>41.8643</v>
      </c>
      <c r="I64" s="50">
        <v>15.966999999999899</v>
      </c>
      <c r="J64" s="50">
        <v>348.6105</v>
      </c>
      <c r="K64" s="50">
        <v>11.1538</v>
      </c>
      <c r="L64" s="50">
        <v>324.64299999999997</v>
      </c>
      <c r="M64" s="50">
        <v>27.1207999999999</v>
      </c>
      <c r="N64" s="50">
        <v>351.76379999999898</v>
      </c>
      <c r="O64" s="58">
        <v>0.94185515500000005</v>
      </c>
      <c r="P64" s="58">
        <v>0.4787285262</v>
      </c>
      <c r="Q64" s="5">
        <v>867</v>
      </c>
      <c r="R64" s="50">
        <v>30433.18</v>
      </c>
      <c r="S64" s="50">
        <v>35.101707040000001</v>
      </c>
      <c r="T64" s="5">
        <v>11</v>
      </c>
      <c r="U64" s="5">
        <f t="shared" si="2"/>
        <v>143</v>
      </c>
      <c r="V64" s="5">
        <v>13</v>
      </c>
      <c r="W64" s="50">
        <v>5572.7699999999904</v>
      </c>
      <c r="X64" s="50">
        <v>15.842363539999999</v>
      </c>
      <c r="Y64" s="50">
        <v>5143.112427</v>
      </c>
      <c r="Z64" s="50">
        <v>429.65757309999998</v>
      </c>
      <c r="AA64" s="50">
        <v>6.3471184510000001</v>
      </c>
      <c r="AB64" s="50">
        <v>0.1822585424</v>
      </c>
      <c r="AC64" s="4" t="str">
        <f t="shared" si="0"/>
        <v>Tipper</v>
      </c>
      <c r="AD64" s="4" t="str">
        <f t="shared" si="1"/>
        <v>Operational</v>
      </c>
      <c r="AE64" s="4" t="str">
        <f t="shared" si="3"/>
        <v>Individual</v>
      </c>
    </row>
    <row r="65" spans="1:31" ht="14" customHeight="1" x14ac:dyDescent="0.35">
      <c r="A65" s="3">
        <v>50</v>
      </c>
      <c r="B65" s="3" t="s">
        <v>32</v>
      </c>
      <c r="C65" s="3" t="s">
        <v>95</v>
      </c>
      <c r="D65" s="53">
        <v>720.00009999999895</v>
      </c>
      <c r="E65" s="49">
        <v>685.38329999999905</v>
      </c>
      <c r="F65" s="49">
        <v>353.80709999999999</v>
      </c>
      <c r="G65" s="49">
        <v>350.67099999999903</v>
      </c>
      <c r="H65" s="49">
        <v>34.616799999999998</v>
      </c>
      <c r="I65" s="49">
        <v>17.014600000000002</v>
      </c>
      <c r="J65" s="49">
        <v>331.57619999999901</v>
      </c>
      <c r="K65" s="49">
        <v>10.584</v>
      </c>
      <c r="L65" s="49">
        <v>350.67099999999903</v>
      </c>
      <c r="M65" s="49">
        <v>27.598600000000001</v>
      </c>
      <c r="N65" s="49">
        <v>378.269599999999</v>
      </c>
      <c r="O65" s="57">
        <v>0.95192111779999999</v>
      </c>
      <c r="P65" s="57">
        <v>0.51164217160000003</v>
      </c>
      <c r="Q65" s="3">
        <v>864</v>
      </c>
      <c r="R65" s="49">
        <v>30498.67</v>
      </c>
      <c r="S65" s="49">
        <v>35.299386570000003</v>
      </c>
      <c r="T65" s="3">
        <v>24</v>
      </c>
      <c r="U65" s="3">
        <f t="shared" si="2"/>
        <v>312</v>
      </c>
      <c r="V65" s="3">
        <v>13</v>
      </c>
      <c r="W65" s="49">
        <v>5707.15</v>
      </c>
      <c r="X65" s="49">
        <v>15.087519589999999</v>
      </c>
      <c r="Y65" s="49">
        <v>5290.7555819999998</v>
      </c>
      <c r="Z65" s="49">
        <v>416.3944181</v>
      </c>
      <c r="AA65" s="49">
        <v>6.426970721</v>
      </c>
      <c r="AB65" s="49">
        <v>0.185232908</v>
      </c>
      <c r="AC65" s="4" t="str">
        <f t="shared" si="0"/>
        <v>Tipper</v>
      </c>
      <c r="AD65" s="4" t="str">
        <f t="shared" si="1"/>
        <v>Operational</v>
      </c>
      <c r="AE65" s="4" t="str">
        <f t="shared" si="3"/>
        <v>Individual</v>
      </c>
    </row>
    <row r="66" spans="1:31" ht="14" customHeight="1" x14ac:dyDescent="0.35">
      <c r="A66" s="5">
        <v>51</v>
      </c>
      <c r="B66" s="5" t="s">
        <v>32</v>
      </c>
      <c r="C66" s="5" t="s">
        <v>96</v>
      </c>
      <c r="D66" s="54">
        <v>720.00019999999904</v>
      </c>
      <c r="E66" s="50">
        <v>681.94989999999905</v>
      </c>
      <c r="F66" s="50">
        <v>386.492899999999</v>
      </c>
      <c r="G66" s="50">
        <v>381.20989999999898</v>
      </c>
      <c r="H66" s="50">
        <v>38.0503</v>
      </c>
      <c r="I66" s="50">
        <v>15.5472999999999</v>
      </c>
      <c r="J66" s="50">
        <v>295.45699999999903</v>
      </c>
      <c r="K66" s="50">
        <v>5.0680999999999896</v>
      </c>
      <c r="L66" s="50">
        <v>381.20989999999898</v>
      </c>
      <c r="M66" s="50">
        <v>20.615399999999902</v>
      </c>
      <c r="N66" s="50">
        <v>401.825299999999</v>
      </c>
      <c r="O66" s="58">
        <v>0.9471523758</v>
      </c>
      <c r="P66" s="58">
        <v>0.55899986199999996</v>
      </c>
      <c r="Q66" s="5">
        <v>904</v>
      </c>
      <c r="R66" s="50">
        <v>31807.29</v>
      </c>
      <c r="S66" s="50">
        <v>35.185055310000003</v>
      </c>
      <c r="T66" s="5">
        <v>18</v>
      </c>
      <c r="U66" s="5">
        <f t="shared" si="2"/>
        <v>234</v>
      </c>
      <c r="V66" s="5">
        <v>13</v>
      </c>
      <c r="W66" s="50">
        <v>5689.4</v>
      </c>
      <c r="X66" s="50">
        <v>14.15888945</v>
      </c>
      <c r="Y66" s="50">
        <v>5397.5088304793098</v>
      </c>
      <c r="Z66" s="50">
        <v>291.89116949999999</v>
      </c>
      <c r="AA66" s="50">
        <v>6.1707158350000002</v>
      </c>
      <c r="AB66" s="50">
        <v>0.17756463610000001</v>
      </c>
      <c r="AC66" s="4" t="str">
        <f t="shared" si="0"/>
        <v>Tipper</v>
      </c>
      <c r="AD66" s="4" t="str">
        <f t="shared" si="1"/>
        <v>Operational</v>
      </c>
      <c r="AE66" s="4" t="str">
        <f t="shared" si="3"/>
        <v>Individual</v>
      </c>
    </row>
    <row r="67" spans="1:31" ht="14" customHeight="1" x14ac:dyDescent="0.35">
      <c r="A67" s="3">
        <v>52</v>
      </c>
      <c r="B67" s="3" t="s">
        <v>32</v>
      </c>
      <c r="C67" s="3" t="s">
        <v>97</v>
      </c>
      <c r="D67" s="53">
        <v>720.00109999999995</v>
      </c>
      <c r="E67" s="49">
        <v>665.88179999999898</v>
      </c>
      <c r="F67" s="49">
        <v>367.57130000000001</v>
      </c>
      <c r="G67" s="49">
        <v>363.343899999999</v>
      </c>
      <c r="H67" s="49">
        <v>54.119300000000003</v>
      </c>
      <c r="I67" s="49">
        <v>15.5152999999999</v>
      </c>
      <c r="J67" s="49">
        <v>298.31049999999902</v>
      </c>
      <c r="K67" s="49">
        <v>3.1785000000000001</v>
      </c>
      <c r="L67" s="49">
        <v>363.343899999999</v>
      </c>
      <c r="M67" s="49">
        <v>18.6937999999999</v>
      </c>
      <c r="N67" s="49">
        <v>382.03769999999901</v>
      </c>
      <c r="O67" s="57">
        <v>0.92483442039999997</v>
      </c>
      <c r="P67" s="57">
        <v>0.54565825349999997</v>
      </c>
      <c r="Q67" s="3">
        <v>857</v>
      </c>
      <c r="R67" s="49">
        <v>30062.65</v>
      </c>
      <c r="S67" s="49">
        <v>35.07893816</v>
      </c>
      <c r="T67" s="3">
        <v>14</v>
      </c>
      <c r="U67" s="3">
        <f t="shared" si="2"/>
        <v>182</v>
      </c>
      <c r="V67" s="3">
        <v>13</v>
      </c>
      <c r="W67" s="49">
        <v>5531.57</v>
      </c>
      <c r="X67" s="49">
        <v>14.479120780000001</v>
      </c>
      <c r="Y67" s="49">
        <v>5260.9002119999996</v>
      </c>
      <c r="Z67" s="49">
        <v>270.66978799999998</v>
      </c>
      <c r="AA67" s="49">
        <v>6.3508266359999999</v>
      </c>
      <c r="AB67" s="49">
        <v>0.18289416480000001</v>
      </c>
      <c r="AC67" s="4" t="str">
        <f t="shared" ref="AC67:AC130" si="4">IF(OR(TRIM(B67)="Tipper",TRIM(B67)="Volvo",TRIM(B67)="Bharatbenz"),"Tipper",IF(OR(TRIM(B67)="Dumper",TRIM(B67)="Sany",TRIM(B67)="Komatsu"),"Dumper",IF(TRIM(B67)="Excavator","Excavator",IF(OR(TRIM(B67)="Front End Loader",TRIM(B67)="Fel"),"Front End Loader",IF(OR(TRIM(B67)="Surface Miner",TRIM(B67)="Csm"),"Surface Miner",IF(TRIM(B67)="Diesel Bowser","Diesel Bowser","Other"))))))</f>
        <v>Tipper</v>
      </c>
      <c r="AD67" s="4" t="str">
        <f t="shared" ref="AD67:AD130" si="5">IF(E67=0,"Non-Operational","Operational")</f>
        <v>Operational</v>
      </c>
      <c r="AE67" s="4" t="str">
        <f t="shared" si="3"/>
        <v>Individual</v>
      </c>
    </row>
    <row r="68" spans="1:31" ht="14" customHeight="1" x14ac:dyDescent="0.35">
      <c r="A68" s="5">
        <v>53</v>
      </c>
      <c r="B68" s="5" t="s">
        <v>32</v>
      </c>
      <c r="C68" s="5" t="s">
        <v>98</v>
      </c>
      <c r="D68" s="54">
        <v>720.00099999999998</v>
      </c>
      <c r="E68" s="50">
        <v>680.8297</v>
      </c>
      <c r="F68" s="50">
        <v>365.16299999999899</v>
      </c>
      <c r="G68" s="50">
        <v>359.93380000000002</v>
      </c>
      <c r="H68" s="50">
        <v>39.171300000000002</v>
      </c>
      <c r="I68" s="50">
        <v>8.7332000000000001</v>
      </c>
      <c r="J68" s="50">
        <v>315.66669999999999</v>
      </c>
      <c r="K68" s="50">
        <v>4.2645</v>
      </c>
      <c r="L68" s="50">
        <v>359.93380000000002</v>
      </c>
      <c r="M68" s="50">
        <v>12.9977</v>
      </c>
      <c r="N68" s="50">
        <v>372.93150000000003</v>
      </c>
      <c r="O68" s="58">
        <v>0.94559549220000005</v>
      </c>
      <c r="P68" s="58">
        <v>0.52866935739999998</v>
      </c>
      <c r="Q68" s="5">
        <v>944</v>
      </c>
      <c r="R68" s="50">
        <v>33439.71</v>
      </c>
      <c r="S68" s="50">
        <v>35.423421609999998</v>
      </c>
      <c r="T68" s="5">
        <v>11</v>
      </c>
      <c r="U68" s="5">
        <f t="shared" ref="U68:U131" si="6">T68*V68</f>
        <v>143</v>
      </c>
      <c r="V68" s="5">
        <v>13</v>
      </c>
      <c r="W68" s="50">
        <v>4694.28</v>
      </c>
      <c r="X68" s="50">
        <v>12.587512719999999</v>
      </c>
      <c r="Y68" s="50">
        <v>4530.6712859999998</v>
      </c>
      <c r="Z68" s="50">
        <v>163.60871409999999</v>
      </c>
      <c r="AA68" s="50">
        <v>4.9154764399999999</v>
      </c>
      <c r="AB68" s="50">
        <v>0.13978264409999999</v>
      </c>
      <c r="AC68" s="4" t="str">
        <f t="shared" si="4"/>
        <v>Tipper</v>
      </c>
      <c r="AD68" s="4" t="str">
        <f t="shared" si="5"/>
        <v>Operational</v>
      </c>
      <c r="AE68" s="4" t="str">
        <f t="shared" ref="AE68:AE131" si="7">IF(OR(C68=54,C68=67,C68=10,C68=16,C68=6,C68=12,C68=28),"Aggregate","Individual")</f>
        <v>Individual</v>
      </c>
    </row>
    <row r="69" spans="1:31" ht="14" customHeight="1" x14ac:dyDescent="0.35">
      <c r="A69" s="3">
        <v>54</v>
      </c>
      <c r="B69" s="3" t="s">
        <v>32</v>
      </c>
      <c r="C69" s="3" t="s">
        <v>99</v>
      </c>
      <c r="D69" s="53">
        <v>720.001699999999</v>
      </c>
      <c r="E69" s="49">
        <v>610.76229999999896</v>
      </c>
      <c r="F69" s="49">
        <v>378.4787</v>
      </c>
      <c r="G69" s="49">
        <v>371.82420000000002</v>
      </c>
      <c r="H69" s="49">
        <v>109.2394</v>
      </c>
      <c r="I69" s="49">
        <v>12.0654</v>
      </c>
      <c r="J69" s="49">
        <v>232.28359999999901</v>
      </c>
      <c r="K69" s="49">
        <v>0.3014</v>
      </c>
      <c r="L69" s="49">
        <v>371.82420000000002</v>
      </c>
      <c r="M69" s="49">
        <v>12.3668</v>
      </c>
      <c r="N69" s="49">
        <v>384.19099999999997</v>
      </c>
      <c r="O69" s="57">
        <v>0.84827896930000002</v>
      </c>
      <c r="P69" s="57">
        <v>0.60878708459999997</v>
      </c>
      <c r="Q69" s="3">
        <v>949</v>
      </c>
      <c r="R69" s="49">
        <v>33780.29</v>
      </c>
      <c r="S69" s="49">
        <v>35.595669129999997</v>
      </c>
      <c r="T69" s="3">
        <v>11</v>
      </c>
      <c r="U69" s="3">
        <f t="shared" si="6"/>
        <v>143</v>
      </c>
      <c r="V69" s="3">
        <v>13</v>
      </c>
      <c r="W69" s="49">
        <v>5309.29</v>
      </c>
      <c r="X69" s="49">
        <v>13.819402330000001</v>
      </c>
      <c r="Y69" s="49">
        <v>5138.3882149999999</v>
      </c>
      <c r="Z69" s="49">
        <v>170.90178470000001</v>
      </c>
      <c r="AA69" s="49">
        <v>5.5305104170000003</v>
      </c>
      <c r="AB69" s="49">
        <v>0.15650869949999999</v>
      </c>
      <c r="AC69" s="4" t="str">
        <f t="shared" si="4"/>
        <v>Tipper</v>
      </c>
      <c r="AD69" s="4" t="str">
        <f t="shared" si="5"/>
        <v>Operational</v>
      </c>
      <c r="AE69" s="4" t="str">
        <f t="shared" si="7"/>
        <v>Individual</v>
      </c>
    </row>
    <row r="70" spans="1:31" ht="14" hidden="1" customHeight="1" x14ac:dyDescent="0.35">
      <c r="A70" s="48">
        <v>2</v>
      </c>
      <c r="B70" s="48" t="s">
        <v>100</v>
      </c>
      <c r="C70" s="48">
        <v>54</v>
      </c>
      <c r="D70" s="56">
        <v>719.75316669999995</v>
      </c>
      <c r="E70" s="52">
        <v>505.6391481</v>
      </c>
      <c r="F70" s="52">
        <v>248.41586670000001</v>
      </c>
      <c r="G70" s="52">
        <v>218.05491480000001</v>
      </c>
      <c r="H70" s="52">
        <v>214.11401849999999</v>
      </c>
      <c r="I70" s="52">
        <v>8.4906296300000008</v>
      </c>
      <c r="J70" s="52">
        <v>257.22328149999998</v>
      </c>
      <c r="K70" s="52">
        <v>6.0812055559999996</v>
      </c>
      <c r="L70" s="52">
        <v>218.05491480000001</v>
      </c>
      <c r="M70" s="52">
        <v>14.57183519</v>
      </c>
      <c r="N70" s="52">
        <v>232.62674999999999</v>
      </c>
      <c r="O70" s="60">
        <v>0.70251743450000004</v>
      </c>
      <c r="P70" s="60">
        <v>0.43124610819999998</v>
      </c>
      <c r="Q70" s="48">
        <v>27660</v>
      </c>
      <c r="R70" s="52">
        <v>1005442.34</v>
      </c>
      <c r="S70" s="52">
        <v>36.350048450000003</v>
      </c>
      <c r="T70" s="48">
        <v>838</v>
      </c>
      <c r="U70" s="48">
        <f t="shared" si="6"/>
        <v>10894</v>
      </c>
      <c r="V70" s="48">
        <v>13</v>
      </c>
      <c r="W70" s="52">
        <v>3673.2205880000001</v>
      </c>
      <c r="X70" s="52">
        <v>15.20480912</v>
      </c>
      <c r="Y70" s="52">
        <v>3491.747601</v>
      </c>
      <c r="Z70" s="52">
        <v>227.94076680000001</v>
      </c>
      <c r="AA70" s="52">
        <v>7.3371632839999998</v>
      </c>
      <c r="AB70" s="52">
        <v>0.23073150049999999</v>
      </c>
      <c r="AC70" s="47" t="str">
        <f t="shared" si="4"/>
        <v>Tipper</v>
      </c>
      <c r="AD70" s="47" t="str">
        <f t="shared" si="5"/>
        <v>Operational</v>
      </c>
      <c r="AE70" s="47" t="str">
        <f t="shared" si="7"/>
        <v>Aggregate</v>
      </c>
    </row>
    <row r="71" spans="1:31" ht="14" customHeight="1" x14ac:dyDescent="0.35">
      <c r="A71" s="3">
        <v>1</v>
      </c>
      <c r="B71" s="3" t="s">
        <v>101</v>
      </c>
      <c r="C71" s="3" t="s">
        <v>102</v>
      </c>
      <c r="D71" s="53">
        <v>719.99969999999905</v>
      </c>
      <c r="E71" s="49">
        <v>229.53829999999999</v>
      </c>
      <c r="F71" s="49">
        <v>117.01690000000001</v>
      </c>
      <c r="G71" s="49">
        <v>111.558199999999</v>
      </c>
      <c r="H71" s="49">
        <v>490.461399999999</v>
      </c>
      <c r="I71" s="49">
        <v>6.6849999999999898</v>
      </c>
      <c r="J71" s="49">
        <v>112.5214</v>
      </c>
      <c r="K71" s="49">
        <v>4.7652000000000001</v>
      </c>
      <c r="L71" s="49">
        <v>111.558199999999</v>
      </c>
      <c r="M71" s="49">
        <v>11.450199999999899</v>
      </c>
      <c r="N71" s="49">
        <v>123.008399999999</v>
      </c>
      <c r="O71" s="57">
        <v>0.31880332729999999</v>
      </c>
      <c r="P71" s="57">
        <v>0.48601126700000002</v>
      </c>
      <c r="Q71" s="3">
        <v>0</v>
      </c>
      <c r="R71" s="49">
        <v>0</v>
      </c>
      <c r="S71" s="49">
        <v>0</v>
      </c>
      <c r="T71" s="3">
        <v>406</v>
      </c>
      <c r="U71" s="3">
        <f t="shared" si="6"/>
        <v>10150</v>
      </c>
      <c r="V71" s="3">
        <v>25</v>
      </c>
      <c r="W71" s="49">
        <v>4198.17</v>
      </c>
      <c r="X71" s="49">
        <v>34.129132640000002</v>
      </c>
      <c r="Y71" s="49">
        <v>3807.3846050000002</v>
      </c>
      <c r="Z71" s="49">
        <v>390.78539460000002</v>
      </c>
      <c r="AA71" s="49">
        <v>0</v>
      </c>
      <c r="AB71" s="49">
        <v>0</v>
      </c>
      <c r="AC71" s="4" t="str">
        <f t="shared" si="4"/>
        <v>Dumper</v>
      </c>
      <c r="AD71" s="4" t="str">
        <f t="shared" si="5"/>
        <v>Operational</v>
      </c>
      <c r="AE71" s="4" t="str">
        <f t="shared" si="7"/>
        <v>Individual</v>
      </c>
    </row>
    <row r="72" spans="1:31" ht="14" customHeight="1" x14ac:dyDescent="0.35">
      <c r="A72" s="5">
        <v>2</v>
      </c>
      <c r="B72" s="5" t="s">
        <v>101</v>
      </c>
      <c r="C72" s="5" t="s">
        <v>103</v>
      </c>
      <c r="D72" s="54">
        <v>720.00070000000005</v>
      </c>
      <c r="E72" s="50">
        <v>225.22309999999899</v>
      </c>
      <c r="F72" s="50">
        <v>192.865299999999</v>
      </c>
      <c r="G72" s="50">
        <v>189.10239999999999</v>
      </c>
      <c r="H72" s="50">
        <v>494.77760000000001</v>
      </c>
      <c r="I72" s="50">
        <v>11.162599999999999</v>
      </c>
      <c r="J72" s="50">
        <v>32.357799999999898</v>
      </c>
      <c r="K72" s="50">
        <v>9.8414000000000001</v>
      </c>
      <c r="L72" s="50">
        <v>189.10239999999999</v>
      </c>
      <c r="M72" s="50">
        <v>21.003999999999898</v>
      </c>
      <c r="N72" s="50">
        <v>210.10640000000001</v>
      </c>
      <c r="O72" s="58">
        <v>0.31280955700000002</v>
      </c>
      <c r="P72" s="58">
        <v>0.83962257870000001</v>
      </c>
      <c r="Q72" s="5">
        <v>0</v>
      </c>
      <c r="R72" s="50">
        <v>0</v>
      </c>
      <c r="S72" s="50">
        <v>0</v>
      </c>
      <c r="T72" s="5">
        <v>387</v>
      </c>
      <c r="U72" s="5">
        <f t="shared" si="6"/>
        <v>9675</v>
      </c>
      <c r="V72" s="5">
        <v>25</v>
      </c>
      <c r="W72" s="50">
        <v>2711.14</v>
      </c>
      <c r="X72" s="50">
        <v>12.90365263</v>
      </c>
      <c r="Y72" s="50">
        <v>2440.1116802534302</v>
      </c>
      <c r="Z72" s="50">
        <v>271.0283197</v>
      </c>
      <c r="AA72" s="50">
        <v>0</v>
      </c>
      <c r="AB72" s="50">
        <v>0</v>
      </c>
      <c r="AC72" s="4" t="str">
        <f t="shared" si="4"/>
        <v>Dumper</v>
      </c>
      <c r="AD72" s="4" t="str">
        <f t="shared" si="5"/>
        <v>Operational</v>
      </c>
      <c r="AE72" s="4" t="str">
        <f t="shared" si="7"/>
        <v>Individual</v>
      </c>
    </row>
    <row r="73" spans="1:31" ht="14" customHeight="1" x14ac:dyDescent="0.35">
      <c r="A73" s="3">
        <v>3</v>
      </c>
      <c r="B73" s="3" t="s">
        <v>101</v>
      </c>
      <c r="C73" s="3" t="s">
        <v>104</v>
      </c>
      <c r="D73" s="53">
        <v>720.00019999999995</v>
      </c>
      <c r="E73" s="49">
        <v>409.10550000000001</v>
      </c>
      <c r="F73" s="49">
        <v>348.53399999999999</v>
      </c>
      <c r="G73" s="49">
        <v>347.35109999999997</v>
      </c>
      <c r="H73" s="49">
        <v>310.8947</v>
      </c>
      <c r="I73" s="49">
        <v>54.302299999999903</v>
      </c>
      <c r="J73" s="49">
        <v>60.571499999999901</v>
      </c>
      <c r="K73" s="49">
        <v>203.68360000000001</v>
      </c>
      <c r="L73" s="49">
        <v>347.35109999999997</v>
      </c>
      <c r="M73" s="49">
        <v>257.98590000000002</v>
      </c>
      <c r="N73" s="49">
        <v>605.33699999999999</v>
      </c>
      <c r="O73" s="57">
        <v>0.56820192550000004</v>
      </c>
      <c r="P73" s="57">
        <v>0.84905018389999998</v>
      </c>
      <c r="Q73" s="3">
        <v>0</v>
      </c>
      <c r="R73" s="49">
        <v>0</v>
      </c>
      <c r="S73" s="49">
        <v>0</v>
      </c>
      <c r="T73" s="3">
        <v>566</v>
      </c>
      <c r="U73" s="3">
        <f t="shared" si="6"/>
        <v>14150</v>
      </c>
      <c r="V73" s="3">
        <v>25</v>
      </c>
      <c r="W73" s="49">
        <v>5375.5</v>
      </c>
      <c r="X73" s="49">
        <v>8.8801774879999993</v>
      </c>
      <c r="Y73" s="49">
        <v>3084.5394190000002</v>
      </c>
      <c r="Z73" s="49">
        <v>2290.9605809999998</v>
      </c>
      <c r="AA73" s="49">
        <v>0</v>
      </c>
      <c r="AB73" s="49">
        <v>0</v>
      </c>
      <c r="AC73" s="4" t="str">
        <f t="shared" si="4"/>
        <v>Dumper</v>
      </c>
      <c r="AD73" s="4" t="str">
        <f t="shared" si="5"/>
        <v>Operational</v>
      </c>
      <c r="AE73" s="4" t="str">
        <f t="shared" si="7"/>
        <v>Individual</v>
      </c>
    </row>
    <row r="74" spans="1:31" ht="14" customHeight="1" x14ac:dyDescent="0.35">
      <c r="A74" s="5">
        <v>4</v>
      </c>
      <c r="B74" s="5" t="s">
        <v>101</v>
      </c>
      <c r="C74" s="5" t="s">
        <v>105</v>
      </c>
      <c r="D74" s="54">
        <v>719.99969999999996</v>
      </c>
      <c r="E74" s="50">
        <v>441.65289999999902</v>
      </c>
      <c r="F74" s="50">
        <v>373.91019999999901</v>
      </c>
      <c r="G74" s="50">
        <v>368.44119999999901</v>
      </c>
      <c r="H74" s="50">
        <v>278.34679999999997</v>
      </c>
      <c r="I74" s="50">
        <v>29.216099999999901</v>
      </c>
      <c r="J74" s="50">
        <v>67.742699999999999</v>
      </c>
      <c r="K74" s="50">
        <v>16.2026</v>
      </c>
      <c r="L74" s="50">
        <v>368.44119999999901</v>
      </c>
      <c r="M74" s="50">
        <v>45.418699999999902</v>
      </c>
      <c r="N74" s="50">
        <v>413.85989999999902</v>
      </c>
      <c r="O74" s="58">
        <v>0.61340706109999998</v>
      </c>
      <c r="P74" s="58">
        <v>0.83423249340000005</v>
      </c>
      <c r="Q74" s="5">
        <v>0</v>
      </c>
      <c r="R74" s="50">
        <v>0</v>
      </c>
      <c r="S74" s="50">
        <v>0</v>
      </c>
      <c r="T74" s="5">
        <v>633</v>
      </c>
      <c r="U74" s="5">
        <f t="shared" si="6"/>
        <v>15825</v>
      </c>
      <c r="V74" s="5">
        <v>25</v>
      </c>
      <c r="W74" s="50">
        <v>5889.53999999999</v>
      </c>
      <c r="X74" s="50">
        <v>14.230757799999999</v>
      </c>
      <c r="Y74" s="50">
        <v>5243.1974810000002</v>
      </c>
      <c r="Z74" s="50">
        <v>646.34251930000005</v>
      </c>
      <c r="AA74" s="50">
        <v>0</v>
      </c>
      <c r="AB74" s="50">
        <v>0</v>
      </c>
      <c r="AC74" s="4" t="str">
        <f t="shared" si="4"/>
        <v>Dumper</v>
      </c>
      <c r="AD74" s="4" t="str">
        <f t="shared" si="5"/>
        <v>Operational</v>
      </c>
      <c r="AE74" s="4" t="str">
        <f t="shared" si="7"/>
        <v>Individual</v>
      </c>
    </row>
    <row r="75" spans="1:31" ht="14" customHeight="1" x14ac:dyDescent="0.35">
      <c r="A75" s="3">
        <v>5</v>
      </c>
      <c r="B75" s="3" t="s">
        <v>101</v>
      </c>
      <c r="C75" s="3" t="s">
        <v>106</v>
      </c>
      <c r="D75" s="53">
        <v>720.00009999999997</v>
      </c>
      <c r="E75" s="49">
        <v>361.44639999999998</v>
      </c>
      <c r="F75" s="49">
        <v>313.69479999999999</v>
      </c>
      <c r="G75" s="49">
        <v>310.49</v>
      </c>
      <c r="H75" s="49">
        <v>358.55369999999999</v>
      </c>
      <c r="I75" s="49">
        <v>25.578800000000001</v>
      </c>
      <c r="J75" s="49">
        <v>47.751600000000003</v>
      </c>
      <c r="K75" s="49">
        <v>40.744999999999997</v>
      </c>
      <c r="L75" s="49">
        <v>310.49</v>
      </c>
      <c r="M75" s="49">
        <v>66.323800000000006</v>
      </c>
      <c r="N75" s="49">
        <v>376.81380000000001</v>
      </c>
      <c r="O75" s="57">
        <v>0.50200881919999996</v>
      </c>
      <c r="P75" s="57">
        <v>0.85902086730000005</v>
      </c>
      <c r="Q75" s="3">
        <v>0</v>
      </c>
      <c r="R75" s="49">
        <v>0</v>
      </c>
      <c r="S75" s="49">
        <v>0</v>
      </c>
      <c r="T75" s="3">
        <v>586</v>
      </c>
      <c r="U75" s="3">
        <f t="shared" si="6"/>
        <v>14650</v>
      </c>
      <c r="V75" s="3">
        <v>25</v>
      </c>
      <c r="W75" s="49">
        <v>4994.21</v>
      </c>
      <c r="X75" s="49">
        <v>13.253787409999999</v>
      </c>
      <c r="Y75" s="49">
        <v>4115.1684539999997</v>
      </c>
      <c r="Z75" s="49">
        <v>879.04154570000003</v>
      </c>
      <c r="AA75" s="49">
        <v>0</v>
      </c>
      <c r="AB75" s="49">
        <v>0</v>
      </c>
      <c r="AC75" s="4" t="str">
        <f t="shared" si="4"/>
        <v>Dumper</v>
      </c>
      <c r="AD75" s="4" t="str">
        <f t="shared" si="5"/>
        <v>Operational</v>
      </c>
      <c r="AE75" s="4" t="str">
        <f t="shared" si="7"/>
        <v>Individual</v>
      </c>
    </row>
    <row r="76" spans="1:31" ht="14" customHeight="1" x14ac:dyDescent="0.35">
      <c r="A76" s="5">
        <v>6</v>
      </c>
      <c r="B76" s="5" t="s">
        <v>101</v>
      </c>
      <c r="C76" s="5" t="s">
        <v>107</v>
      </c>
      <c r="D76" s="54">
        <v>719.99969999999905</v>
      </c>
      <c r="E76" s="50">
        <v>427.26249999999999</v>
      </c>
      <c r="F76" s="50">
        <v>368.92840000000001</v>
      </c>
      <c r="G76" s="50">
        <v>366.41750000000002</v>
      </c>
      <c r="H76" s="50">
        <v>292.73719999999901</v>
      </c>
      <c r="I76" s="50">
        <v>43.6116999999999</v>
      </c>
      <c r="J76" s="50">
        <v>58.334099999999999</v>
      </c>
      <c r="K76" s="50">
        <v>27.2088</v>
      </c>
      <c r="L76" s="50">
        <v>366.41750000000002</v>
      </c>
      <c r="M76" s="50">
        <v>70.820499999999996</v>
      </c>
      <c r="N76" s="50">
        <v>437.238</v>
      </c>
      <c r="O76" s="58">
        <v>0.59342038610000003</v>
      </c>
      <c r="P76" s="58">
        <v>0.85759339980000004</v>
      </c>
      <c r="Q76" s="5">
        <v>13</v>
      </c>
      <c r="R76" s="50">
        <v>529.70000000000005</v>
      </c>
      <c r="S76" s="50">
        <v>40.746153849999999</v>
      </c>
      <c r="T76" s="5">
        <v>685</v>
      </c>
      <c r="U76" s="5">
        <f t="shared" si="6"/>
        <v>17125</v>
      </c>
      <c r="V76" s="5">
        <v>25</v>
      </c>
      <c r="W76" s="50">
        <v>5923.09</v>
      </c>
      <c r="X76" s="50">
        <v>13.54660391</v>
      </c>
      <c r="Y76" s="50">
        <v>4963.7127380000002</v>
      </c>
      <c r="Z76" s="50">
        <v>959.37726210000005</v>
      </c>
      <c r="AA76" s="50">
        <v>8.4858022920000007</v>
      </c>
      <c r="AB76" s="50">
        <v>0.62779844620000003</v>
      </c>
      <c r="AC76" s="4" t="str">
        <f t="shared" si="4"/>
        <v>Dumper</v>
      </c>
      <c r="AD76" s="4" t="str">
        <f t="shared" si="5"/>
        <v>Operational</v>
      </c>
      <c r="AE76" s="4" t="str">
        <f t="shared" si="7"/>
        <v>Individual</v>
      </c>
    </row>
    <row r="77" spans="1:31" ht="14" customHeight="1" x14ac:dyDescent="0.35">
      <c r="A77" s="3">
        <v>7</v>
      </c>
      <c r="B77" s="3" t="s">
        <v>101</v>
      </c>
      <c r="C77" s="3" t="s">
        <v>108</v>
      </c>
      <c r="D77" s="53">
        <v>720.00009999999997</v>
      </c>
      <c r="E77" s="49">
        <v>248.23740000000001</v>
      </c>
      <c r="F77" s="49">
        <v>214.79769999999999</v>
      </c>
      <c r="G77" s="49">
        <v>210.48240000000001</v>
      </c>
      <c r="H77" s="49">
        <v>471.76269999999897</v>
      </c>
      <c r="I77" s="49">
        <v>8.5945999999999891</v>
      </c>
      <c r="J77" s="49">
        <v>33.439700000000002</v>
      </c>
      <c r="K77" s="49">
        <v>2.4944999999999999</v>
      </c>
      <c r="L77" s="49">
        <v>210.48240000000001</v>
      </c>
      <c r="M77" s="49">
        <v>11.089099999999901</v>
      </c>
      <c r="N77" s="49">
        <v>221.57149999999999</v>
      </c>
      <c r="O77" s="57">
        <v>0.34477411879999997</v>
      </c>
      <c r="P77" s="57">
        <v>0.84790768839999997</v>
      </c>
      <c r="Q77" s="3">
        <v>0</v>
      </c>
      <c r="R77" s="49">
        <v>0</v>
      </c>
      <c r="S77" s="49">
        <v>0</v>
      </c>
      <c r="T77" s="3">
        <v>745</v>
      </c>
      <c r="U77" s="3">
        <f t="shared" si="6"/>
        <v>18625</v>
      </c>
      <c r="V77" s="3">
        <v>25</v>
      </c>
      <c r="W77" s="49">
        <v>6712.86</v>
      </c>
      <c r="X77" s="49">
        <v>30.29658598</v>
      </c>
      <c r="Y77" s="49">
        <v>6376.8981279999998</v>
      </c>
      <c r="Z77" s="49">
        <v>335.96187159999999</v>
      </c>
      <c r="AA77" s="49">
        <v>0</v>
      </c>
      <c r="AB77" s="49">
        <v>0</v>
      </c>
      <c r="AC77" s="4" t="str">
        <f t="shared" si="4"/>
        <v>Dumper</v>
      </c>
      <c r="AD77" s="4" t="str">
        <f t="shared" si="5"/>
        <v>Operational</v>
      </c>
      <c r="AE77" s="4" t="str">
        <f t="shared" si="7"/>
        <v>Individual</v>
      </c>
    </row>
    <row r="78" spans="1:31" ht="14" customHeight="1" x14ac:dyDescent="0.35">
      <c r="A78" s="5">
        <v>8</v>
      </c>
      <c r="B78" s="5" t="s">
        <v>101</v>
      </c>
      <c r="C78" s="5" t="s">
        <v>109</v>
      </c>
      <c r="D78" s="54">
        <v>719.99879999999996</v>
      </c>
      <c r="E78" s="50">
        <v>496.02940000000001</v>
      </c>
      <c r="F78" s="50">
        <v>433.71339999999998</v>
      </c>
      <c r="G78" s="50">
        <v>427.53539999999998</v>
      </c>
      <c r="H78" s="50">
        <v>223.96939999999901</v>
      </c>
      <c r="I78" s="50">
        <v>23.2179</v>
      </c>
      <c r="J78" s="50">
        <v>62.315999999999903</v>
      </c>
      <c r="K78" s="50">
        <v>14.164499999999901</v>
      </c>
      <c r="L78" s="50">
        <v>427.53539999999998</v>
      </c>
      <c r="M78" s="50">
        <v>37.382399999999997</v>
      </c>
      <c r="N78" s="50">
        <v>464.9178</v>
      </c>
      <c r="O78" s="58">
        <v>0.68893087040000001</v>
      </c>
      <c r="P78" s="58">
        <v>0.8619154429</v>
      </c>
      <c r="Q78" s="5">
        <v>0</v>
      </c>
      <c r="R78" s="50">
        <v>0</v>
      </c>
      <c r="S78" s="50">
        <v>0</v>
      </c>
      <c r="T78" s="5">
        <v>865</v>
      </c>
      <c r="U78" s="5">
        <f t="shared" si="6"/>
        <v>21625</v>
      </c>
      <c r="V78" s="5">
        <v>25</v>
      </c>
      <c r="W78" s="50">
        <v>6827.2699999999904</v>
      </c>
      <c r="X78" s="50">
        <v>14.68489699</v>
      </c>
      <c r="Y78" s="50">
        <v>6278.3133070000003</v>
      </c>
      <c r="Z78" s="50">
        <v>548.95669310000005</v>
      </c>
      <c r="AA78" s="50">
        <v>0</v>
      </c>
      <c r="AB78" s="50">
        <v>0</v>
      </c>
      <c r="AC78" s="4" t="str">
        <f t="shared" si="4"/>
        <v>Dumper</v>
      </c>
      <c r="AD78" s="4" t="str">
        <f t="shared" si="5"/>
        <v>Operational</v>
      </c>
      <c r="AE78" s="4" t="str">
        <f t="shared" si="7"/>
        <v>Individual</v>
      </c>
    </row>
    <row r="79" spans="1:31" ht="14" customHeight="1" x14ac:dyDescent="0.35">
      <c r="A79" s="3">
        <v>9</v>
      </c>
      <c r="B79" s="3" t="s">
        <v>101</v>
      </c>
      <c r="C79" s="3" t="s">
        <v>110</v>
      </c>
      <c r="D79" s="53">
        <v>719.999899999999</v>
      </c>
      <c r="E79" s="49">
        <v>578.24609999999905</v>
      </c>
      <c r="F79" s="49">
        <v>512.488599999999</v>
      </c>
      <c r="G79" s="49">
        <v>502.47789999999998</v>
      </c>
      <c r="H79" s="49">
        <v>141.75380000000001</v>
      </c>
      <c r="I79" s="49">
        <v>27.6905</v>
      </c>
      <c r="J79" s="49">
        <v>65.757499999999993</v>
      </c>
      <c r="K79" s="49">
        <v>4.8202999999999996</v>
      </c>
      <c r="L79" s="49">
        <v>502.47789999999998</v>
      </c>
      <c r="M79" s="49">
        <v>32.510800000000003</v>
      </c>
      <c r="N79" s="49">
        <v>534.98869999999999</v>
      </c>
      <c r="O79" s="57">
        <v>0.80311969490000001</v>
      </c>
      <c r="P79" s="57">
        <v>0.86896893900000005</v>
      </c>
      <c r="Q79" s="3">
        <v>0</v>
      </c>
      <c r="R79" s="49">
        <v>0</v>
      </c>
      <c r="S79" s="49">
        <v>0</v>
      </c>
      <c r="T79" s="3">
        <v>1001</v>
      </c>
      <c r="U79" s="3">
        <f t="shared" si="6"/>
        <v>25025</v>
      </c>
      <c r="V79" s="3">
        <v>25</v>
      </c>
      <c r="W79" s="49">
        <v>7625.29</v>
      </c>
      <c r="X79" s="49">
        <v>14.25317955</v>
      </c>
      <c r="Y79" s="49">
        <v>7161.9077301838297</v>
      </c>
      <c r="Z79" s="49">
        <v>463.38226980000002</v>
      </c>
      <c r="AA79" s="49">
        <v>0</v>
      </c>
      <c r="AB79" s="49">
        <v>0</v>
      </c>
      <c r="AC79" s="4" t="str">
        <f t="shared" si="4"/>
        <v>Dumper</v>
      </c>
      <c r="AD79" s="4" t="str">
        <f t="shared" si="5"/>
        <v>Operational</v>
      </c>
      <c r="AE79" s="4" t="str">
        <f t="shared" si="7"/>
        <v>Individual</v>
      </c>
    </row>
    <row r="80" spans="1:31" ht="14" customHeight="1" x14ac:dyDescent="0.35">
      <c r="A80" s="5">
        <v>10</v>
      </c>
      <c r="B80" s="5" t="s">
        <v>101</v>
      </c>
      <c r="C80" s="5" t="s">
        <v>111</v>
      </c>
      <c r="D80" s="54">
        <v>719.99949999999899</v>
      </c>
      <c r="E80" s="50">
        <v>420.601799999999</v>
      </c>
      <c r="F80" s="50">
        <v>354.30799999999999</v>
      </c>
      <c r="G80" s="50">
        <v>350.40559999999999</v>
      </c>
      <c r="H80" s="50">
        <v>299.39769999999999</v>
      </c>
      <c r="I80" s="50">
        <v>46.923499999999898</v>
      </c>
      <c r="J80" s="50">
        <v>66.293799999999905</v>
      </c>
      <c r="K80" s="50">
        <v>46.65</v>
      </c>
      <c r="L80" s="50">
        <v>350.40559999999999</v>
      </c>
      <c r="M80" s="50">
        <v>93.573499999999996</v>
      </c>
      <c r="N80" s="50">
        <v>443.97910000000002</v>
      </c>
      <c r="O80" s="58">
        <v>0.5841695723</v>
      </c>
      <c r="P80" s="58">
        <v>0.83310532670000004</v>
      </c>
      <c r="Q80" s="5">
        <v>0</v>
      </c>
      <c r="R80" s="50">
        <v>0</v>
      </c>
      <c r="S80" s="50">
        <v>0</v>
      </c>
      <c r="T80" s="5">
        <v>608</v>
      </c>
      <c r="U80" s="5">
        <f t="shared" si="6"/>
        <v>15200</v>
      </c>
      <c r="V80" s="5">
        <v>25</v>
      </c>
      <c r="W80" s="50">
        <v>5500.76</v>
      </c>
      <c r="X80" s="50">
        <v>12.38968231</v>
      </c>
      <c r="Y80" s="50">
        <v>4341.4140630000002</v>
      </c>
      <c r="Z80" s="50">
        <v>1159.345937</v>
      </c>
      <c r="AA80" s="50">
        <v>0</v>
      </c>
      <c r="AB80" s="50">
        <v>0</v>
      </c>
      <c r="AC80" s="4" t="str">
        <f t="shared" si="4"/>
        <v>Dumper</v>
      </c>
      <c r="AD80" s="4" t="str">
        <f t="shared" si="5"/>
        <v>Operational</v>
      </c>
      <c r="AE80" s="4" t="str">
        <f t="shared" si="7"/>
        <v>Individual</v>
      </c>
    </row>
    <row r="81" spans="1:31" ht="14" hidden="1" customHeight="1" x14ac:dyDescent="0.35">
      <c r="A81" s="3">
        <v>11</v>
      </c>
      <c r="B81" s="3" t="s">
        <v>101</v>
      </c>
      <c r="C81" s="3" t="s">
        <v>112</v>
      </c>
      <c r="D81" s="53">
        <v>719.999899999999</v>
      </c>
      <c r="E81" s="49">
        <v>4.5401999999999996</v>
      </c>
      <c r="F81" s="49">
        <v>3.3616000000000001</v>
      </c>
      <c r="G81" s="49">
        <v>3.2210999999999999</v>
      </c>
      <c r="H81" s="49">
        <v>715.4597</v>
      </c>
      <c r="I81" s="49">
        <v>5.1299999999999998E-2</v>
      </c>
      <c r="J81" s="49">
        <v>1.1785999999999901</v>
      </c>
      <c r="K81" s="49">
        <v>4.0300000000000002E-2</v>
      </c>
      <c r="L81" s="49">
        <v>3.2210999999999999</v>
      </c>
      <c r="M81" s="49">
        <v>9.1600000000000001E-2</v>
      </c>
      <c r="N81" s="49">
        <v>3.3127</v>
      </c>
      <c r="O81" s="57">
        <v>6.3058341999999998E-3</v>
      </c>
      <c r="P81" s="57">
        <v>0.70946213820000004</v>
      </c>
      <c r="Q81" s="3">
        <v>0</v>
      </c>
      <c r="R81" s="49">
        <v>0</v>
      </c>
      <c r="S81" s="49">
        <v>0</v>
      </c>
      <c r="T81" s="3">
        <v>14</v>
      </c>
      <c r="U81" s="3">
        <f t="shared" si="6"/>
        <v>350</v>
      </c>
      <c r="V81" s="3">
        <v>25</v>
      </c>
      <c r="W81" s="49">
        <v>223.66</v>
      </c>
      <c r="X81" s="49">
        <v>67.515923569999998</v>
      </c>
      <c r="Y81" s="49">
        <v>217.4755414</v>
      </c>
      <c r="Z81" s="49">
        <v>6.1844585990000001</v>
      </c>
      <c r="AA81" s="49">
        <v>0</v>
      </c>
      <c r="AB81" s="49">
        <v>0</v>
      </c>
      <c r="AC81" s="4" t="str">
        <f t="shared" si="4"/>
        <v>Dumper</v>
      </c>
      <c r="AD81" s="4" t="str">
        <f t="shared" si="5"/>
        <v>Operational</v>
      </c>
      <c r="AE81" s="4" t="str">
        <f t="shared" si="7"/>
        <v>Individual</v>
      </c>
    </row>
    <row r="82" spans="1:31" ht="14" hidden="1" customHeight="1" x14ac:dyDescent="0.35">
      <c r="A82" s="5">
        <v>12</v>
      </c>
      <c r="B82" s="5" t="s">
        <v>101</v>
      </c>
      <c r="C82" s="5" t="s">
        <v>113</v>
      </c>
      <c r="D82" s="54">
        <v>720.00019999999995</v>
      </c>
      <c r="E82" s="50">
        <v>71.501199999999997</v>
      </c>
      <c r="F82" s="50">
        <v>65.498599999999996</v>
      </c>
      <c r="G82" s="50">
        <v>64.663999999999902</v>
      </c>
      <c r="H82" s="50">
        <v>648.49900000000002</v>
      </c>
      <c r="I82" s="50">
        <v>1.8136999999999901</v>
      </c>
      <c r="J82" s="50">
        <v>6.0026000000000002</v>
      </c>
      <c r="K82" s="50">
        <v>0.6472</v>
      </c>
      <c r="L82" s="50">
        <v>64.663999999999902</v>
      </c>
      <c r="M82" s="50">
        <v>2.4608999999999899</v>
      </c>
      <c r="N82" s="50">
        <v>67.124899999999897</v>
      </c>
      <c r="O82" s="58">
        <v>9.9307194599999996E-2</v>
      </c>
      <c r="P82" s="58">
        <v>0.90437643000000001</v>
      </c>
      <c r="Q82" s="5">
        <v>0</v>
      </c>
      <c r="R82" s="50">
        <v>0</v>
      </c>
      <c r="S82" s="50">
        <v>0</v>
      </c>
      <c r="T82" s="5">
        <v>105</v>
      </c>
      <c r="U82" s="5">
        <f t="shared" si="6"/>
        <v>2625</v>
      </c>
      <c r="V82" s="5">
        <v>25</v>
      </c>
      <c r="W82" s="50">
        <v>1332.3899999999901</v>
      </c>
      <c r="X82" s="50">
        <v>19.849415050000001</v>
      </c>
      <c r="Y82" s="50">
        <v>1283.5425749999999</v>
      </c>
      <c r="Z82" s="50">
        <v>48.847425489999999</v>
      </c>
      <c r="AA82" s="50">
        <v>0</v>
      </c>
      <c r="AB82" s="50">
        <v>0</v>
      </c>
      <c r="AC82" s="4" t="str">
        <f t="shared" si="4"/>
        <v>Dumper</v>
      </c>
      <c r="AD82" s="4" t="str">
        <f t="shared" si="5"/>
        <v>Operational</v>
      </c>
      <c r="AE82" s="4" t="str">
        <f t="shared" si="7"/>
        <v>Individual</v>
      </c>
    </row>
    <row r="83" spans="1:31" ht="14" customHeight="1" x14ac:dyDescent="0.35">
      <c r="A83" s="3">
        <v>13</v>
      </c>
      <c r="B83" s="3" t="s">
        <v>101</v>
      </c>
      <c r="C83" s="3" t="s">
        <v>114</v>
      </c>
      <c r="D83" s="53">
        <v>720.00069999999903</v>
      </c>
      <c r="E83" s="49">
        <v>296.43769999999898</v>
      </c>
      <c r="F83" s="49">
        <v>257.55939999999902</v>
      </c>
      <c r="G83" s="49">
        <v>253.222299999999</v>
      </c>
      <c r="H83" s="49">
        <v>423.56299999999999</v>
      </c>
      <c r="I83" s="49">
        <v>13.735900000000001</v>
      </c>
      <c r="J83" s="49">
        <v>38.878299999999903</v>
      </c>
      <c r="K83" s="49">
        <v>7.8312999999999899</v>
      </c>
      <c r="L83" s="49">
        <v>253.222299999999</v>
      </c>
      <c r="M83" s="49">
        <v>21.5672</v>
      </c>
      <c r="N83" s="49">
        <v>274.78949999999998</v>
      </c>
      <c r="O83" s="57">
        <v>0.41171862749999999</v>
      </c>
      <c r="P83" s="57">
        <v>0.85421759779999995</v>
      </c>
      <c r="Q83" s="3">
        <v>0</v>
      </c>
      <c r="R83" s="49">
        <v>0</v>
      </c>
      <c r="S83" s="49">
        <v>0</v>
      </c>
      <c r="T83" s="3">
        <v>843</v>
      </c>
      <c r="U83" s="3">
        <f t="shared" si="6"/>
        <v>21075</v>
      </c>
      <c r="V83" s="3">
        <v>25</v>
      </c>
      <c r="W83" s="49">
        <v>7320.46</v>
      </c>
      <c r="X83" s="49">
        <v>26.640246439999999</v>
      </c>
      <c r="Y83" s="49">
        <v>6745.904477</v>
      </c>
      <c r="Z83" s="49">
        <v>574.55552309999996</v>
      </c>
      <c r="AA83" s="49">
        <v>0</v>
      </c>
      <c r="AB83" s="49">
        <v>0</v>
      </c>
      <c r="AC83" s="4" t="str">
        <f t="shared" si="4"/>
        <v>Dumper</v>
      </c>
      <c r="AD83" s="4" t="str">
        <f t="shared" si="5"/>
        <v>Operational</v>
      </c>
      <c r="AE83" s="4" t="str">
        <f t="shared" si="7"/>
        <v>Individual</v>
      </c>
    </row>
    <row r="84" spans="1:31" ht="14" customHeight="1" x14ac:dyDescent="0.35">
      <c r="A84" s="5">
        <v>14</v>
      </c>
      <c r="B84" s="5" t="s">
        <v>101</v>
      </c>
      <c r="C84" s="5" t="s">
        <v>115</v>
      </c>
      <c r="D84" s="54">
        <v>720.00069999999903</v>
      </c>
      <c r="E84" s="50">
        <v>312.53120000000001</v>
      </c>
      <c r="F84" s="50">
        <v>260.79199999999997</v>
      </c>
      <c r="G84" s="50">
        <v>240.3527</v>
      </c>
      <c r="H84" s="50">
        <v>407.46949999999902</v>
      </c>
      <c r="I84" s="50">
        <v>31.114899999999999</v>
      </c>
      <c r="J84" s="50">
        <v>51.739199999999997</v>
      </c>
      <c r="K84" s="50">
        <v>28.889600000000002</v>
      </c>
      <c r="L84" s="50">
        <v>240.3527</v>
      </c>
      <c r="M84" s="50">
        <v>60.0045</v>
      </c>
      <c r="N84" s="50">
        <v>300.35719999999998</v>
      </c>
      <c r="O84" s="58">
        <v>0.43407068910000002</v>
      </c>
      <c r="P84" s="58">
        <v>0.76905185789999997</v>
      </c>
      <c r="Q84" s="5">
        <v>0</v>
      </c>
      <c r="R84" s="50">
        <v>0</v>
      </c>
      <c r="S84" s="50">
        <v>0</v>
      </c>
      <c r="T84" s="5">
        <v>500</v>
      </c>
      <c r="U84" s="5">
        <f t="shared" si="6"/>
        <v>12500</v>
      </c>
      <c r="V84" s="5">
        <v>25</v>
      </c>
      <c r="W84" s="50">
        <v>5043.2699999999904</v>
      </c>
      <c r="X84" s="50">
        <v>16.79090763</v>
      </c>
      <c r="Y84" s="50">
        <v>4035.7399829999999</v>
      </c>
      <c r="Z84" s="50">
        <v>1007.530017</v>
      </c>
      <c r="AA84" s="50">
        <v>0</v>
      </c>
      <c r="AB84" s="50">
        <v>0</v>
      </c>
      <c r="AC84" s="4" t="str">
        <f t="shared" si="4"/>
        <v>Dumper</v>
      </c>
      <c r="AD84" s="4" t="str">
        <f t="shared" si="5"/>
        <v>Operational</v>
      </c>
      <c r="AE84" s="4" t="str">
        <f t="shared" si="7"/>
        <v>Individual</v>
      </c>
    </row>
    <row r="85" spans="1:31" ht="14" customHeight="1" x14ac:dyDescent="0.35">
      <c r="A85" s="3">
        <v>15</v>
      </c>
      <c r="B85" s="3" t="s">
        <v>101</v>
      </c>
      <c r="C85" s="3" t="s">
        <v>116</v>
      </c>
      <c r="D85" s="53">
        <v>720.00030000000004</v>
      </c>
      <c r="E85" s="49">
        <v>418.2423</v>
      </c>
      <c r="F85" s="49">
        <v>350.61970000000002</v>
      </c>
      <c r="G85" s="49">
        <v>343.39319999999998</v>
      </c>
      <c r="H85" s="49">
        <v>301.75799999999902</v>
      </c>
      <c r="I85" s="49">
        <v>31.378799999999998</v>
      </c>
      <c r="J85" s="49">
        <v>67.622599999999906</v>
      </c>
      <c r="K85" s="49">
        <v>15.0177</v>
      </c>
      <c r="L85" s="49">
        <v>343.39319999999998</v>
      </c>
      <c r="M85" s="49">
        <v>46.396500000000003</v>
      </c>
      <c r="N85" s="49">
        <v>389.78969999999998</v>
      </c>
      <c r="O85" s="57">
        <v>0.58089184130000004</v>
      </c>
      <c r="P85" s="57">
        <v>0.82103890499999999</v>
      </c>
      <c r="Q85" s="3">
        <v>0</v>
      </c>
      <c r="R85" s="49">
        <v>0</v>
      </c>
      <c r="S85" s="49">
        <v>0</v>
      </c>
      <c r="T85" s="3">
        <v>596</v>
      </c>
      <c r="U85" s="3">
        <f t="shared" si="6"/>
        <v>14900</v>
      </c>
      <c r="V85" s="3">
        <v>25</v>
      </c>
      <c r="W85" s="49">
        <v>5156.0299999999897</v>
      </c>
      <c r="X85" s="49">
        <v>13.22772254</v>
      </c>
      <c r="Y85" s="49">
        <v>4542.3099709999997</v>
      </c>
      <c r="Z85" s="49">
        <v>613.72002880000002</v>
      </c>
      <c r="AA85" s="49">
        <v>0</v>
      </c>
      <c r="AB85" s="49">
        <v>0</v>
      </c>
      <c r="AC85" s="4" t="str">
        <f t="shared" si="4"/>
        <v>Dumper</v>
      </c>
      <c r="AD85" s="4" t="str">
        <f t="shared" si="5"/>
        <v>Operational</v>
      </c>
      <c r="AE85" s="4" t="str">
        <f t="shared" si="7"/>
        <v>Individual</v>
      </c>
    </row>
    <row r="86" spans="1:31" ht="14" customHeight="1" x14ac:dyDescent="0.35">
      <c r="A86" s="5">
        <v>16</v>
      </c>
      <c r="B86" s="5" t="s">
        <v>101</v>
      </c>
      <c r="C86" s="5" t="s">
        <v>117</v>
      </c>
      <c r="D86" s="54">
        <v>716.45849999999996</v>
      </c>
      <c r="E86" s="50">
        <v>129.17779999999999</v>
      </c>
      <c r="F86" s="50">
        <v>109.1661</v>
      </c>
      <c r="G86" s="50">
        <v>98.075100000000006</v>
      </c>
      <c r="H86" s="50">
        <v>587.28070000000002</v>
      </c>
      <c r="I86" s="50">
        <v>6.0316999999999901</v>
      </c>
      <c r="J86" s="50">
        <v>20.011700000000001</v>
      </c>
      <c r="K86" s="50">
        <v>2.9365999999999999</v>
      </c>
      <c r="L86" s="50">
        <v>98.075100000000006</v>
      </c>
      <c r="M86" s="50">
        <v>8.9682999999999993</v>
      </c>
      <c r="N86" s="50">
        <v>107.04340000000001</v>
      </c>
      <c r="O86" s="58">
        <v>0.18030046399999999</v>
      </c>
      <c r="P86" s="58">
        <v>0.75922565639999995</v>
      </c>
      <c r="Q86" s="5">
        <v>0</v>
      </c>
      <c r="R86" s="50">
        <v>0</v>
      </c>
      <c r="S86" s="50">
        <v>0</v>
      </c>
      <c r="T86" s="5">
        <v>156</v>
      </c>
      <c r="U86" s="5">
        <f t="shared" si="6"/>
        <v>3900</v>
      </c>
      <c r="V86" s="5">
        <v>25</v>
      </c>
      <c r="W86" s="50">
        <v>2439.16</v>
      </c>
      <c r="X86" s="50">
        <v>22.786645419999999</v>
      </c>
      <c r="Y86" s="50">
        <v>2234.8025280000002</v>
      </c>
      <c r="Z86" s="50">
        <v>204.3574721</v>
      </c>
      <c r="AA86" s="50">
        <v>0</v>
      </c>
      <c r="AB86" s="50">
        <v>0</v>
      </c>
      <c r="AC86" s="4" t="str">
        <f t="shared" si="4"/>
        <v>Dumper</v>
      </c>
      <c r="AD86" s="4" t="str">
        <f t="shared" si="5"/>
        <v>Operational</v>
      </c>
      <c r="AE86" s="4" t="str">
        <f t="shared" si="7"/>
        <v>Individual</v>
      </c>
    </row>
    <row r="87" spans="1:31" ht="14" customHeight="1" x14ac:dyDescent="0.35">
      <c r="A87" s="3">
        <v>17</v>
      </c>
      <c r="B87" s="3" t="s">
        <v>101</v>
      </c>
      <c r="C87" s="3" t="s">
        <v>118</v>
      </c>
      <c r="D87" s="53">
        <v>720.0009</v>
      </c>
      <c r="E87" s="49">
        <v>494.56049999999999</v>
      </c>
      <c r="F87" s="49">
        <v>434.67219999999998</v>
      </c>
      <c r="G87" s="49">
        <v>426.9246</v>
      </c>
      <c r="H87" s="49">
        <v>225.44040000000001</v>
      </c>
      <c r="I87" s="49">
        <v>26.383999999999901</v>
      </c>
      <c r="J87" s="49">
        <v>59.888299999999902</v>
      </c>
      <c r="K87" s="49">
        <v>11.3071</v>
      </c>
      <c r="L87" s="49">
        <v>426.9246</v>
      </c>
      <c r="M87" s="49">
        <v>37.691099999999899</v>
      </c>
      <c r="N87" s="49">
        <v>464.6157</v>
      </c>
      <c r="O87" s="57">
        <v>0.68688872469999995</v>
      </c>
      <c r="P87" s="57">
        <v>0.86324039220000004</v>
      </c>
      <c r="Q87" s="3">
        <v>0</v>
      </c>
      <c r="R87" s="49">
        <v>0</v>
      </c>
      <c r="S87" s="49">
        <v>0</v>
      </c>
      <c r="T87" s="3">
        <v>775</v>
      </c>
      <c r="U87" s="3">
        <f t="shared" si="6"/>
        <v>19375</v>
      </c>
      <c r="V87" s="3">
        <v>25</v>
      </c>
      <c r="W87" s="49">
        <v>6531.21</v>
      </c>
      <c r="X87" s="49">
        <v>14.057230519999999</v>
      </c>
      <c r="Y87" s="49">
        <v>6001.3775189999997</v>
      </c>
      <c r="Z87" s="49">
        <v>529.83248140000001</v>
      </c>
      <c r="AA87" s="49">
        <v>0</v>
      </c>
      <c r="AB87" s="49">
        <v>0</v>
      </c>
      <c r="AC87" s="4" t="str">
        <f t="shared" si="4"/>
        <v>Dumper</v>
      </c>
      <c r="AD87" s="4" t="str">
        <f t="shared" si="5"/>
        <v>Operational</v>
      </c>
      <c r="AE87" s="4" t="str">
        <f t="shared" si="7"/>
        <v>Individual</v>
      </c>
    </row>
    <row r="88" spans="1:31" ht="14" customHeight="1" x14ac:dyDescent="0.35">
      <c r="A88" s="5">
        <v>18</v>
      </c>
      <c r="B88" s="5" t="s">
        <v>101</v>
      </c>
      <c r="C88" s="5" t="s">
        <v>119</v>
      </c>
      <c r="D88" s="54">
        <v>720.00030000000004</v>
      </c>
      <c r="E88" s="50">
        <v>145.209</v>
      </c>
      <c r="F88" s="50">
        <v>122.9038</v>
      </c>
      <c r="G88" s="50">
        <v>120.0312</v>
      </c>
      <c r="H88" s="50">
        <v>574.79129999999998</v>
      </c>
      <c r="I88" s="50">
        <v>11.7182</v>
      </c>
      <c r="J88" s="50">
        <v>22.305199999999999</v>
      </c>
      <c r="K88" s="50">
        <v>21.731599999999901</v>
      </c>
      <c r="L88" s="50">
        <v>120.0312</v>
      </c>
      <c r="M88" s="50">
        <v>33.449799999999897</v>
      </c>
      <c r="N88" s="50">
        <v>153.48099999999999</v>
      </c>
      <c r="O88" s="58">
        <v>0.2016790826</v>
      </c>
      <c r="P88" s="58">
        <v>0.82660992089999996</v>
      </c>
      <c r="Q88" s="5">
        <v>0</v>
      </c>
      <c r="R88" s="50">
        <v>0</v>
      </c>
      <c r="S88" s="50">
        <v>0</v>
      </c>
      <c r="T88" s="5">
        <v>224</v>
      </c>
      <c r="U88" s="5">
        <f t="shared" si="6"/>
        <v>5600</v>
      </c>
      <c r="V88" s="5">
        <v>25</v>
      </c>
      <c r="W88" s="50">
        <v>2303.7599999999902</v>
      </c>
      <c r="X88" s="50">
        <v>15.01006639</v>
      </c>
      <c r="Y88" s="50">
        <v>1801.676281</v>
      </c>
      <c r="Z88" s="50">
        <v>502.08371879999999</v>
      </c>
      <c r="AA88" s="50">
        <v>0</v>
      </c>
      <c r="AB88" s="50">
        <v>0</v>
      </c>
      <c r="AC88" s="4" t="str">
        <f t="shared" si="4"/>
        <v>Dumper</v>
      </c>
      <c r="AD88" s="4" t="str">
        <f t="shared" si="5"/>
        <v>Operational</v>
      </c>
      <c r="AE88" s="4" t="str">
        <f t="shared" si="7"/>
        <v>Individual</v>
      </c>
    </row>
    <row r="89" spans="1:31" ht="14" hidden="1" customHeight="1" x14ac:dyDescent="0.35">
      <c r="A89" s="3">
        <v>19</v>
      </c>
      <c r="B89" s="3" t="s">
        <v>101</v>
      </c>
      <c r="C89" s="3" t="s">
        <v>120</v>
      </c>
      <c r="D89" s="53">
        <v>720</v>
      </c>
      <c r="E89" s="49">
        <v>0</v>
      </c>
      <c r="F89" s="49">
        <v>0</v>
      </c>
      <c r="G89" s="49">
        <v>0</v>
      </c>
      <c r="H89" s="49">
        <v>720</v>
      </c>
      <c r="I89" s="49">
        <v>0</v>
      </c>
      <c r="J89" s="49">
        <v>0</v>
      </c>
      <c r="K89" s="49">
        <v>0</v>
      </c>
      <c r="L89" s="49">
        <v>0</v>
      </c>
      <c r="M89" s="49">
        <v>0</v>
      </c>
      <c r="N89" s="49">
        <v>0</v>
      </c>
      <c r="O89" s="57">
        <v>0</v>
      </c>
      <c r="P89" s="57">
        <v>0</v>
      </c>
      <c r="Q89" s="3">
        <v>0</v>
      </c>
      <c r="R89" s="49">
        <v>0</v>
      </c>
      <c r="S89" s="49">
        <v>0</v>
      </c>
      <c r="T89" s="3">
        <v>0</v>
      </c>
      <c r="U89" s="3">
        <f t="shared" si="6"/>
        <v>0</v>
      </c>
      <c r="V89" s="3">
        <v>25</v>
      </c>
      <c r="W89" s="49">
        <v>0</v>
      </c>
      <c r="X89" s="49">
        <v>0</v>
      </c>
      <c r="Y89" s="49">
        <v>0</v>
      </c>
      <c r="Z89" s="49">
        <v>0</v>
      </c>
      <c r="AA89" s="49">
        <v>0</v>
      </c>
      <c r="AB89" s="49">
        <v>0</v>
      </c>
      <c r="AC89" s="4" t="str">
        <f t="shared" si="4"/>
        <v>Dumper</v>
      </c>
      <c r="AD89" s="4" t="str">
        <f t="shared" si="5"/>
        <v>Non-Operational</v>
      </c>
      <c r="AE89" s="4" t="str">
        <f t="shared" si="7"/>
        <v>Individual</v>
      </c>
    </row>
    <row r="90" spans="1:31" ht="14" customHeight="1" x14ac:dyDescent="0.35">
      <c r="A90" s="5">
        <v>20</v>
      </c>
      <c r="B90" s="5" t="s">
        <v>101</v>
      </c>
      <c r="C90" s="5" t="s">
        <v>121</v>
      </c>
      <c r="D90" s="54">
        <v>720.00040000000001</v>
      </c>
      <c r="E90" s="50">
        <v>292.81400000000002</v>
      </c>
      <c r="F90" s="50">
        <v>244.58179999999999</v>
      </c>
      <c r="G90" s="50">
        <v>240.017699999999</v>
      </c>
      <c r="H90" s="50">
        <v>427.18639999999999</v>
      </c>
      <c r="I90" s="50">
        <v>26.330099999999899</v>
      </c>
      <c r="J90" s="50">
        <v>48.232199999999899</v>
      </c>
      <c r="K90" s="50">
        <v>19.184000000000001</v>
      </c>
      <c r="L90" s="50">
        <v>240.017699999999</v>
      </c>
      <c r="M90" s="50">
        <v>45.514099999999999</v>
      </c>
      <c r="N90" s="50">
        <v>285.53179999999998</v>
      </c>
      <c r="O90" s="58">
        <v>0.40668588519999999</v>
      </c>
      <c r="P90" s="58">
        <v>0.81969338899999999</v>
      </c>
      <c r="Q90" s="5">
        <v>0</v>
      </c>
      <c r="R90" s="50">
        <v>0</v>
      </c>
      <c r="S90" s="50">
        <v>0</v>
      </c>
      <c r="T90" s="5">
        <v>427</v>
      </c>
      <c r="U90" s="5">
        <f t="shared" si="6"/>
        <v>10675</v>
      </c>
      <c r="V90" s="5">
        <v>25</v>
      </c>
      <c r="W90" s="50">
        <v>3965.78</v>
      </c>
      <c r="X90" s="50">
        <v>13.889100969999999</v>
      </c>
      <c r="Y90" s="50">
        <v>3333.6300695964501</v>
      </c>
      <c r="Z90" s="50">
        <v>632.14993040000002</v>
      </c>
      <c r="AA90" s="50">
        <v>0</v>
      </c>
      <c r="AB90" s="50">
        <v>0</v>
      </c>
      <c r="AC90" s="4" t="str">
        <f t="shared" si="4"/>
        <v>Dumper</v>
      </c>
      <c r="AD90" s="4" t="str">
        <f t="shared" si="5"/>
        <v>Operational</v>
      </c>
      <c r="AE90" s="4" t="str">
        <f t="shared" si="7"/>
        <v>Individual</v>
      </c>
    </row>
    <row r="91" spans="1:31" ht="14" customHeight="1" x14ac:dyDescent="0.35">
      <c r="A91" s="3">
        <v>21</v>
      </c>
      <c r="B91" s="3" t="s">
        <v>101</v>
      </c>
      <c r="C91" s="3" t="s">
        <v>122</v>
      </c>
      <c r="D91" s="53">
        <v>720.0009</v>
      </c>
      <c r="E91" s="49">
        <v>363.65719999999902</v>
      </c>
      <c r="F91" s="49">
        <v>308.26109999999898</v>
      </c>
      <c r="G91" s="49">
        <v>304.83719999999897</v>
      </c>
      <c r="H91" s="49">
        <v>356.34370000000001</v>
      </c>
      <c r="I91" s="49">
        <v>25.500299999999999</v>
      </c>
      <c r="J91" s="49">
        <v>55.396099999999997</v>
      </c>
      <c r="K91" s="49">
        <v>46.996499999999997</v>
      </c>
      <c r="L91" s="49">
        <v>304.83719999999897</v>
      </c>
      <c r="M91" s="49">
        <v>72.496799999999993</v>
      </c>
      <c r="N91" s="49">
        <v>377.33399999999898</v>
      </c>
      <c r="O91" s="57">
        <v>0.50507881310000002</v>
      </c>
      <c r="P91" s="57">
        <v>0.83825426800000002</v>
      </c>
      <c r="Q91" s="3">
        <v>0</v>
      </c>
      <c r="R91" s="49">
        <v>0</v>
      </c>
      <c r="S91" s="49">
        <v>0</v>
      </c>
      <c r="T91" s="3">
        <v>527</v>
      </c>
      <c r="U91" s="3">
        <f t="shared" si="6"/>
        <v>13175</v>
      </c>
      <c r="V91" s="3">
        <v>25</v>
      </c>
      <c r="W91" s="49">
        <v>5414.22</v>
      </c>
      <c r="X91" s="49">
        <v>14.348614230000001</v>
      </c>
      <c r="Y91" s="49">
        <v>4373.9913839999999</v>
      </c>
      <c r="Z91" s="49">
        <v>1040.2286160000001</v>
      </c>
      <c r="AA91" s="49">
        <v>0</v>
      </c>
      <c r="AB91" s="49">
        <v>0</v>
      </c>
      <c r="AC91" s="4" t="str">
        <f t="shared" si="4"/>
        <v>Dumper</v>
      </c>
      <c r="AD91" s="4" t="str">
        <f t="shared" si="5"/>
        <v>Operational</v>
      </c>
      <c r="AE91" s="4" t="str">
        <f t="shared" si="7"/>
        <v>Individual</v>
      </c>
    </row>
    <row r="92" spans="1:31" ht="14" hidden="1" customHeight="1" x14ac:dyDescent="0.35">
      <c r="A92" s="5">
        <v>22</v>
      </c>
      <c r="B92" s="5" t="s">
        <v>101</v>
      </c>
      <c r="C92" s="5" t="s">
        <v>123</v>
      </c>
      <c r="D92" s="54">
        <v>719.99959999999999</v>
      </c>
      <c r="E92" s="50">
        <v>46.9</v>
      </c>
      <c r="F92" s="50">
        <v>39.055999999999997</v>
      </c>
      <c r="G92" s="50">
        <v>38.399199999999901</v>
      </c>
      <c r="H92" s="50">
        <v>673.09960000000001</v>
      </c>
      <c r="I92" s="50">
        <v>2.0108999999999999</v>
      </c>
      <c r="J92" s="50">
        <v>7.8440000000000003</v>
      </c>
      <c r="K92" s="50">
        <v>11.827999999999999</v>
      </c>
      <c r="L92" s="50">
        <v>38.399199999999901</v>
      </c>
      <c r="M92" s="50">
        <v>13.838900000000001</v>
      </c>
      <c r="N92" s="50">
        <v>52.238099999999903</v>
      </c>
      <c r="O92" s="58">
        <v>6.5138925099999995E-2</v>
      </c>
      <c r="P92" s="58">
        <v>0.8187462687</v>
      </c>
      <c r="Q92" s="5">
        <v>0</v>
      </c>
      <c r="R92" s="50">
        <v>0</v>
      </c>
      <c r="S92" s="50">
        <v>0</v>
      </c>
      <c r="T92" s="5">
        <v>72</v>
      </c>
      <c r="U92" s="5">
        <f t="shared" si="6"/>
        <v>1800</v>
      </c>
      <c r="V92" s="5">
        <v>25</v>
      </c>
      <c r="W92" s="50">
        <v>948.81</v>
      </c>
      <c r="X92" s="50">
        <v>18.163179750000001</v>
      </c>
      <c r="Y92" s="50">
        <v>697.45157180000001</v>
      </c>
      <c r="Z92" s="50">
        <v>251.35842819999999</v>
      </c>
      <c r="AA92" s="50">
        <v>0</v>
      </c>
      <c r="AB92" s="50">
        <v>0</v>
      </c>
      <c r="AC92" s="4" t="str">
        <f t="shared" si="4"/>
        <v>Dumper</v>
      </c>
      <c r="AD92" s="4" t="str">
        <f t="shared" si="5"/>
        <v>Operational</v>
      </c>
      <c r="AE92" s="4" t="str">
        <f t="shared" si="7"/>
        <v>Individual</v>
      </c>
    </row>
    <row r="93" spans="1:31" ht="14" customHeight="1" x14ac:dyDescent="0.35">
      <c r="A93" s="3">
        <v>23</v>
      </c>
      <c r="B93" s="3" t="s">
        <v>101</v>
      </c>
      <c r="C93" s="3" t="s">
        <v>124</v>
      </c>
      <c r="D93" s="53">
        <v>720.00059999999996</v>
      </c>
      <c r="E93" s="49">
        <v>202.43619999999899</v>
      </c>
      <c r="F93" s="49">
        <v>169.16319999999899</v>
      </c>
      <c r="G93" s="49">
        <v>166.0489</v>
      </c>
      <c r="H93" s="49">
        <v>517.56439999999998</v>
      </c>
      <c r="I93" s="49">
        <v>14.4688999999999</v>
      </c>
      <c r="J93" s="49">
        <v>33.273000000000003</v>
      </c>
      <c r="K93" s="49">
        <v>33.703699999999998</v>
      </c>
      <c r="L93" s="49">
        <v>166.0489</v>
      </c>
      <c r="M93" s="49">
        <v>48.172599999999903</v>
      </c>
      <c r="N93" s="49">
        <v>214.22149999999999</v>
      </c>
      <c r="O93" s="57">
        <v>0.28116115460000002</v>
      </c>
      <c r="P93" s="57">
        <v>0.82025299819999997</v>
      </c>
      <c r="Q93" s="3">
        <v>0</v>
      </c>
      <c r="R93" s="49">
        <v>0</v>
      </c>
      <c r="S93" s="49">
        <v>0</v>
      </c>
      <c r="T93" s="3">
        <v>370</v>
      </c>
      <c r="U93" s="3">
        <f t="shared" si="6"/>
        <v>9250</v>
      </c>
      <c r="V93" s="3">
        <v>25</v>
      </c>
      <c r="W93" s="49">
        <v>3719.99</v>
      </c>
      <c r="X93" s="49">
        <v>17.36515709</v>
      </c>
      <c r="Y93" s="49">
        <v>2883.4652329999999</v>
      </c>
      <c r="Z93" s="49">
        <v>836.52476650000006</v>
      </c>
      <c r="AA93" s="49">
        <v>0</v>
      </c>
      <c r="AB93" s="49">
        <v>0</v>
      </c>
      <c r="AC93" s="4" t="str">
        <f t="shared" si="4"/>
        <v>Dumper</v>
      </c>
      <c r="AD93" s="4" t="str">
        <f t="shared" si="5"/>
        <v>Operational</v>
      </c>
      <c r="AE93" s="4" t="str">
        <f t="shared" si="7"/>
        <v>Individual</v>
      </c>
    </row>
    <row r="94" spans="1:31" ht="14" customHeight="1" x14ac:dyDescent="0.35">
      <c r="A94" s="5">
        <v>24</v>
      </c>
      <c r="B94" s="5" t="s">
        <v>101</v>
      </c>
      <c r="C94" s="5" t="s">
        <v>125</v>
      </c>
      <c r="D94" s="54">
        <v>720.00009999999997</v>
      </c>
      <c r="E94" s="50">
        <v>251.49689999999899</v>
      </c>
      <c r="F94" s="50">
        <v>222.98329999999899</v>
      </c>
      <c r="G94" s="50">
        <v>220.784899999999</v>
      </c>
      <c r="H94" s="50">
        <v>468.50319999999999</v>
      </c>
      <c r="I94" s="50">
        <v>17.855799999999999</v>
      </c>
      <c r="J94" s="50">
        <v>28.5136</v>
      </c>
      <c r="K94" s="50">
        <v>48.108899999999998</v>
      </c>
      <c r="L94" s="50">
        <v>220.784899999999</v>
      </c>
      <c r="M94" s="50">
        <v>65.964699999999993</v>
      </c>
      <c r="N94" s="50">
        <v>286.74959999999902</v>
      </c>
      <c r="O94" s="58">
        <v>0.34930120149999999</v>
      </c>
      <c r="P94" s="58">
        <v>0.87788318659999998</v>
      </c>
      <c r="Q94" s="5">
        <v>4</v>
      </c>
      <c r="R94" s="50">
        <v>139.6</v>
      </c>
      <c r="S94" s="50">
        <v>34.9</v>
      </c>
      <c r="T94" s="5">
        <v>426</v>
      </c>
      <c r="U94" s="5">
        <f t="shared" si="6"/>
        <v>10650</v>
      </c>
      <c r="V94" s="5">
        <v>25</v>
      </c>
      <c r="W94" s="50">
        <v>4025.85</v>
      </c>
      <c r="X94" s="50">
        <v>14.0396011</v>
      </c>
      <c r="Y94" s="50">
        <v>3099.731925</v>
      </c>
      <c r="Z94" s="50">
        <v>926.11807480000004</v>
      </c>
      <c r="AA94" s="50">
        <v>9.3624418600000006</v>
      </c>
      <c r="AB94" s="50">
        <v>0.70907601799999997</v>
      </c>
      <c r="AC94" s="4" t="str">
        <f t="shared" si="4"/>
        <v>Dumper</v>
      </c>
      <c r="AD94" s="4" t="str">
        <f t="shared" si="5"/>
        <v>Operational</v>
      </c>
      <c r="AE94" s="4" t="str">
        <f t="shared" si="7"/>
        <v>Individual</v>
      </c>
    </row>
    <row r="95" spans="1:31" ht="14" customHeight="1" x14ac:dyDescent="0.35">
      <c r="A95" s="3">
        <v>25</v>
      </c>
      <c r="B95" s="3" t="s">
        <v>101</v>
      </c>
      <c r="C95" s="3" t="s">
        <v>126</v>
      </c>
      <c r="D95" s="53">
        <v>720.00009999999895</v>
      </c>
      <c r="E95" s="49">
        <v>260.677199999999</v>
      </c>
      <c r="F95" s="49">
        <v>219.19349999999901</v>
      </c>
      <c r="G95" s="49">
        <v>216.7501</v>
      </c>
      <c r="H95" s="49">
        <v>459.32289999999898</v>
      </c>
      <c r="I95" s="49">
        <v>17.8565</v>
      </c>
      <c r="J95" s="49">
        <v>41.483699999999899</v>
      </c>
      <c r="K95" s="49">
        <v>12.7578</v>
      </c>
      <c r="L95" s="49">
        <v>216.7501</v>
      </c>
      <c r="M95" s="49">
        <v>30.6143</v>
      </c>
      <c r="N95" s="49">
        <v>247.36439999999999</v>
      </c>
      <c r="O95" s="57">
        <v>0.3620516164</v>
      </c>
      <c r="P95" s="57">
        <v>0.83148852299999998</v>
      </c>
      <c r="Q95" s="3">
        <v>0</v>
      </c>
      <c r="R95" s="49">
        <v>0</v>
      </c>
      <c r="S95" s="49">
        <v>0</v>
      </c>
      <c r="T95" s="3">
        <v>439</v>
      </c>
      <c r="U95" s="3">
        <f t="shared" si="6"/>
        <v>10975</v>
      </c>
      <c r="V95" s="3">
        <v>25</v>
      </c>
      <c r="W95" s="49">
        <v>4560.2599999999902</v>
      </c>
      <c r="X95" s="49">
        <v>18.43539329</v>
      </c>
      <c r="Y95" s="49">
        <v>3995.8733390000002</v>
      </c>
      <c r="Z95" s="49">
        <v>564.38666079999996</v>
      </c>
      <c r="AA95" s="49">
        <v>0</v>
      </c>
      <c r="AB95" s="49">
        <v>0</v>
      </c>
      <c r="AC95" s="4" t="str">
        <f t="shared" si="4"/>
        <v>Dumper</v>
      </c>
      <c r="AD95" s="4" t="str">
        <f t="shared" si="5"/>
        <v>Operational</v>
      </c>
      <c r="AE95" s="4" t="str">
        <f t="shared" si="7"/>
        <v>Individual</v>
      </c>
    </row>
    <row r="96" spans="1:31" ht="14" customHeight="1" x14ac:dyDescent="0.35">
      <c r="A96" s="5">
        <v>26</v>
      </c>
      <c r="B96" s="5" t="s">
        <v>101</v>
      </c>
      <c r="C96" s="5" t="s">
        <v>127</v>
      </c>
      <c r="D96" s="54">
        <v>719.99929999999995</v>
      </c>
      <c r="E96" s="50">
        <v>496.41879999999901</v>
      </c>
      <c r="F96" s="50">
        <v>431.808099999999</v>
      </c>
      <c r="G96" s="50">
        <v>425.33839999999998</v>
      </c>
      <c r="H96" s="50">
        <v>223.58049999999901</v>
      </c>
      <c r="I96" s="50">
        <v>23.583600000000001</v>
      </c>
      <c r="J96" s="50">
        <v>64.610699999999994</v>
      </c>
      <c r="K96" s="50">
        <v>7.5030000000000001</v>
      </c>
      <c r="L96" s="50">
        <v>425.33839999999998</v>
      </c>
      <c r="M96" s="50">
        <v>31.086600000000001</v>
      </c>
      <c r="N96" s="50">
        <v>456.42500000000001</v>
      </c>
      <c r="O96" s="58">
        <v>0.68947122589999998</v>
      </c>
      <c r="P96" s="58">
        <v>0.85681364199999999</v>
      </c>
      <c r="Q96" s="5">
        <v>0</v>
      </c>
      <c r="R96" s="50">
        <v>0</v>
      </c>
      <c r="S96" s="50">
        <v>0</v>
      </c>
      <c r="T96" s="5">
        <v>870</v>
      </c>
      <c r="U96" s="5">
        <f t="shared" si="6"/>
        <v>21750</v>
      </c>
      <c r="V96" s="5">
        <v>25</v>
      </c>
      <c r="W96" s="50">
        <v>7175.45999999999</v>
      </c>
      <c r="X96" s="50">
        <v>15.72100564</v>
      </c>
      <c r="Y96" s="50">
        <v>6686.747386</v>
      </c>
      <c r="Z96" s="50">
        <v>488.71261399999997</v>
      </c>
      <c r="AA96" s="50">
        <v>0</v>
      </c>
      <c r="AB96" s="50">
        <v>0</v>
      </c>
      <c r="AC96" s="4" t="str">
        <f t="shared" si="4"/>
        <v>Dumper</v>
      </c>
      <c r="AD96" s="4" t="str">
        <f t="shared" si="5"/>
        <v>Operational</v>
      </c>
      <c r="AE96" s="4" t="str">
        <f t="shared" si="7"/>
        <v>Individual</v>
      </c>
    </row>
    <row r="97" spans="1:31" ht="14" customHeight="1" x14ac:dyDescent="0.35">
      <c r="A97" s="3">
        <v>27</v>
      </c>
      <c r="B97" s="3" t="s">
        <v>101</v>
      </c>
      <c r="C97" s="3" t="s">
        <v>128</v>
      </c>
      <c r="D97" s="53">
        <v>719.99860000000001</v>
      </c>
      <c r="E97" s="49">
        <v>334.76839999999999</v>
      </c>
      <c r="F97" s="49">
        <v>291.63639999999998</v>
      </c>
      <c r="G97" s="49">
        <v>270.80079999999998</v>
      </c>
      <c r="H97" s="49">
        <v>385.23020000000002</v>
      </c>
      <c r="I97" s="49">
        <v>19.434799999999999</v>
      </c>
      <c r="J97" s="49">
        <v>43.131999999999998</v>
      </c>
      <c r="K97" s="49">
        <v>18.328299999999999</v>
      </c>
      <c r="L97" s="49">
        <v>270.80079999999998</v>
      </c>
      <c r="M97" s="49">
        <v>37.763100000000001</v>
      </c>
      <c r="N97" s="49">
        <v>308.56389999999999</v>
      </c>
      <c r="O97" s="57">
        <v>0.46495701519999999</v>
      </c>
      <c r="P97" s="57">
        <v>0.80891983830000003</v>
      </c>
      <c r="Q97" s="3">
        <v>12</v>
      </c>
      <c r="R97" s="49">
        <v>464.04</v>
      </c>
      <c r="S97" s="49">
        <v>38.67</v>
      </c>
      <c r="T97" s="3">
        <v>450</v>
      </c>
      <c r="U97" s="3">
        <f t="shared" si="6"/>
        <v>11250</v>
      </c>
      <c r="V97" s="3">
        <v>25</v>
      </c>
      <c r="W97" s="49">
        <v>4844.6000000000004</v>
      </c>
      <c r="X97" s="49">
        <v>15.70047566</v>
      </c>
      <c r="Y97" s="49">
        <v>4251.701368</v>
      </c>
      <c r="Z97" s="49">
        <v>592.89863219999995</v>
      </c>
      <c r="AA97" s="49">
        <v>10.486147190000001</v>
      </c>
      <c r="AB97" s="49">
        <v>0.76727420160000004</v>
      </c>
      <c r="AC97" s="4" t="str">
        <f t="shared" si="4"/>
        <v>Dumper</v>
      </c>
      <c r="AD97" s="4" t="str">
        <f t="shared" si="5"/>
        <v>Operational</v>
      </c>
      <c r="AE97" s="4" t="str">
        <f t="shared" si="7"/>
        <v>Individual</v>
      </c>
    </row>
    <row r="98" spans="1:31" ht="14" customHeight="1" x14ac:dyDescent="0.35">
      <c r="A98" s="5">
        <v>28</v>
      </c>
      <c r="B98" s="5" t="s">
        <v>101</v>
      </c>
      <c r="C98" s="5" t="s">
        <v>129</v>
      </c>
      <c r="D98" s="54">
        <v>719.999899999999</v>
      </c>
      <c r="E98" s="50">
        <v>572.72699999999895</v>
      </c>
      <c r="F98" s="50">
        <v>504.356999999999</v>
      </c>
      <c r="G98" s="50">
        <v>497.93259999999998</v>
      </c>
      <c r="H98" s="50">
        <v>147.27289999999999</v>
      </c>
      <c r="I98" s="50">
        <v>26.7089</v>
      </c>
      <c r="J98" s="50">
        <v>68.37</v>
      </c>
      <c r="K98" s="50">
        <v>7.0040999999999896</v>
      </c>
      <c r="L98" s="50">
        <v>497.93259999999998</v>
      </c>
      <c r="M98" s="50">
        <v>33.712999999999901</v>
      </c>
      <c r="N98" s="50">
        <v>531.64559999999994</v>
      </c>
      <c r="O98" s="58">
        <v>0.79545427710000005</v>
      </c>
      <c r="P98" s="58">
        <v>0.86940654100000003</v>
      </c>
      <c r="Q98" s="5">
        <v>0</v>
      </c>
      <c r="R98" s="50">
        <v>0</v>
      </c>
      <c r="S98" s="50">
        <v>0</v>
      </c>
      <c r="T98" s="5">
        <v>995</v>
      </c>
      <c r="U98" s="5">
        <f t="shared" si="6"/>
        <v>24875</v>
      </c>
      <c r="V98" s="5">
        <v>25</v>
      </c>
      <c r="W98" s="50">
        <v>8104.03</v>
      </c>
      <c r="X98" s="50">
        <v>15.24329365</v>
      </c>
      <c r="Y98" s="50">
        <v>7590.1328409999996</v>
      </c>
      <c r="Z98" s="50">
        <v>513.89715890000002</v>
      </c>
      <c r="AA98" s="50">
        <v>0</v>
      </c>
      <c r="AB98" s="50">
        <v>0</v>
      </c>
      <c r="AC98" s="4" t="str">
        <f t="shared" si="4"/>
        <v>Dumper</v>
      </c>
      <c r="AD98" s="4" t="str">
        <f t="shared" si="5"/>
        <v>Operational</v>
      </c>
      <c r="AE98" s="4" t="str">
        <f t="shared" si="7"/>
        <v>Individual</v>
      </c>
    </row>
    <row r="99" spans="1:31" ht="14" customHeight="1" x14ac:dyDescent="0.35">
      <c r="A99" s="3">
        <v>29</v>
      </c>
      <c r="B99" s="3" t="s">
        <v>101</v>
      </c>
      <c r="C99" s="3" t="s">
        <v>130</v>
      </c>
      <c r="D99" s="53">
        <v>720.00049999999896</v>
      </c>
      <c r="E99" s="49">
        <v>444.93079999999998</v>
      </c>
      <c r="F99" s="49">
        <v>388.4495</v>
      </c>
      <c r="G99" s="49">
        <v>380.01669999999899</v>
      </c>
      <c r="H99" s="49">
        <v>275.06969999999899</v>
      </c>
      <c r="I99" s="49">
        <v>22.2803</v>
      </c>
      <c r="J99" s="49">
        <v>56.481299999999898</v>
      </c>
      <c r="K99" s="49">
        <v>16.797699999999999</v>
      </c>
      <c r="L99" s="49">
        <v>380.01669999999899</v>
      </c>
      <c r="M99" s="49">
        <v>39.078000000000003</v>
      </c>
      <c r="N99" s="49">
        <v>419.09469999999999</v>
      </c>
      <c r="O99" s="57">
        <v>0.61795901529999997</v>
      </c>
      <c r="P99" s="57">
        <v>0.85410293020000005</v>
      </c>
      <c r="Q99" s="3">
        <v>13</v>
      </c>
      <c r="R99" s="49">
        <v>463.94</v>
      </c>
      <c r="S99" s="49">
        <v>35.687692310000003</v>
      </c>
      <c r="T99" s="3">
        <v>642</v>
      </c>
      <c r="U99" s="3">
        <f t="shared" si="6"/>
        <v>16050</v>
      </c>
      <c r="V99" s="3">
        <v>25</v>
      </c>
      <c r="W99" s="49">
        <v>5849.62</v>
      </c>
      <c r="X99" s="49">
        <v>13.95775227</v>
      </c>
      <c r="Y99" s="49">
        <v>5304.1789570000001</v>
      </c>
      <c r="Z99" s="49">
        <v>545.44104319999997</v>
      </c>
      <c r="AA99" s="49">
        <v>8.9307175569999995</v>
      </c>
      <c r="AB99" s="49">
        <v>0.66397955040000001</v>
      </c>
      <c r="AC99" s="4" t="str">
        <f t="shared" si="4"/>
        <v>Dumper</v>
      </c>
      <c r="AD99" s="4" t="str">
        <f t="shared" si="5"/>
        <v>Operational</v>
      </c>
      <c r="AE99" s="4" t="str">
        <f t="shared" si="7"/>
        <v>Individual</v>
      </c>
    </row>
    <row r="100" spans="1:31" ht="14" customHeight="1" x14ac:dyDescent="0.35">
      <c r="A100" s="5">
        <v>30</v>
      </c>
      <c r="B100" s="5" t="s">
        <v>101</v>
      </c>
      <c r="C100" s="5" t="s">
        <v>131</v>
      </c>
      <c r="D100" s="54">
        <v>719.99969999999905</v>
      </c>
      <c r="E100" s="50">
        <v>329.48899999999998</v>
      </c>
      <c r="F100" s="50">
        <v>276.67660000000001</v>
      </c>
      <c r="G100" s="50">
        <v>271.45509999999899</v>
      </c>
      <c r="H100" s="50">
        <v>390.51069999999902</v>
      </c>
      <c r="I100" s="50">
        <v>18.5091999999999</v>
      </c>
      <c r="J100" s="50">
        <v>52.812399999999997</v>
      </c>
      <c r="K100" s="50">
        <v>13.2303999999999</v>
      </c>
      <c r="L100" s="50">
        <v>271.45509999999899</v>
      </c>
      <c r="M100" s="50">
        <v>31.7395999999999</v>
      </c>
      <c r="N100" s="50">
        <v>303.19469999999899</v>
      </c>
      <c r="O100" s="58">
        <v>0.45762380180000001</v>
      </c>
      <c r="P100" s="58">
        <v>0.82386695759999995</v>
      </c>
      <c r="Q100" s="5">
        <v>9</v>
      </c>
      <c r="R100" s="50">
        <v>338.02</v>
      </c>
      <c r="S100" s="50">
        <v>37.557777780000002</v>
      </c>
      <c r="T100" s="5">
        <v>461</v>
      </c>
      <c r="U100" s="5">
        <f t="shared" si="6"/>
        <v>11525</v>
      </c>
      <c r="V100" s="5">
        <v>25</v>
      </c>
      <c r="W100" s="50">
        <v>4323.26</v>
      </c>
      <c r="X100" s="50">
        <v>14.25902234</v>
      </c>
      <c r="Y100" s="50">
        <v>3870.6843349999999</v>
      </c>
      <c r="Z100" s="50">
        <v>452.57566539999999</v>
      </c>
      <c r="AA100" s="50">
        <v>9.1984255319999999</v>
      </c>
      <c r="AB100" s="50">
        <v>0.68286942699999997</v>
      </c>
      <c r="AC100" s="4" t="str">
        <f t="shared" si="4"/>
        <v>Dumper</v>
      </c>
      <c r="AD100" s="4" t="str">
        <f t="shared" si="5"/>
        <v>Operational</v>
      </c>
      <c r="AE100" s="4" t="str">
        <f t="shared" si="7"/>
        <v>Individual</v>
      </c>
    </row>
    <row r="101" spans="1:31" ht="14" customHeight="1" x14ac:dyDescent="0.35">
      <c r="A101" s="3">
        <v>31</v>
      </c>
      <c r="B101" s="3" t="s">
        <v>101</v>
      </c>
      <c r="C101" s="3" t="s">
        <v>132</v>
      </c>
      <c r="D101" s="53">
        <v>720.00040000000001</v>
      </c>
      <c r="E101" s="49">
        <v>309.37439999999901</v>
      </c>
      <c r="F101" s="49">
        <v>266.74269999999899</v>
      </c>
      <c r="G101" s="49">
        <v>259.32029999999997</v>
      </c>
      <c r="H101" s="49">
        <v>410.62599999999998</v>
      </c>
      <c r="I101" s="49">
        <v>18.484099999999899</v>
      </c>
      <c r="J101" s="49">
        <v>42.631700000000002</v>
      </c>
      <c r="K101" s="49">
        <v>10.8116</v>
      </c>
      <c r="L101" s="49">
        <v>259.32029999999997</v>
      </c>
      <c r="M101" s="49">
        <v>29.295699999999901</v>
      </c>
      <c r="N101" s="49">
        <v>288.61599999999999</v>
      </c>
      <c r="O101" s="57">
        <v>0.42968642800000001</v>
      </c>
      <c r="P101" s="57">
        <v>0.83820865590000004</v>
      </c>
      <c r="Q101" s="3">
        <v>0</v>
      </c>
      <c r="R101" s="49">
        <v>0</v>
      </c>
      <c r="S101" s="49">
        <v>0</v>
      </c>
      <c r="T101" s="3">
        <v>513</v>
      </c>
      <c r="U101" s="3">
        <f t="shared" si="6"/>
        <v>12825</v>
      </c>
      <c r="V101" s="3">
        <v>25</v>
      </c>
      <c r="W101" s="49">
        <v>5378.03999999999</v>
      </c>
      <c r="X101" s="49">
        <v>18.633894170000001</v>
      </c>
      <c r="Y101" s="49">
        <v>4832.147027</v>
      </c>
      <c r="Z101" s="49">
        <v>545.89297350000004</v>
      </c>
      <c r="AA101" s="49">
        <v>0</v>
      </c>
      <c r="AB101" s="49">
        <v>0</v>
      </c>
      <c r="AC101" s="4" t="str">
        <f t="shared" si="4"/>
        <v>Dumper</v>
      </c>
      <c r="AD101" s="4" t="str">
        <f t="shared" si="5"/>
        <v>Operational</v>
      </c>
      <c r="AE101" s="4" t="str">
        <f t="shared" si="7"/>
        <v>Individual</v>
      </c>
    </row>
    <row r="102" spans="1:31" ht="14" customHeight="1" x14ac:dyDescent="0.35">
      <c r="A102" s="5">
        <v>32</v>
      </c>
      <c r="B102" s="5" t="s">
        <v>101</v>
      </c>
      <c r="C102" s="5" t="s">
        <v>133</v>
      </c>
      <c r="D102" s="54">
        <v>720.0009</v>
      </c>
      <c r="E102" s="50">
        <v>330.62459999999999</v>
      </c>
      <c r="F102" s="50">
        <v>287.74579999999997</v>
      </c>
      <c r="G102" s="50">
        <v>277.80270000000002</v>
      </c>
      <c r="H102" s="50">
        <v>389.37629999999899</v>
      </c>
      <c r="I102" s="50">
        <v>14.108699999999899</v>
      </c>
      <c r="J102" s="50">
        <v>42.878799999999899</v>
      </c>
      <c r="K102" s="50">
        <v>13.336</v>
      </c>
      <c r="L102" s="50">
        <v>277.80270000000002</v>
      </c>
      <c r="M102" s="50">
        <v>27.444699999999902</v>
      </c>
      <c r="N102" s="50">
        <v>305.24740000000003</v>
      </c>
      <c r="O102" s="58">
        <v>0.45920025930000002</v>
      </c>
      <c r="P102" s="58">
        <v>0.84023602600000002</v>
      </c>
      <c r="Q102" s="5">
        <v>0</v>
      </c>
      <c r="R102" s="50">
        <v>0</v>
      </c>
      <c r="S102" s="50">
        <v>0</v>
      </c>
      <c r="T102" s="5">
        <v>637</v>
      </c>
      <c r="U102" s="5">
        <f t="shared" si="6"/>
        <v>15925</v>
      </c>
      <c r="V102" s="5">
        <v>25</v>
      </c>
      <c r="W102" s="50">
        <v>5239.5099999999902</v>
      </c>
      <c r="X102" s="50">
        <v>17.164798130000001</v>
      </c>
      <c r="Y102" s="50">
        <v>4768.4272650000003</v>
      </c>
      <c r="Z102" s="50">
        <v>471.0827352</v>
      </c>
      <c r="AA102" s="50">
        <v>0</v>
      </c>
      <c r="AB102" s="50">
        <v>0</v>
      </c>
      <c r="AC102" s="4" t="str">
        <f t="shared" si="4"/>
        <v>Dumper</v>
      </c>
      <c r="AD102" s="4" t="str">
        <f t="shared" si="5"/>
        <v>Operational</v>
      </c>
      <c r="AE102" s="4" t="str">
        <f t="shared" si="7"/>
        <v>Individual</v>
      </c>
    </row>
    <row r="103" spans="1:31" ht="14" customHeight="1" x14ac:dyDescent="0.35">
      <c r="A103" s="3">
        <v>33</v>
      </c>
      <c r="B103" s="3" t="s">
        <v>101</v>
      </c>
      <c r="C103" s="3" t="s">
        <v>134</v>
      </c>
      <c r="D103" s="53">
        <v>720.00019999999995</v>
      </c>
      <c r="E103" s="49">
        <v>380.215699999999</v>
      </c>
      <c r="F103" s="49">
        <v>332.537499999999</v>
      </c>
      <c r="G103" s="49">
        <v>324.85219999999902</v>
      </c>
      <c r="H103" s="49">
        <v>339.78449999999998</v>
      </c>
      <c r="I103" s="49">
        <v>22.212299999999999</v>
      </c>
      <c r="J103" s="49">
        <v>47.678199999999997</v>
      </c>
      <c r="K103" s="49">
        <v>10.8773</v>
      </c>
      <c r="L103" s="49">
        <v>324.85219999999902</v>
      </c>
      <c r="M103" s="49">
        <v>33.089599999999997</v>
      </c>
      <c r="N103" s="49">
        <v>357.94179999999898</v>
      </c>
      <c r="O103" s="57">
        <v>0.52807721439999999</v>
      </c>
      <c r="P103" s="57">
        <v>0.85438923219999996</v>
      </c>
      <c r="Q103" s="3">
        <v>0</v>
      </c>
      <c r="R103" s="49">
        <v>0</v>
      </c>
      <c r="S103" s="49">
        <v>0</v>
      </c>
      <c r="T103" s="3">
        <v>556</v>
      </c>
      <c r="U103" s="3">
        <f t="shared" si="6"/>
        <v>13900</v>
      </c>
      <c r="V103" s="3">
        <v>25</v>
      </c>
      <c r="W103" s="49">
        <v>5374.34</v>
      </c>
      <c r="X103" s="49">
        <v>15.014563819999999</v>
      </c>
      <c r="Y103" s="49">
        <v>4877.5140890000002</v>
      </c>
      <c r="Z103" s="49">
        <v>496.82591100000002</v>
      </c>
      <c r="AA103" s="49">
        <v>0</v>
      </c>
      <c r="AB103" s="49">
        <v>0</v>
      </c>
      <c r="AC103" s="4" t="str">
        <f t="shared" si="4"/>
        <v>Dumper</v>
      </c>
      <c r="AD103" s="4" t="str">
        <f t="shared" si="5"/>
        <v>Operational</v>
      </c>
      <c r="AE103" s="4" t="str">
        <f t="shared" si="7"/>
        <v>Individual</v>
      </c>
    </row>
    <row r="104" spans="1:31" ht="14" customHeight="1" x14ac:dyDescent="0.35">
      <c r="A104" s="5">
        <v>34</v>
      </c>
      <c r="B104" s="5" t="s">
        <v>101</v>
      </c>
      <c r="C104" s="5" t="s">
        <v>135</v>
      </c>
      <c r="D104" s="54">
        <v>719.99980000000005</v>
      </c>
      <c r="E104" s="50">
        <v>460.30779999999999</v>
      </c>
      <c r="F104" s="50">
        <v>407.54259999999999</v>
      </c>
      <c r="G104" s="50">
        <v>397.73340000000002</v>
      </c>
      <c r="H104" s="50">
        <v>259.69200000000001</v>
      </c>
      <c r="I104" s="50">
        <v>18.107900000000001</v>
      </c>
      <c r="J104" s="50">
        <v>52.765199999999901</v>
      </c>
      <c r="K104" s="50">
        <v>8.6852999999999891</v>
      </c>
      <c r="L104" s="50">
        <v>397.73340000000002</v>
      </c>
      <c r="M104" s="50">
        <v>26.793199999999999</v>
      </c>
      <c r="N104" s="50">
        <v>424.52659999999997</v>
      </c>
      <c r="O104" s="58">
        <v>0.63931656650000002</v>
      </c>
      <c r="P104" s="58">
        <v>0.86405965750000002</v>
      </c>
      <c r="Q104" s="5">
        <v>0</v>
      </c>
      <c r="R104" s="50">
        <v>0</v>
      </c>
      <c r="S104" s="50">
        <v>0</v>
      </c>
      <c r="T104" s="5">
        <v>651</v>
      </c>
      <c r="U104" s="5">
        <f t="shared" si="6"/>
        <v>16275</v>
      </c>
      <c r="V104" s="5">
        <v>25</v>
      </c>
      <c r="W104" s="50">
        <v>6420.8299999999899</v>
      </c>
      <c r="X104" s="50">
        <v>15.12468241</v>
      </c>
      <c r="Y104" s="50">
        <v>6015.591359</v>
      </c>
      <c r="Z104" s="50">
        <v>405.23864079999998</v>
      </c>
      <c r="AA104" s="50">
        <v>0</v>
      </c>
      <c r="AB104" s="50">
        <v>0</v>
      </c>
      <c r="AC104" s="4" t="str">
        <f t="shared" si="4"/>
        <v>Dumper</v>
      </c>
      <c r="AD104" s="4" t="str">
        <f t="shared" si="5"/>
        <v>Operational</v>
      </c>
      <c r="AE104" s="4" t="str">
        <f t="shared" si="7"/>
        <v>Individual</v>
      </c>
    </row>
    <row r="105" spans="1:31" ht="14" customHeight="1" x14ac:dyDescent="0.35">
      <c r="A105" s="3">
        <v>35</v>
      </c>
      <c r="B105" s="3" t="s">
        <v>101</v>
      </c>
      <c r="C105" s="3" t="s">
        <v>136</v>
      </c>
      <c r="D105" s="53">
        <v>719.99929999999995</v>
      </c>
      <c r="E105" s="49">
        <v>609.70630000000006</v>
      </c>
      <c r="F105" s="49">
        <v>531.26940000000002</v>
      </c>
      <c r="G105" s="49">
        <v>519.68809999999996</v>
      </c>
      <c r="H105" s="49">
        <v>110.292999999999</v>
      </c>
      <c r="I105" s="49">
        <v>31.7334</v>
      </c>
      <c r="J105" s="49">
        <v>78.436899999999994</v>
      </c>
      <c r="K105" s="49">
        <v>13.817</v>
      </c>
      <c r="L105" s="49">
        <v>519.68809999999996</v>
      </c>
      <c r="M105" s="49">
        <v>45.550400000000003</v>
      </c>
      <c r="N105" s="49">
        <v>565.23850000000004</v>
      </c>
      <c r="O105" s="57">
        <v>0.84681512879999998</v>
      </c>
      <c r="P105" s="57">
        <v>0.85235809439999999</v>
      </c>
      <c r="Q105" s="3">
        <v>0</v>
      </c>
      <c r="R105" s="49">
        <v>0</v>
      </c>
      <c r="S105" s="49">
        <v>0</v>
      </c>
      <c r="T105" s="3">
        <v>866</v>
      </c>
      <c r="U105" s="3">
        <f t="shared" si="6"/>
        <v>21650</v>
      </c>
      <c r="V105" s="3">
        <v>25</v>
      </c>
      <c r="W105" s="49">
        <v>7553.03</v>
      </c>
      <c r="X105" s="49">
        <v>13.362554039999999</v>
      </c>
      <c r="Y105" s="49">
        <v>6944.3603190000003</v>
      </c>
      <c r="Z105" s="49">
        <v>608.66968139999994</v>
      </c>
      <c r="AA105" s="49">
        <v>0</v>
      </c>
      <c r="AB105" s="49">
        <v>0</v>
      </c>
      <c r="AC105" s="4" t="str">
        <f t="shared" si="4"/>
        <v>Dumper</v>
      </c>
      <c r="AD105" s="4" t="str">
        <f t="shared" si="5"/>
        <v>Operational</v>
      </c>
      <c r="AE105" s="4" t="str">
        <f t="shared" si="7"/>
        <v>Individual</v>
      </c>
    </row>
    <row r="106" spans="1:31" ht="14" customHeight="1" x14ac:dyDescent="0.35">
      <c r="A106" s="5">
        <v>36</v>
      </c>
      <c r="B106" s="5" t="s">
        <v>101</v>
      </c>
      <c r="C106" s="5" t="s">
        <v>137</v>
      </c>
      <c r="D106" s="54">
        <v>719.99980000000005</v>
      </c>
      <c r="E106" s="50">
        <v>323.13639999999998</v>
      </c>
      <c r="F106" s="50">
        <v>284.23509999999999</v>
      </c>
      <c r="G106" s="50">
        <v>278.46789999999902</v>
      </c>
      <c r="H106" s="50">
        <v>396.86339999999899</v>
      </c>
      <c r="I106" s="50">
        <v>11.814</v>
      </c>
      <c r="J106" s="50">
        <v>38.901299999999999</v>
      </c>
      <c r="K106" s="50">
        <v>4.4665999999999997</v>
      </c>
      <c r="L106" s="50">
        <v>278.46789999999902</v>
      </c>
      <c r="M106" s="50">
        <v>16.2806</v>
      </c>
      <c r="N106" s="50">
        <v>294.74849999999901</v>
      </c>
      <c r="O106" s="58">
        <v>0.44880068020000002</v>
      </c>
      <c r="P106" s="58">
        <v>0.86176580540000003</v>
      </c>
      <c r="Q106" s="5">
        <v>0</v>
      </c>
      <c r="R106" s="50">
        <v>0</v>
      </c>
      <c r="S106" s="50">
        <v>0</v>
      </c>
      <c r="T106" s="5">
        <v>485</v>
      </c>
      <c r="U106" s="5">
        <f t="shared" si="6"/>
        <v>12125</v>
      </c>
      <c r="V106" s="5">
        <v>25</v>
      </c>
      <c r="W106" s="50">
        <v>5633.55</v>
      </c>
      <c r="X106" s="50">
        <v>19.11307437</v>
      </c>
      <c r="Y106" s="50">
        <v>5322.3776809999999</v>
      </c>
      <c r="Z106" s="50">
        <v>311.17231850000002</v>
      </c>
      <c r="AA106" s="50">
        <v>0</v>
      </c>
      <c r="AB106" s="50">
        <v>0</v>
      </c>
      <c r="AC106" s="4" t="str">
        <f t="shared" si="4"/>
        <v>Dumper</v>
      </c>
      <c r="AD106" s="4" t="str">
        <f t="shared" si="5"/>
        <v>Operational</v>
      </c>
      <c r="AE106" s="4" t="str">
        <f t="shared" si="7"/>
        <v>Individual</v>
      </c>
    </row>
    <row r="107" spans="1:31" ht="14" customHeight="1" x14ac:dyDescent="0.35">
      <c r="A107" s="3">
        <v>37</v>
      </c>
      <c r="B107" s="3" t="s">
        <v>101</v>
      </c>
      <c r="C107" s="3" t="s">
        <v>138</v>
      </c>
      <c r="D107" s="53">
        <v>720.00009999999997</v>
      </c>
      <c r="E107" s="49">
        <v>514.69110000000001</v>
      </c>
      <c r="F107" s="49">
        <v>454.8922</v>
      </c>
      <c r="G107" s="49">
        <v>445.06959999999998</v>
      </c>
      <c r="H107" s="49">
        <v>205.309</v>
      </c>
      <c r="I107" s="49">
        <v>20.994799999999898</v>
      </c>
      <c r="J107" s="49">
        <v>59.798899999999897</v>
      </c>
      <c r="K107" s="49">
        <v>3.0559999999999898</v>
      </c>
      <c r="L107" s="49">
        <v>445.06959999999998</v>
      </c>
      <c r="M107" s="49">
        <v>24.050799999999899</v>
      </c>
      <c r="N107" s="49">
        <v>469.12040000000002</v>
      </c>
      <c r="O107" s="57">
        <v>0.71484865070000003</v>
      </c>
      <c r="P107" s="57">
        <v>0.86473148649999998</v>
      </c>
      <c r="Q107" s="3">
        <v>0</v>
      </c>
      <c r="R107" s="49">
        <v>0</v>
      </c>
      <c r="S107" s="49">
        <v>0</v>
      </c>
      <c r="T107" s="3">
        <v>736</v>
      </c>
      <c r="U107" s="3">
        <f t="shared" si="6"/>
        <v>18400</v>
      </c>
      <c r="V107" s="3">
        <v>25</v>
      </c>
      <c r="W107" s="49">
        <v>6754.47</v>
      </c>
      <c r="X107" s="49">
        <v>14.39815877</v>
      </c>
      <c r="Y107" s="49">
        <v>6408.1827629999998</v>
      </c>
      <c r="Z107" s="49">
        <v>346.28723689999998</v>
      </c>
      <c r="AA107" s="49">
        <v>0</v>
      </c>
      <c r="AB107" s="49">
        <v>0</v>
      </c>
      <c r="AC107" s="4" t="str">
        <f t="shared" si="4"/>
        <v>Dumper</v>
      </c>
      <c r="AD107" s="4" t="str">
        <f t="shared" si="5"/>
        <v>Operational</v>
      </c>
      <c r="AE107" s="4" t="str">
        <f t="shared" si="7"/>
        <v>Individual</v>
      </c>
    </row>
    <row r="108" spans="1:31" ht="14" customHeight="1" x14ac:dyDescent="0.35">
      <c r="A108" s="5">
        <v>38</v>
      </c>
      <c r="B108" s="5" t="s">
        <v>101</v>
      </c>
      <c r="C108" s="5" t="s">
        <v>139</v>
      </c>
      <c r="D108" s="54">
        <v>719.99950000000001</v>
      </c>
      <c r="E108" s="50">
        <v>396.80970000000002</v>
      </c>
      <c r="F108" s="50">
        <v>349.42160000000001</v>
      </c>
      <c r="G108" s="50">
        <v>288.51249999999999</v>
      </c>
      <c r="H108" s="50">
        <v>323.18979999999902</v>
      </c>
      <c r="I108" s="50">
        <v>21.941799999999901</v>
      </c>
      <c r="J108" s="50">
        <v>47.388099999999902</v>
      </c>
      <c r="K108" s="50">
        <v>15.5</v>
      </c>
      <c r="L108" s="50">
        <v>288.51249999999999</v>
      </c>
      <c r="M108" s="50">
        <v>37.441800000000001</v>
      </c>
      <c r="N108" s="50">
        <v>325.95429999999999</v>
      </c>
      <c r="O108" s="58">
        <v>0.55112496609999995</v>
      </c>
      <c r="P108" s="58">
        <v>0.72708026039999996</v>
      </c>
      <c r="Q108" s="5">
        <v>0</v>
      </c>
      <c r="R108" s="50">
        <v>0</v>
      </c>
      <c r="S108" s="50">
        <v>0</v>
      </c>
      <c r="T108" s="5">
        <v>507</v>
      </c>
      <c r="U108" s="5">
        <f t="shared" si="6"/>
        <v>12675</v>
      </c>
      <c r="V108" s="5">
        <v>25</v>
      </c>
      <c r="W108" s="50">
        <v>4600.49</v>
      </c>
      <c r="X108" s="50">
        <v>14.11391106</v>
      </c>
      <c r="Y108" s="50">
        <v>4072.039765</v>
      </c>
      <c r="Z108" s="50">
        <v>528.45023509999999</v>
      </c>
      <c r="AA108" s="50">
        <v>0</v>
      </c>
      <c r="AB108" s="50">
        <v>0</v>
      </c>
      <c r="AC108" s="4" t="str">
        <f t="shared" si="4"/>
        <v>Dumper</v>
      </c>
      <c r="AD108" s="4" t="str">
        <f t="shared" si="5"/>
        <v>Operational</v>
      </c>
      <c r="AE108" s="4" t="str">
        <f t="shared" si="7"/>
        <v>Individual</v>
      </c>
    </row>
    <row r="109" spans="1:31" ht="14" customHeight="1" x14ac:dyDescent="0.35">
      <c r="A109" s="3">
        <v>39</v>
      </c>
      <c r="B109" s="3" t="s">
        <v>101</v>
      </c>
      <c r="C109" s="3" t="s">
        <v>140</v>
      </c>
      <c r="D109" s="53">
        <v>720.00070000000005</v>
      </c>
      <c r="E109" s="49">
        <v>596.68960000000004</v>
      </c>
      <c r="F109" s="49">
        <v>517.12869999999998</v>
      </c>
      <c r="G109" s="49">
        <v>507.57170000000002</v>
      </c>
      <c r="H109" s="49">
        <v>123.3111</v>
      </c>
      <c r="I109" s="49">
        <v>30.870699999999999</v>
      </c>
      <c r="J109" s="49">
        <v>79.560900000000004</v>
      </c>
      <c r="K109" s="49">
        <v>7.08</v>
      </c>
      <c r="L109" s="49">
        <v>507.57170000000002</v>
      </c>
      <c r="M109" s="49">
        <v>37.950699999999998</v>
      </c>
      <c r="N109" s="49">
        <v>545.52239999999995</v>
      </c>
      <c r="O109" s="57">
        <v>0.82873474979999995</v>
      </c>
      <c r="P109" s="57">
        <v>0.85064613160000002</v>
      </c>
      <c r="Q109" s="3">
        <v>0</v>
      </c>
      <c r="R109" s="49">
        <v>0</v>
      </c>
      <c r="S109" s="49">
        <v>0</v>
      </c>
      <c r="T109" s="3">
        <v>834</v>
      </c>
      <c r="U109" s="3">
        <f t="shared" si="6"/>
        <v>20850</v>
      </c>
      <c r="V109" s="3">
        <v>25</v>
      </c>
      <c r="W109" s="49">
        <v>7943.83</v>
      </c>
      <c r="X109" s="49">
        <v>14.56187684</v>
      </c>
      <c r="Y109" s="49">
        <v>7391.1965810000002</v>
      </c>
      <c r="Z109" s="49">
        <v>552.63341920000005</v>
      </c>
      <c r="AA109" s="49">
        <v>0</v>
      </c>
      <c r="AB109" s="49">
        <v>0</v>
      </c>
      <c r="AC109" s="4" t="str">
        <f t="shared" si="4"/>
        <v>Dumper</v>
      </c>
      <c r="AD109" s="4" t="str">
        <f t="shared" si="5"/>
        <v>Operational</v>
      </c>
      <c r="AE109" s="4" t="str">
        <f t="shared" si="7"/>
        <v>Individual</v>
      </c>
    </row>
    <row r="110" spans="1:31" ht="14" customHeight="1" x14ac:dyDescent="0.35">
      <c r="A110" s="5">
        <v>40</v>
      </c>
      <c r="B110" s="5" t="s">
        <v>101</v>
      </c>
      <c r="C110" s="5" t="s">
        <v>141</v>
      </c>
      <c r="D110" s="54">
        <v>719.99940000000004</v>
      </c>
      <c r="E110" s="50">
        <v>421.47359999999998</v>
      </c>
      <c r="F110" s="50">
        <v>372.27249999999998</v>
      </c>
      <c r="G110" s="50">
        <v>364.64769999999999</v>
      </c>
      <c r="H110" s="50">
        <v>298.5258</v>
      </c>
      <c r="I110" s="50">
        <v>16.9436</v>
      </c>
      <c r="J110" s="50">
        <v>49.201099999999897</v>
      </c>
      <c r="K110" s="50">
        <v>2.4674999999999998</v>
      </c>
      <c r="L110" s="50">
        <v>364.64769999999999</v>
      </c>
      <c r="M110" s="50">
        <v>19.411100000000001</v>
      </c>
      <c r="N110" s="50">
        <v>384.05880000000002</v>
      </c>
      <c r="O110" s="58">
        <v>0.58538048779999996</v>
      </c>
      <c r="P110" s="58">
        <v>0.86517328719999997</v>
      </c>
      <c r="Q110" s="5">
        <v>0</v>
      </c>
      <c r="R110" s="50">
        <v>0</v>
      </c>
      <c r="S110" s="50">
        <v>0</v>
      </c>
      <c r="T110" s="5">
        <v>591</v>
      </c>
      <c r="U110" s="5">
        <f t="shared" si="6"/>
        <v>14775</v>
      </c>
      <c r="V110" s="5">
        <v>25</v>
      </c>
      <c r="W110" s="50">
        <v>5780.27</v>
      </c>
      <c r="X110" s="50">
        <v>15.050481850000001</v>
      </c>
      <c r="Y110" s="50">
        <v>5488.1235919999999</v>
      </c>
      <c r="Z110" s="50">
        <v>292.14640830000002</v>
      </c>
      <c r="AA110" s="50">
        <v>0</v>
      </c>
      <c r="AB110" s="50">
        <v>0</v>
      </c>
      <c r="AC110" s="4" t="str">
        <f t="shared" si="4"/>
        <v>Dumper</v>
      </c>
      <c r="AD110" s="4" t="str">
        <f t="shared" si="5"/>
        <v>Operational</v>
      </c>
      <c r="AE110" s="4" t="str">
        <f t="shared" si="7"/>
        <v>Individual</v>
      </c>
    </row>
    <row r="111" spans="1:31" ht="14" customHeight="1" x14ac:dyDescent="0.35">
      <c r="A111" s="3">
        <v>41</v>
      </c>
      <c r="B111" s="3" t="s">
        <v>101</v>
      </c>
      <c r="C111" s="3" t="s">
        <v>142</v>
      </c>
      <c r="D111" s="53">
        <v>719.99940000000004</v>
      </c>
      <c r="E111" s="49">
        <v>541.77809999999999</v>
      </c>
      <c r="F111" s="49">
        <v>474.6694</v>
      </c>
      <c r="G111" s="49">
        <v>472.21170000000001</v>
      </c>
      <c r="H111" s="49">
        <v>178.22129999999899</v>
      </c>
      <c r="I111" s="49">
        <v>49.625300000000003</v>
      </c>
      <c r="J111" s="49">
        <v>67.108699999999999</v>
      </c>
      <c r="K111" s="49">
        <v>16.656299999999899</v>
      </c>
      <c r="L111" s="49">
        <v>472.21170000000001</v>
      </c>
      <c r="M111" s="49">
        <v>66.281599999999997</v>
      </c>
      <c r="N111" s="49">
        <v>538.49329999999998</v>
      </c>
      <c r="O111" s="57">
        <v>0.75247021039999995</v>
      </c>
      <c r="P111" s="57">
        <v>0.87159613869999997</v>
      </c>
      <c r="Q111" s="3">
        <v>0</v>
      </c>
      <c r="R111" s="49">
        <v>0</v>
      </c>
      <c r="S111" s="49">
        <v>0</v>
      </c>
      <c r="T111" s="3">
        <v>897</v>
      </c>
      <c r="U111" s="3">
        <f t="shared" si="6"/>
        <v>22425</v>
      </c>
      <c r="V111" s="3">
        <v>25</v>
      </c>
      <c r="W111" s="49">
        <v>7858.5199999999904</v>
      </c>
      <c r="X111" s="49">
        <v>14.59353348</v>
      </c>
      <c r="Y111" s="49">
        <v>6891.2372519999999</v>
      </c>
      <c r="Z111" s="49">
        <v>967.28274839999995</v>
      </c>
      <c r="AA111" s="49">
        <v>0</v>
      </c>
      <c r="AB111" s="49">
        <v>0</v>
      </c>
      <c r="AC111" s="4" t="str">
        <f t="shared" si="4"/>
        <v>Dumper</v>
      </c>
      <c r="AD111" s="4" t="str">
        <f t="shared" si="5"/>
        <v>Operational</v>
      </c>
      <c r="AE111" s="4" t="str">
        <f t="shared" si="7"/>
        <v>Individual</v>
      </c>
    </row>
    <row r="112" spans="1:31" ht="14" customHeight="1" x14ac:dyDescent="0.35">
      <c r="A112" s="5">
        <v>42</v>
      </c>
      <c r="B112" s="5" t="s">
        <v>101</v>
      </c>
      <c r="C112" s="5" t="s">
        <v>143</v>
      </c>
      <c r="D112" s="54">
        <v>719.99990000000003</v>
      </c>
      <c r="E112" s="50">
        <v>612.57500000000005</v>
      </c>
      <c r="F112" s="50">
        <v>540.16970000000003</v>
      </c>
      <c r="G112" s="50">
        <v>531.30319999999995</v>
      </c>
      <c r="H112" s="50">
        <v>107.424899999999</v>
      </c>
      <c r="I112" s="50">
        <v>20.9376</v>
      </c>
      <c r="J112" s="50">
        <v>72.405299999999897</v>
      </c>
      <c r="K112" s="50">
        <v>7.2899000000000003</v>
      </c>
      <c r="L112" s="50">
        <v>531.30319999999995</v>
      </c>
      <c r="M112" s="50">
        <v>28.227499999999999</v>
      </c>
      <c r="N112" s="50">
        <v>559.53070000000002</v>
      </c>
      <c r="O112" s="58">
        <v>0.8507987293</v>
      </c>
      <c r="P112" s="58">
        <v>0.86732759250000002</v>
      </c>
      <c r="Q112" s="5">
        <v>0</v>
      </c>
      <c r="R112" s="50">
        <v>0</v>
      </c>
      <c r="S112" s="50">
        <v>0</v>
      </c>
      <c r="T112" s="5">
        <v>891</v>
      </c>
      <c r="U112" s="5">
        <f t="shared" si="6"/>
        <v>22275</v>
      </c>
      <c r="V112" s="5">
        <v>25</v>
      </c>
      <c r="W112" s="50">
        <v>7944.5599999999904</v>
      </c>
      <c r="X112" s="50">
        <v>14.198613229999999</v>
      </c>
      <c r="Y112" s="50">
        <v>7543.7686450000001</v>
      </c>
      <c r="Z112" s="50">
        <v>400.79135500000001</v>
      </c>
      <c r="AA112" s="50">
        <v>0</v>
      </c>
      <c r="AB112" s="50">
        <v>0</v>
      </c>
      <c r="AC112" s="4" t="str">
        <f t="shared" si="4"/>
        <v>Dumper</v>
      </c>
      <c r="AD112" s="4" t="str">
        <f t="shared" si="5"/>
        <v>Operational</v>
      </c>
      <c r="AE112" s="4" t="str">
        <f t="shared" si="7"/>
        <v>Individual</v>
      </c>
    </row>
    <row r="113" spans="1:31" ht="14" customHeight="1" x14ac:dyDescent="0.35">
      <c r="A113" s="3">
        <v>43</v>
      </c>
      <c r="B113" s="3" t="s">
        <v>101</v>
      </c>
      <c r="C113" s="3" t="s">
        <v>144</v>
      </c>
      <c r="D113" s="53">
        <v>720.00030000000004</v>
      </c>
      <c r="E113" s="49">
        <v>477.00810000000001</v>
      </c>
      <c r="F113" s="49">
        <v>425.41910000000001</v>
      </c>
      <c r="G113" s="49">
        <v>424.64479999999998</v>
      </c>
      <c r="H113" s="49">
        <v>242.9922</v>
      </c>
      <c r="I113" s="49">
        <v>47.107799999999997</v>
      </c>
      <c r="J113" s="49">
        <v>51.588999999999999</v>
      </c>
      <c r="K113" s="49">
        <v>26.2272</v>
      </c>
      <c r="L113" s="49">
        <v>424.64479999999998</v>
      </c>
      <c r="M113" s="49">
        <v>73.334999999999994</v>
      </c>
      <c r="N113" s="49">
        <v>497.97980000000001</v>
      </c>
      <c r="O113" s="57">
        <v>0.66251097400000003</v>
      </c>
      <c r="P113" s="57">
        <v>0.89022555380000001</v>
      </c>
      <c r="Q113" s="3">
        <v>0</v>
      </c>
      <c r="R113" s="49">
        <v>0</v>
      </c>
      <c r="S113" s="49">
        <v>0</v>
      </c>
      <c r="T113" s="3">
        <v>739</v>
      </c>
      <c r="U113" s="3">
        <f t="shared" si="6"/>
        <v>18475</v>
      </c>
      <c r="V113" s="3">
        <v>25</v>
      </c>
      <c r="W113" s="49">
        <v>7385.78</v>
      </c>
      <c r="X113" s="49">
        <v>14.831485130000001</v>
      </c>
      <c r="Y113" s="49">
        <v>6298.1130380000004</v>
      </c>
      <c r="Z113" s="49">
        <v>1087.666962</v>
      </c>
      <c r="AA113" s="49">
        <v>0</v>
      </c>
      <c r="AB113" s="49">
        <v>0</v>
      </c>
      <c r="AC113" s="4" t="str">
        <f t="shared" si="4"/>
        <v>Dumper</v>
      </c>
      <c r="AD113" s="4" t="str">
        <f t="shared" si="5"/>
        <v>Operational</v>
      </c>
      <c r="AE113" s="4" t="str">
        <f t="shared" si="7"/>
        <v>Individual</v>
      </c>
    </row>
    <row r="114" spans="1:31" ht="14" customHeight="1" x14ac:dyDescent="0.35">
      <c r="A114" s="5">
        <v>44</v>
      </c>
      <c r="B114" s="5" t="s">
        <v>101</v>
      </c>
      <c r="C114" s="5" t="s">
        <v>145</v>
      </c>
      <c r="D114" s="54">
        <v>720</v>
      </c>
      <c r="E114" s="50">
        <v>623.45270000000005</v>
      </c>
      <c r="F114" s="50">
        <v>497.41930000000002</v>
      </c>
      <c r="G114" s="50">
        <v>489.428</v>
      </c>
      <c r="H114" s="50">
        <v>96.547299999999893</v>
      </c>
      <c r="I114" s="50">
        <v>19.548100000000002</v>
      </c>
      <c r="J114" s="50">
        <v>126.03339999999901</v>
      </c>
      <c r="K114" s="50">
        <v>10.999799999999899</v>
      </c>
      <c r="L114" s="50">
        <v>489.428</v>
      </c>
      <c r="M114" s="50">
        <v>30.547899999999998</v>
      </c>
      <c r="N114" s="50">
        <v>519.97590000000002</v>
      </c>
      <c r="O114" s="58">
        <v>0.86590652779999999</v>
      </c>
      <c r="P114" s="58">
        <v>0.78502827880000003</v>
      </c>
      <c r="Q114" s="5">
        <v>0</v>
      </c>
      <c r="R114" s="50">
        <v>0</v>
      </c>
      <c r="S114" s="50">
        <v>0</v>
      </c>
      <c r="T114" s="5">
        <v>918</v>
      </c>
      <c r="U114" s="5">
        <f t="shared" si="6"/>
        <v>22950</v>
      </c>
      <c r="V114" s="5">
        <v>25</v>
      </c>
      <c r="W114" s="50">
        <v>7861.67</v>
      </c>
      <c r="X114" s="50">
        <v>15.11929688</v>
      </c>
      <c r="Y114" s="50">
        <v>7399.8072309999998</v>
      </c>
      <c r="Z114" s="50">
        <v>461.86276900000001</v>
      </c>
      <c r="AA114" s="50">
        <v>0</v>
      </c>
      <c r="AB114" s="50">
        <v>0</v>
      </c>
      <c r="AC114" s="4" t="str">
        <f t="shared" si="4"/>
        <v>Dumper</v>
      </c>
      <c r="AD114" s="4" t="str">
        <f t="shared" si="5"/>
        <v>Operational</v>
      </c>
      <c r="AE114" s="4" t="str">
        <f t="shared" si="7"/>
        <v>Individual</v>
      </c>
    </row>
    <row r="115" spans="1:31" ht="14" customHeight="1" x14ac:dyDescent="0.35">
      <c r="A115" s="3">
        <v>45</v>
      </c>
      <c r="B115" s="3" t="s">
        <v>101</v>
      </c>
      <c r="C115" s="3" t="s">
        <v>146</v>
      </c>
      <c r="D115" s="53">
        <v>720.00129999999899</v>
      </c>
      <c r="E115" s="49">
        <v>625.10469999999896</v>
      </c>
      <c r="F115" s="49">
        <v>547.65619999999899</v>
      </c>
      <c r="G115" s="49">
        <v>538.90519999999901</v>
      </c>
      <c r="H115" s="49">
        <v>94.896600000000007</v>
      </c>
      <c r="I115" s="49">
        <v>30.301299999999902</v>
      </c>
      <c r="J115" s="49">
        <v>77.448499999999996</v>
      </c>
      <c r="K115" s="49">
        <v>6.2447999999999997</v>
      </c>
      <c r="L115" s="49">
        <v>538.90519999999901</v>
      </c>
      <c r="M115" s="49">
        <v>36.546100000000003</v>
      </c>
      <c r="N115" s="49">
        <v>575.45129999999904</v>
      </c>
      <c r="O115" s="57">
        <v>0.8681994046</v>
      </c>
      <c r="P115" s="57">
        <v>0.86210390039999996</v>
      </c>
      <c r="Q115" s="3">
        <v>0</v>
      </c>
      <c r="R115" s="49">
        <v>0</v>
      </c>
      <c r="S115" s="49">
        <v>0</v>
      </c>
      <c r="T115" s="3">
        <v>972</v>
      </c>
      <c r="U115" s="3">
        <f t="shared" si="6"/>
        <v>24300</v>
      </c>
      <c r="V115" s="3">
        <v>25</v>
      </c>
      <c r="W115" s="49">
        <v>7764.7599999999902</v>
      </c>
      <c r="X115" s="49">
        <v>13.49333992</v>
      </c>
      <c r="Y115" s="49">
        <v>7271.6310498420899</v>
      </c>
      <c r="Z115" s="49">
        <v>493.12895020000002</v>
      </c>
      <c r="AA115" s="49">
        <v>0</v>
      </c>
      <c r="AB115" s="49">
        <v>0</v>
      </c>
      <c r="AC115" s="4" t="str">
        <f t="shared" si="4"/>
        <v>Dumper</v>
      </c>
      <c r="AD115" s="4" t="str">
        <f t="shared" si="5"/>
        <v>Operational</v>
      </c>
      <c r="AE115" s="4" t="str">
        <f t="shared" si="7"/>
        <v>Individual</v>
      </c>
    </row>
    <row r="116" spans="1:31" ht="14" customHeight="1" x14ac:dyDescent="0.35">
      <c r="A116" s="5">
        <v>46</v>
      </c>
      <c r="B116" s="5" t="s">
        <v>101</v>
      </c>
      <c r="C116" s="5" t="s">
        <v>147</v>
      </c>
      <c r="D116" s="54">
        <v>719.99959999999999</v>
      </c>
      <c r="E116" s="50">
        <v>393.81099999999998</v>
      </c>
      <c r="F116" s="50">
        <v>347.31869999999998</v>
      </c>
      <c r="G116" s="50">
        <v>345.35180000000003</v>
      </c>
      <c r="H116" s="50">
        <v>326.18860000000001</v>
      </c>
      <c r="I116" s="50">
        <v>35.549700000000001</v>
      </c>
      <c r="J116" s="50">
        <v>46.4923</v>
      </c>
      <c r="K116" s="50">
        <v>9.4672000000000001</v>
      </c>
      <c r="L116" s="50">
        <v>345.35180000000003</v>
      </c>
      <c r="M116" s="50">
        <v>45.0169</v>
      </c>
      <c r="N116" s="50">
        <v>390.36869999999999</v>
      </c>
      <c r="O116" s="58">
        <v>0.54696002610000005</v>
      </c>
      <c r="P116" s="58">
        <v>0.87694807919999995</v>
      </c>
      <c r="Q116" s="5">
        <v>0</v>
      </c>
      <c r="R116" s="50">
        <v>0</v>
      </c>
      <c r="S116" s="50">
        <v>0</v>
      </c>
      <c r="T116" s="5">
        <v>541</v>
      </c>
      <c r="U116" s="5">
        <f t="shared" si="6"/>
        <v>13525</v>
      </c>
      <c r="V116" s="5">
        <v>25</v>
      </c>
      <c r="W116" s="50">
        <v>4827.95</v>
      </c>
      <c r="X116" s="50">
        <v>12.36766677</v>
      </c>
      <c r="Y116" s="50">
        <v>4271.1959820000002</v>
      </c>
      <c r="Z116" s="50">
        <v>556.75401829999998</v>
      </c>
      <c r="AA116" s="50">
        <v>0</v>
      </c>
      <c r="AB116" s="50">
        <v>0</v>
      </c>
      <c r="AC116" s="4" t="str">
        <f t="shared" si="4"/>
        <v>Dumper</v>
      </c>
      <c r="AD116" s="4" t="str">
        <f t="shared" si="5"/>
        <v>Operational</v>
      </c>
      <c r="AE116" s="4" t="str">
        <f t="shared" si="7"/>
        <v>Individual</v>
      </c>
    </row>
    <row r="117" spans="1:31" ht="14" customHeight="1" x14ac:dyDescent="0.35">
      <c r="A117" s="3">
        <v>47</v>
      </c>
      <c r="B117" s="3" t="s">
        <v>101</v>
      </c>
      <c r="C117" s="3" t="s">
        <v>148</v>
      </c>
      <c r="D117" s="53">
        <v>719.99979999999903</v>
      </c>
      <c r="E117" s="49">
        <v>506.61489999999901</v>
      </c>
      <c r="F117" s="49">
        <v>447.013499999999</v>
      </c>
      <c r="G117" s="49">
        <v>440.75630000000001</v>
      </c>
      <c r="H117" s="49">
        <v>213.38489999999899</v>
      </c>
      <c r="I117" s="49">
        <v>14.0449</v>
      </c>
      <c r="J117" s="49">
        <v>59.601399999999899</v>
      </c>
      <c r="K117" s="49">
        <v>6.0048000000000004</v>
      </c>
      <c r="L117" s="49">
        <v>440.75630000000001</v>
      </c>
      <c r="M117" s="49">
        <v>20.049700000000001</v>
      </c>
      <c r="N117" s="49">
        <v>460.80599999999998</v>
      </c>
      <c r="O117" s="57">
        <v>0.70363200100000001</v>
      </c>
      <c r="P117" s="57">
        <v>0.87000263909999997</v>
      </c>
      <c r="Q117" s="3">
        <v>0</v>
      </c>
      <c r="R117" s="49">
        <v>0</v>
      </c>
      <c r="S117" s="49">
        <v>0</v>
      </c>
      <c r="T117" s="3">
        <v>743</v>
      </c>
      <c r="U117" s="3">
        <f t="shared" si="6"/>
        <v>18575</v>
      </c>
      <c r="V117" s="3">
        <v>25</v>
      </c>
      <c r="W117" s="49">
        <v>6785.3699999999899</v>
      </c>
      <c r="X117" s="49">
        <v>14.725003579999999</v>
      </c>
      <c r="Y117" s="49">
        <v>6490.1380959999997</v>
      </c>
      <c r="Z117" s="49">
        <v>295.2319043</v>
      </c>
      <c r="AA117" s="49">
        <v>0</v>
      </c>
      <c r="AB117" s="49">
        <v>0</v>
      </c>
      <c r="AC117" s="4" t="str">
        <f t="shared" si="4"/>
        <v>Dumper</v>
      </c>
      <c r="AD117" s="4" t="str">
        <f t="shared" si="5"/>
        <v>Operational</v>
      </c>
      <c r="AE117" s="4" t="str">
        <f t="shared" si="7"/>
        <v>Individual</v>
      </c>
    </row>
    <row r="118" spans="1:31" ht="14" customHeight="1" x14ac:dyDescent="0.35">
      <c r="A118" s="5">
        <v>48</v>
      </c>
      <c r="B118" s="5" t="s">
        <v>101</v>
      </c>
      <c r="C118" s="5" t="s">
        <v>149</v>
      </c>
      <c r="D118" s="54">
        <v>720</v>
      </c>
      <c r="E118" s="50">
        <v>627.50580000000002</v>
      </c>
      <c r="F118" s="50">
        <v>554.35170000000005</v>
      </c>
      <c r="G118" s="50">
        <v>547.55050000000006</v>
      </c>
      <c r="H118" s="50">
        <v>92.494200000000006</v>
      </c>
      <c r="I118" s="50">
        <v>40.0945999999999</v>
      </c>
      <c r="J118" s="50">
        <v>73.1540999999999</v>
      </c>
      <c r="K118" s="50">
        <v>8.3301999999999907</v>
      </c>
      <c r="L118" s="50">
        <v>547.55050000000006</v>
      </c>
      <c r="M118" s="50">
        <v>48.424799999999898</v>
      </c>
      <c r="N118" s="50">
        <v>595.97529999999995</v>
      </c>
      <c r="O118" s="58">
        <v>0.87153583329999995</v>
      </c>
      <c r="P118" s="58">
        <v>0.87258237289999996</v>
      </c>
      <c r="Q118" s="5">
        <v>0</v>
      </c>
      <c r="R118" s="50">
        <v>0</v>
      </c>
      <c r="S118" s="50">
        <v>0</v>
      </c>
      <c r="T118" s="5">
        <v>944</v>
      </c>
      <c r="U118" s="5">
        <f t="shared" si="6"/>
        <v>23600</v>
      </c>
      <c r="V118" s="5">
        <v>25</v>
      </c>
      <c r="W118" s="50">
        <v>8525.17</v>
      </c>
      <c r="X118" s="50">
        <v>14.30456933</v>
      </c>
      <c r="Y118" s="50">
        <v>7832.474091</v>
      </c>
      <c r="Z118" s="50">
        <v>692.69590909999999</v>
      </c>
      <c r="AA118" s="50">
        <v>0</v>
      </c>
      <c r="AB118" s="50">
        <v>0</v>
      </c>
      <c r="AC118" s="4" t="str">
        <f t="shared" si="4"/>
        <v>Dumper</v>
      </c>
      <c r="AD118" s="4" t="str">
        <f t="shared" si="5"/>
        <v>Operational</v>
      </c>
      <c r="AE118" s="4" t="str">
        <f t="shared" si="7"/>
        <v>Individual</v>
      </c>
    </row>
    <row r="119" spans="1:31" ht="14" customHeight="1" x14ac:dyDescent="0.35">
      <c r="A119" s="3">
        <v>49</v>
      </c>
      <c r="B119" s="3" t="s">
        <v>101</v>
      </c>
      <c r="C119" s="3" t="s">
        <v>150</v>
      </c>
      <c r="D119" s="53">
        <v>720.00070000000005</v>
      </c>
      <c r="E119" s="49">
        <v>638.34690000000001</v>
      </c>
      <c r="F119" s="49">
        <v>561.81629999999996</v>
      </c>
      <c r="G119" s="49">
        <v>551.31949999999995</v>
      </c>
      <c r="H119" s="49">
        <v>81.653800000000004</v>
      </c>
      <c r="I119" s="49">
        <v>22.576000000000001</v>
      </c>
      <c r="J119" s="49">
        <v>76.530600000000007</v>
      </c>
      <c r="K119" s="49">
        <v>4.5107999999999997</v>
      </c>
      <c r="L119" s="49">
        <v>551.31949999999995</v>
      </c>
      <c r="M119" s="49">
        <v>27.0868</v>
      </c>
      <c r="N119" s="49">
        <v>578.40629999999999</v>
      </c>
      <c r="O119" s="57">
        <v>0.88659205470000002</v>
      </c>
      <c r="P119" s="57">
        <v>0.86366754499999998</v>
      </c>
      <c r="Q119" s="3">
        <v>0</v>
      </c>
      <c r="R119" s="49">
        <v>0</v>
      </c>
      <c r="S119" s="49">
        <v>0</v>
      </c>
      <c r="T119" s="3">
        <v>997</v>
      </c>
      <c r="U119" s="3">
        <f t="shared" si="6"/>
        <v>24925</v>
      </c>
      <c r="V119" s="3">
        <v>25</v>
      </c>
      <c r="W119" s="49">
        <v>8378.91</v>
      </c>
      <c r="X119" s="49">
        <v>14.48620114</v>
      </c>
      <c r="Y119" s="49">
        <v>7986.5251669999998</v>
      </c>
      <c r="Z119" s="49">
        <v>392.38483289999999</v>
      </c>
      <c r="AA119" s="49">
        <v>0</v>
      </c>
      <c r="AB119" s="49">
        <v>0</v>
      </c>
      <c r="AC119" s="4" t="str">
        <f t="shared" si="4"/>
        <v>Dumper</v>
      </c>
      <c r="AD119" s="4" t="str">
        <f t="shared" si="5"/>
        <v>Operational</v>
      </c>
      <c r="AE119" s="4" t="str">
        <f t="shared" si="7"/>
        <v>Individual</v>
      </c>
    </row>
    <row r="120" spans="1:31" ht="14" customHeight="1" x14ac:dyDescent="0.35">
      <c r="A120" s="5">
        <v>50</v>
      </c>
      <c r="B120" s="5" t="s">
        <v>101</v>
      </c>
      <c r="C120" s="5" t="s">
        <v>151</v>
      </c>
      <c r="D120" s="54">
        <v>720.00009999999895</v>
      </c>
      <c r="E120" s="50">
        <v>505.84039999999902</v>
      </c>
      <c r="F120" s="50">
        <v>442.02779999999899</v>
      </c>
      <c r="G120" s="50">
        <v>433.36610000000002</v>
      </c>
      <c r="H120" s="50">
        <v>214.15969999999999</v>
      </c>
      <c r="I120" s="50">
        <v>26.042199999999902</v>
      </c>
      <c r="J120" s="50">
        <v>63.812599999999897</v>
      </c>
      <c r="K120" s="50">
        <v>5.4020999999999999</v>
      </c>
      <c r="L120" s="50">
        <v>433.36610000000002</v>
      </c>
      <c r="M120" s="50">
        <v>31.444299999999899</v>
      </c>
      <c r="N120" s="50">
        <v>464.81040000000002</v>
      </c>
      <c r="O120" s="58">
        <v>0.70255601349999997</v>
      </c>
      <c r="P120" s="58">
        <v>0.856724967</v>
      </c>
      <c r="Q120" s="5">
        <v>0</v>
      </c>
      <c r="R120" s="50">
        <v>0</v>
      </c>
      <c r="S120" s="50">
        <v>0</v>
      </c>
      <c r="T120" s="5">
        <v>838</v>
      </c>
      <c r="U120" s="5">
        <f t="shared" si="6"/>
        <v>20950</v>
      </c>
      <c r="V120" s="5">
        <v>25</v>
      </c>
      <c r="W120" s="50">
        <v>7605.7699999999904</v>
      </c>
      <c r="X120" s="50">
        <v>16.363166570000001</v>
      </c>
      <c r="Y120" s="50">
        <v>7091.2416810000004</v>
      </c>
      <c r="Z120" s="50">
        <v>514.5283187</v>
      </c>
      <c r="AA120" s="50">
        <v>0</v>
      </c>
      <c r="AB120" s="50">
        <v>0</v>
      </c>
      <c r="AC120" s="4" t="str">
        <f t="shared" si="4"/>
        <v>Dumper</v>
      </c>
      <c r="AD120" s="4" t="str">
        <f t="shared" si="5"/>
        <v>Operational</v>
      </c>
      <c r="AE120" s="4" t="str">
        <f t="shared" si="7"/>
        <v>Individual</v>
      </c>
    </row>
    <row r="121" spans="1:31" ht="14" customHeight="1" x14ac:dyDescent="0.35">
      <c r="A121" s="3">
        <v>51</v>
      </c>
      <c r="B121" s="3" t="s">
        <v>101</v>
      </c>
      <c r="C121" s="3" t="s">
        <v>152</v>
      </c>
      <c r="D121" s="53">
        <v>720</v>
      </c>
      <c r="E121" s="49">
        <v>630.86950000000002</v>
      </c>
      <c r="F121" s="49">
        <v>557.59259999999995</v>
      </c>
      <c r="G121" s="49">
        <v>547.59360000000004</v>
      </c>
      <c r="H121" s="49">
        <v>89.130499999999898</v>
      </c>
      <c r="I121" s="49">
        <v>20.0001</v>
      </c>
      <c r="J121" s="49">
        <v>73.276899999999898</v>
      </c>
      <c r="K121" s="49">
        <v>3.3201000000000001</v>
      </c>
      <c r="L121" s="49">
        <v>547.59360000000004</v>
      </c>
      <c r="M121" s="49">
        <v>23.3202</v>
      </c>
      <c r="N121" s="49">
        <v>570.91380000000004</v>
      </c>
      <c r="O121" s="57">
        <v>0.87620763889999997</v>
      </c>
      <c r="P121" s="57">
        <v>0.86799821519999998</v>
      </c>
      <c r="Q121" s="3">
        <v>0</v>
      </c>
      <c r="R121" s="49">
        <v>0</v>
      </c>
      <c r="S121" s="49">
        <v>0</v>
      </c>
      <c r="T121" s="3">
        <v>968</v>
      </c>
      <c r="U121" s="3">
        <f t="shared" si="6"/>
        <v>24200</v>
      </c>
      <c r="V121" s="3">
        <v>25</v>
      </c>
      <c r="W121" s="49">
        <v>8560.83</v>
      </c>
      <c r="X121" s="49">
        <v>14.994960710000001</v>
      </c>
      <c r="Y121" s="49">
        <v>8211.1445170000006</v>
      </c>
      <c r="Z121" s="49">
        <v>349.68548279999999</v>
      </c>
      <c r="AA121" s="49">
        <v>0</v>
      </c>
      <c r="AB121" s="49">
        <v>0</v>
      </c>
      <c r="AC121" s="4" t="str">
        <f t="shared" si="4"/>
        <v>Dumper</v>
      </c>
      <c r="AD121" s="4" t="str">
        <f t="shared" si="5"/>
        <v>Operational</v>
      </c>
      <c r="AE121" s="4" t="str">
        <f t="shared" si="7"/>
        <v>Individual</v>
      </c>
    </row>
    <row r="122" spans="1:31" ht="14" customHeight="1" x14ac:dyDescent="0.35">
      <c r="A122" s="5">
        <v>52</v>
      </c>
      <c r="B122" s="5" t="s">
        <v>101</v>
      </c>
      <c r="C122" s="5" t="s">
        <v>153</v>
      </c>
      <c r="D122" s="54">
        <v>720.00019999999904</v>
      </c>
      <c r="E122" s="50">
        <v>607.140299999999</v>
      </c>
      <c r="F122" s="50">
        <v>525.20179999999903</v>
      </c>
      <c r="G122" s="50">
        <v>515.7912</v>
      </c>
      <c r="H122" s="50">
        <v>112.8599</v>
      </c>
      <c r="I122" s="50">
        <v>28.815499999999901</v>
      </c>
      <c r="J122" s="50">
        <v>81.938500000000005</v>
      </c>
      <c r="K122" s="50">
        <v>3.5533999999999999</v>
      </c>
      <c r="L122" s="50">
        <v>515.7912</v>
      </c>
      <c r="M122" s="50">
        <v>32.368899999999897</v>
      </c>
      <c r="N122" s="50">
        <v>548.16009999999903</v>
      </c>
      <c r="O122" s="58">
        <v>0.84325018240000005</v>
      </c>
      <c r="P122" s="58">
        <v>0.84954202509999999</v>
      </c>
      <c r="Q122" s="5">
        <v>0</v>
      </c>
      <c r="R122" s="50">
        <v>0</v>
      </c>
      <c r="S122" s="50">
        <v>0</v>
      </c>
      <c r="T122" s="5">
        <v>917</v>
      </c>
      <c r="U122" s="5">
        <f t="shared" si="6"/>
        <v>22925</v>
      </c>
      <c r="V122" s="5">
        <v>25</v>
      </c>
      <c r="W122" s="50">
        <v>8099.49</v>
      </c>
      <c r="X122" s="50">
        <v>14.77577445</v>
      </c>
      <c r="Y122" s="50">
        <v>7621.2144340000004</v>
      </c>
      <c r="Z122" s="50">
        <v>478.27556559999999</v>
      </c>
      <c r="AA122" s="50">
        <v>0</v>
      </c>
      <c r="AB122" s="50">
        <v>0</v>
      </c>
      <c r="AC122" s="4" t="str">
        <f t="shared" si="4"/>
        <v>Dumper</v>
      </c>
      <c r="AD122" s="4" t="str">
        <f t="shared" si="5"/>
        <v>Operational</v>
      </c>
      <c r="AE122" s="4" t="str">
        <f t="shared" si="7"/>
        <v>Individual</v>
      </c>
    </row>
    <row r="123" spans="1:31" ht="14" customHeight="1" x14ac:dyDescent="0.35">
      <c r="A123" s="3">
        <v>53</v>
      </c>
      <c r="B123" s="3" t="s">
        <v>101</v>
      </c>
      <c r="C123" s="3" t="s">
        <v>154</v>
      </c>
      <c r="D123" s="53">
        <v>719.99919999999997</v>
      </c>
      <c r="E123" s="49">
        <v>580.16309999999999</v>
      </c>
      <c r="F123" s="49">
        <v>509.95010000000002</v>
      </c>
      <c r="G123" s="49">
        <v>501.85379999999998</v>
      </c>
      <c r="H123" s="49">
        <v>139.83609999999999</v>
      </c>
      <c r="I123" s="49">
        <v>24.674799999999902</v>
      </c>
      <c r="J123" s="49">
        <v>70.212999999999994</v>
      </c>
      <c r="K123" s="49">
        <v>5.7682999999999902</v>
      </c>
      <c r="L123" s="49">
        <v>501.85379999999998</v>
      </c>
      <c r="M123" s="49">
        <v>30.443099999999902</v>
      </c>
      <c r="N123" s="49">
        <v>532.29690000000005</v>
      </c>
      <c r="O123" s="57">
        <v>0.80578297860000003</v>
      </c>
      <c r="P123" s="57">
        <v>0.86502192229999997</v>
      </c>
      <c r="Q123" s="3">
        <v>0</v>
      </c>
      <c r="R123" s="49">
        <v>0</v>
      </c>
      <c r="S123" s="49">
        <v>0</v>
      </c>
      <c r="T123" s="3">
        <v>912</v>
      </c>
      <c r="U123" s="3">
        <f t="shared" si="6"/>
        <v>22800</v>
      </c>
      <c r="V123" s="3">
        <v>25</v>
      </c>
      <c r="W123" s="49">
        <v>7097.31</v>
      </c>
      <c r="X123" s="49">
        <v>13.333367150000001</v>
      </c>
      <c r="Y123" s="49">
        <v>6691.400971</v>
      </c>
      <c r="Z123" s="49">
        <v>405.90902949999997</v>
      </c>
      <c r="AA123" s="49">
        <v>0</v>
      </c>
      <c r="AB123" s="49">
        <v>0</v>
      </c>
      <c r="AC123" s="4" t="str">
        <f t="shared" si="4"/>
        <v>Dumper</v>
      </c>
      <c r="AD123" s="4" t="str">
        <f t="shared" si="5"/>
        <v>Operational</v>
      </c>
      <c r="AE123" s="4" t="str">
        <f t="shared" si="7"/>
        <v>Individual</v>
      </c>
    </row>
    <row r="124" spans="1:31" ht="14" customHeight="1" x14ac:dyDescent="0.35">
      <c r="A124" s="5">
        <v>54</v>
      </c>
      <c r="B124" s="5" t="s">
        <v>101</v>
      </c>
      <c r="C124" s="5" t="s">
        <v>155</v>
      </c>
      <c r="D124" s="54">
        <v>720.00059999999996</v>
      </c>
      <c r="E124" s="50">
        <v>482.6241</v>
      </c>
      <c r="F124" s="50">
        <v>419.72050000000002</v>
      </c>
      <c r="G124" s="50">
        <v>412.32799999999997</v>
      </c>
      <c r="H124" s="50">
        <v>237.37649999999999</v>
      </c>
      <c r="I124" s="50">
        <v>25.333499999999901</v>
      </c>
      <c r="J124" s="50">
        <v>62.903599999999898</v>
      </c>
      <c r="K124" s="50">
        <v>10.119599999999901</v>
      </c>
      <c r="L124" s="50">
        <v>412.32799999999997</v>
      </c>
      <c r="M124" s="50">
        <v>35.4530999999999</v>
      </c>
      <c r="N124" s="50">
        <v>447.78109999999998</v>
      </c>
      <c r="O124" s="58">
        <v>0.67031069139999999</v>
      </c>
      <c r="P124" s="58">
        <v>0.85434606349999997</v>
      </c>
      <c r="Q124" s="5">
        <v>0</v>
      </c>
      <c r="R124" s="50">
        <v>0</v>
      </c>
      <c r="S124" s="50">
        <v>0</v>
      </c>
      <c r="T124" s="5">
        <v>739</v>
      </c>
      <c r="U124" s="5">
        <f t="shared" si="6"/>
        <v>18475</v>
      </c>
      <c r="V124" s="5">
        <v>25</v>
      </c>
      <c r="W124" s="50">
        <v>6760.68</v>
      </c>
      <c r="X124" s="50">
        <v>15.098180790000001</v>
      </c>
      <c r="Y124" s="50">
        <v>6225.4026869999998</v>
      </c>
      <c r="Z124" s="50">
        <v>535.27731319999998</v>
      </c>
      <c r="AA124" s="50">
        <v>0</v>
      </c>
      <c r="AB124" s="50">
        <v>0</v>
      </c>
      <c r="AC124" s="4" t="str">
        <f t="shared" si="4"/>
        <v>Dumper</v>
      </c>
      <c r="AD124" s="4" t="str">
        <f t="shared" si="5"/>
        <v>Operational</v>
      </c>
      <c r="AE124" s="4" t="str">
        <f t="shared" si="7"/>
        <v>Individual</v>
      </c>
    </row>
    <row r="125" spans="1:31" ht="14" customHeight="1" x14ac:dyDescent="0.35">
      <c r="A125" s="3">
        <v>55</v>
      </c>
      <c r="B125" s="3" t="s">
        <v>101</v>
      </c>
      <c r="C125" s="3" t="s">
        <v>156</v>
      </c>
      <c r="D125" s="53">
        <v>720</v>
      </c>
      <c r="E125" s="49">
        <v>474.99200000000002</v>
      </c>
      <c r="F125" s="49">
        <v>416.30630000000002</v>
      </c>
      <c r="G125" s="49">
        <v>409.01369999999997</v>
      </c>
      <c r="H125" s="49">
        <v>245.00799999999899</v>
      </c>
      <c r="I125" s="49">
        <v>18.029899999999898</v>
      </c>
      <c r="J125" s="49">
        <v>58.685699999999997</v>
      </c>
      <c r="K125" s="49">
        <v>4.1173999999999999</v>
      </c>
      <c r="L125" s="49">
        <v>409.01369999999997</v>
      </c>
      <c r="M125" s="49">
        <v>22.147299999999898</v>
      </c>
      <c r="N125" s="49">
        <v>431.161</v>
      </c>
      <c r="O125" s="57">
        <v>0.65971111110000002</v>
      </c>
      <c r="P125" s="57">
        <v>0.86109597640000002</v>
      </c>
      <c r="Q125" s="3">
        <v>0</v>
      </c>
      <c r="R125" s="49">
        <v>0</v>
      </c>
      <c r="S125" s="49">
        <v>0</v>
      </c>
      <c r="T125" s="3">
        <v>677</v>
      </c>
      <c r="U125" s="3">
        <f t="shared" si="6"/>
        <v>16925</v>
      </c>
      <c r="V125" s="3">
        <v>25</v>
      </c>
      <c r="W125" s="49">
        <v>6987.98</v>
      </c>
      <c r="X125" s="49">
        <v>16.20735642</v>
      </c>
      <c r="Y125" s="49">
        <v>6629.0308150000001</v>
      </c>
      <c r="Z125" s="49">
        <v>358.94918480000001</v>
      </c>
      <c r="AA125" s="49">
        <v>0</v>
      </c>
      <c r="AB125" s="49">
        <v>0</v>
      </c>
      <c r="AC125" s="4" t="str">
        <f t="shared" si="4"/>
        <v>Dumper</v>
      </c>
      <c r="AD125" s="4" t="str">
        <f t="shared" si="5"/>
        <v>Operational</v>
      </c>
      <c r="AE125" s="4" t="str">
        <f t="shared" si="7"/>
        <v>Individual</v>
      </c>
    </row>
    <row r="126" spans="1:31" ht="14" customHeight="1" x14ac:dyDescent="0.35">
      <c r="A126" s="5">
        <v>56</v>
      </c>
      <c r="B126" s="5" t="s">
        <v>101</v>
      </c>
      <c r="C126" s="5" t="s">
        <v>157</v>
      </c>
      <c r="D126" s="54">
        <v>720.00119999999902</v>
      </c>
      <c r="E126" s="50">
        <v>509.06929999999898</v>
      </c>
      <c r="F126" s="50">
        <v>443.25779999999997</v>
      </c>
      <c r="G126" s="50">
        <v>438.07399999999899</v>
      </c>
      <c r="H126" s="50">
        <v>210.93189999999899</v>
      </c>
      <c r="I126" s="50">
        <v>31.747599999999998</v>
      </c>
      <c r="J126" s="50">
        <v>65.811499999999896</v>
      </c>
      <c r="K126" s="50">
        <v>13.716100000000001</v>
      </c>
      <c r="L126" s="50">
        <v>438.07399999999899</v>
      </c>
      <c r="M126" s="50">
        <v>45.463700000000003</v>
      </c>
      <c r="N126" s="50">
        <v>483.53769999999997</v>
      </c>
      <c r="O126" s="58">
        <v>0.70703951600000003</v>
      </c>
      <c r="P126" s="58">
        <v>0.86053902680000005</v>
      </c>
      <c r="Q126" s="5">
        <v>0</v>
      </c>
      <c r="R126" s="50">
        <v>0</v>
      </c>
      <c r="S126" s="50">
        <v>0</v>
      </c>
      <c r="T126" s="5">
        <v>849</v>
      </c>
      <c r="U126" s="5">
        <f t="shared" si="6"/>
        <v>21225</v>
      </c>
      <c r="V126" s="5">
        <v>25</v>
      </c>
      <c r="W126" s="50">
        <v>6965.95999999999</v>
      </c>
      <c r="X126" s="50">
        <v>14.406239680000001</v>
      </c>
      <c r="Y126" s="50">
        <v>6310.999041</v>
      </c>
      <c r="Z126" s="50">
        <v>654.96095890000004</v>
      </c>
      <c r="AA126" s="50">
        <v>0</v>
      </c>
      <c r="AB126" s="50">
        <v>0</v>
      </c>
      <c r="AC126" s="4" t="str">
        <f t="shared" si="4"/>
        <v>Dumper</v>
      </c>
      <c r="AD126" s="4" t="str">
        <f t="shared" si="5"/>
        <v>Operational</v>
      </c>
      <c r="AE126" s="4" t="str">
        <f t="shared" si="7"/>
        <v>Individual</v>
      </c>
    </row>
    <row r="127" spans="1:31" ht="14" customHeight="1" x14ac:dyDescent="0.35">
      <c r="A127" s="3">
        <v>57</v>
      </c>
      <c r="B127" s="3" t="s">
        <v>101</v>
      </c>
      <c r="C127" s="3" t="s">
        <v>158</v>
      </c>
      <c r="D127" s="53">
        <v>720.00159999999903</v>
      </c>
      <c r="E127" s="49">
        <v>596.13519999999903</v>
      </c>
      <c r="F127" s="49">
        <v>527.998099999999</v>
      </c>
      <c r="G127" s="49">
        <v>518.80959999999902</v>
      </c>
      <c r="H127" s="49">
        <v>123.8664</v>
      </c>
      <c r="I127" s="49">
        <v>23.648299999999999</v>
      </c>
      <c r="J127" s="49">
        <v>68.137099999999904</v>
      </c>
      <c r="K127" s="49">
        <v>13.485099999999999</v>
      </c>
      <c r="L127" s="49">
        <v>518.80959999999902</v>
      </c>
      <c r="M127" s="49">
        <v>37.133400000000002</v>
      </c>
      <c r="N127" s="49">
        <v>555.94299999999998</v>
      </c>
      <c r="O127" s="57">
        <v>0.82796371560000004</v>
      </c>
      <c r="P127" s="57">
        <v>0.87028848489999999</v>
      </c>
      <c r="Q127" s="3">
        <v>0</v>
      </c>
      <c r="R127" s="49">
        <v>0</v>
      </c>
      <c r="S127" s="49">
        <v>0</v>
      </c>
      <c r="T127" s="3">
        <v>1038</v>
      </c>
      <c r="U127" s="3">
        <f t="shared" si="6"/>
        <v>29064</v>
      </c>
      <c r="V127" s="3">
        <v>28</v>
      </c>
      <c r="W127" s="49">
        <v>9972.4599999999991</v>
      </c>
      <c r="X127" s="49">
        <v>17.937918100000001</v>
      </c>
      <c r="Y127" s="49">
        <v>9306.3641119999993</v>
      </c>
      <c r="Z127" s="49">
        <v>666.09588780000001</v>
      </c>
      <c r="AA127" s="49">
        <v>0</v>
      </c>
      <c r="AB127" s="49">
        <v>0</v>
      </c>
      <c r="AC127" s="4" t="str">
        <f t="shared" si="4"/>
        <v>Dumper</v>
      </c>
      <c r="AD127" s="4" t="str">
        <f t="shared" si="5"/>
        <v>Operational</v>
      </c>
      <c r="AE127" s="4" t="str">
        <f t="shared" si="7"/>
        <v>Individual</v>
      </c>
    </row>
    <row r="128" spans="1:31" ht="14" customHeight="1" x14ac:dyDescent="0.35">
      <c r="A128" s="5">
        <v>58</v>
      </c>
      <c r="B128" s="5" t="s">
        <v>101</v>
      </c>
      <c r="C128" s="5" t="s">
        <v>159</v>
      </c>
      <c r="D128" s="54">
        <v>720.00019999999995</v>
      </c>
      <c r="E128" s="50">
        <v>656.97040000000004</v>
      </c>
      <c r="F128" s="50">
        <v>579.72429999999997</v>
      </c>
      <c r="G128" s="50">
        <v>569.73119999999994</v>
      </c>
      <c r="H128" s="50">
        <v>63.029799999999902</v>
      </c>
      <c r="I128" s="50">
        <v>27.864999999999998</v>
      </c>
      <c r="J128" s="50">
        <v>77.246099999999998</v>
      </c>
      <c r="K128" s="50">
        <v>7.6257999999999999</v>
      </c>
      <c r="L128" s="50">
        <v>569.73119999999994</v>
      </c>
      <c r="M128" s="50">
        <v>35.4908</v>
      </c>
      <c r="N128" s="50">
        <v>605.22199999999998</v>
      </c>
      <c r="O128" s="58">
        <v>0.91245863540000005</v>
      </c>
      <c r="P128" s="58">
        <v>0.86720984690000003</v>
      </c>
      <c r="Q128" s="5">
        <v>0</v>
      </c>
      <c r="R128" s="50">
        <v>0</v>
      </c>
      <c r="S128" s="50">
        <v>0</v>
      </c>
      <c r="T128" s="5">
        <v>1094</v>
      </c>
      <c r="U128" s="5">
        <f t="shared" si="6"/>
        <v>30632</v>
      </c>
      <c r="V128" s="5">
        <v>28</v>
      </c>
      <c r="W128" s="50">
        <v>9638.48</v>
      </c>
      <c r="X128" s="50">
        <v>15.92552815</v>
      </c>
      <c r="Y128" s="50">
        <v>9073.2702649999992</v>
      </c>
      <c r="Z128" s="50">
        <v>565.20973460000005</v>
      </c>
      <c r="AA128" s="50">
        <v>0</v>
      </c>
      <c r="AB128" s="50">
        <v>0</v>
      </c>
      <c r="AC128" s="4" t="str">
        <f t="shared" si="4"/>
        <v>Dumper</v>
      </c>
      <c r="AD128" s="4" t="str">
        <f t="shared" si="5"/>
        <v>Operational</v>
      </c>
      <c r="AE128" s="4" t="str">
        <f t="shared" si="7"/>
        <v>Individual</v>
      </c>
    </row>
    <row r="129" spans="1:31" ht="14" customHeight="1" x14ac:dyDescent="0.35">
      <c r="A129" s="3">
        <v>59</v>
      </c>
      <c r="B129" s="3" t="s">
        <v>101</v>
      </c>
      <c r="C129" s="3" t="s">
        <v>160</v>
      </c>
      <c r="D129" s="53">
        <v>720.00120000000004</v>
      </c>
      <c r="E129" s="49">
        <v>474.12880000000001</v>
      </c>
      <c r="F129" s="49">
        <v>419.9348</v>
      </c>
      <c r="G129" s="49">
        <v>412.529099999999</v>
      </c>
      <c r="H129" s="49">
        <v>245.8724</v>
      </c>
      <c r="I129" s="49">
        <v>26.351299999999899</v>
      </c>
      <c r="J129" s="49">
        <v>54.193999999999903</v>
      </c>
      <c r="K129" s="49">
        <v>11.247299999999999</v>
      </c>
      <c r="L129" s="49">
        <v>412.529099999999</v>
      </c>
      <c r="M129" s="49">
        <v>37.598599999999898</v>
      </c>
      <c r="N129" s="49">
        <v>450.12769999999898</v>
      </c>
      <c r="O129" s="57">
        <v>0.65851112469999995</v>
      </c>
      <c r="P129" s="57">
        <v>0.87007813069999995</v>
      </c>
      <c r="Q129" s="3">
        <v>0</v>
      </c>
      <c r="R129" s="49">
        <v>0</v>
      </c>
      <c r="S129" s="49">
        <v>0</v>
      </c>
      <c r="T129" s="3">
        <v>770</v>
      </c>
      <c r="U129" s="3">
        <f t="shared" si="6"/>
        <v>21560</v>
      </c>
      <c r="V129" s="3">
        <v>28</v>
      </c>
      <c r="W129" s="49">
        <v>7300.91</v>
      </c>
      <c r="X129" s="49">
        <v>16.219641670000001</v>
      </c>
      <c r="Y129" s="49">
        <v>6691.074181</v>
      </c>
      <c r="Z129" s="49">
        <v>609.83581930000003</v>
      </c>
      <c r="AA129" s="49">
        <v>0</v>
      </c>
      <c r="AB129" s="49">
        <v>0</v>
      </c>
      <c r="AC129" s="4" t="str">
        <f t="shared" si="4"/>
        <v>Dumper</v>
      </c>
      <c r="AD129" s="4" t="str">
        <f t="shared" si="5"/>
        <v>Operational</v>
      </c>
      <c r="AE129" s="4" t="str">
        <f t="shared" si="7"/>
        <v>Individual</v>
      </c>
    </row>
    <row r="130" spans="1:31" ht="14" hidden="1" customHeight="1" x14ac:dyDescent="0.35">
      <c r="A130" s="5">
        <v>60</v>
      </c>
      <c r="B130" s="5" t="s">
        <v>101</v>
      </c>
      <c r="C130" s="5" t="s">
        <v>161</v>
      </c>
      <c r="D130" s="54">
        <v>720</v>
      </c>
      <c r="E130" s="50">
        <v>0</v>
      </c>
      <c r="F130" s="50">
        <v>0</v>
      </c>
      <c r="G130" s="50">
        <v>0</v>
      </c>
      <c r="H130" s="50">
        <v>720</v>
      </c>
      <c r="I130" s="50">
        <v>0</v>
      </c>
      <c r="J130" s="50">
        <v>0</v>
      </c>
      <c r="K130" s="50">
        <v>0</v>
      </c>
      <c r="L130" s="50">
        <v>0</v>
      </c>
      <c r="M130" s="50">
        <v>0</v>
      </c>
      <c r="N130" s="50">
        <v>0</v>
      </c>
      <c r="O130" s="58">
        <v>0</v>
      </c>
      <c r="P130" s="58">
        <v>0</v>
      </c>
      <c r="Q130" s="5">
        <v>0</v>
      </c>
      <c r="R130" s="50">
        <v>0</v>
      </c>
      <c r="S130" s="50">
        <v>0</v>
      </c>
      <c r="T130" s="5">
        <v>0</v>
      </c>
      <c r="U130" s="5">
        <f t="shared" si="6"/>
        <v>0</v>
      </c>
      <c r="V130" s="5">
        <v>28</v>
      </c>
      <c r="W130" s="50">
        <v>0</v>
      </c>
      <c r="X130" s="50">
        <v>0</v>
      </c>
      <c r="Y130" s="50">
        <v>0</v>
      </c>
      <c r="Z130" s="50">
        <v>0</v>
      </c>
      <c r="AA130" s="50">
        <v>0</v>
      </c>
      <c r="AB130" s="50">
        <v>0</v>
      </c>
      <c r="AC130" s="4" t="str">
        <f t="shared" si="4"/>
        <v>Dumper</v>
      </c>
      <c r="AD130" s="4" t="str">
        <f t="shared" si="5"/>
        <v>Non-Operational</v>
      </c>
      <c r="AE130" s="4" t="str">
        <f t="shared" si="7"/>
        <v>Individual</v>
      </c>
    </row>
    <row r="131" spans="1:31" ht="14" customHeight="1" x14ac:dyDescent="0.35">
      <c r="A131" s="3">
        <v>61</v>
      </c>
      <c r="B131" s="3" t="s">
        <v>101</v>
      </c>
      <c r="C131" s="3" t="s">
        <v>162</v>
      </c>
      <c r="D131" s="53">
        <v>719.99969999999905</v>
      </c>
      <c r="E131" s="49">
        <v>548.77649999999903</v>
      </c>
      <c r="F131" s="49">
        <v>487.42479999999898</v>
      </c>
      <c r="G131" s="49">
        <v>483.20209999999901</v>
      </c>
      <c r="H131" s="49">
        <v>171.22319999999999</v>
      </c>
      <c r="I131" s="49">
        <v>39.358600000000003</v>
      </c>
      <c r="J131" s="49">
        <v>61.351699999999902</v>
      </c>
      <c r="K131" s="49">
        <v>16.741399999999999</v>
      </c>
      <c r="L131" s="49">
        <v>483.20209999999901</v>
      </c>
      <c r="M131" s="49">
        <v>56.1</v>
      </c>
      <c r="N131" s="49">
        <v>539.30209999999897</v>
      </c>
      <c r="O131" s="57">
        <v>0.76218990090000005</v>
      </c>
      <c r="P131" s="57">
        <v>0.88050800279999997</v>
      </c>
      <c r="Q131" s="3">
        <v>0</v>
      </c>
      <c r="R131" s="49">
        <v>0</v>
      </c>
      <c r="S131" s="49">
        <v>0</v>
      </c>
      <c r="T131" s="3">
        <v>1103</v>
      </c>
      <c r="U131" s="3">
        <f t="shared" si="6"/>
        <v>30884</v>
      </c>
      <c r="V131" s="3">
        <v>28</v>
      </c>
      <c r="W131" s="49">
        <v>9992.0599999999904</v>
      </c>
      <c r="X131" s="49">
        <v>18.527760229999998</v>
      </c>
      <c r="Y131" s="49">
        <v>8952.6526510000003</v>
      </c>
      <c r="Z131" s="49">
        <v>1039.4073490000001</v>
      </c>
      <c r="AA131" s="49">
        <v>0</v>
      </c>
      <c r="AB131" s="49">
        <v>0</v>
      </c>
      <c r="AC131" s="4" t="str">
        <f t="shared" ref="AC131:AC194" si="8">IF(OR(TRIM(B131)="Tipper",TRIM(B131)="Volvo",TRIM(B131)="Bharatbenz"),"Tipper",IF(OR(TRIM(B131)="Dumper",TRIM(B131)="Sany",TRIM(B131)="Komatsu"),"Dumper",IF(TRIM(B131)="Excavator","Excavator",IF(OR(TRIM(B131)="Front End Loader",TRIM(B131)="Fel"),"Front End Loader",IF(OR(TRIM(B131)="Surface Miner",TRIM(B131)="Csm"),"Surface Miner",IF(TRIM(B131)="Diesel Bowser","Diesel Bowser","Other"))))))</f>
        <v>Dumper</v>
      </c>
      <c r="AD131" s="4" t="str">
        <f t="shared" ref="AD131:AD194" si="9">IF(E131=0,"Non-Operational","Operational")</f>
        <v>Operational</v>
      </c>
      <c r="AE131" s="4" t="str">
        <f t="shared" si="7"/>
        <v>Individual</v>
      </c>
    </row>
    <row r="132" spans="1:31" ht="14" customHeight="1" x14ac:dyDescent="0.35">
      <c r="A132" s="5">
        <v>62</v>
      </c>
      <c r="B132" s="5" t="s">
        <v>101</v>
      </c>
      <c r="C132" s="5" t="s">
        <v>163</v>
      </c>
      <c r="D132" s="54">
        <v>720.00040000000001</v>
      </c>
      <c r="E132" s="50">
        <v>614.6875</v>
      </c>
      <c r="F132" s="50">
        <v>540.61210000000005</v>
      </c>
      <c r="G132" s="50">
        <v>529.82150000000001</v>
      </c>
      <c r="H132" s="50">
        <v>105.312899999999</v>
      </c>
      <c r="I132" s="50">
        <v>22.3111</v>
      </c>
      <c r="J132" s="50">
        <v>74.075400000000002</v>
      </c>
      <c r="K132" s="50">
        <v>15.489599999999999</v>
      </c>
      <c r="L132" s="50">
        <v>529.82150000000001</v>
      </c>
      <c r="M132" s="50">
        <v>37.800699999999999</v>
      </c>
      <c r="N132" s="50">
        <v>567.62220000000002</v>
      </c>
      <c r="O132" s="58">
        <v>0.85373216460000001</v>
      </c>
      <c r="P132" s="58">
        <v>0.8619363498</v>
      </c>
      <c r="Q132" s="5">
        <v>0</v>
      </c>
      <c r="R132" s="50">
        <v>0</v>
      </c>
      <c r="S132" s="50">
        <v>0</v>
      </c>
      <c r="T132" s="5">
        <v>1025</v>
      </c>
      <c r="U132" s="5">
        <f t="shared" ref="U132:U195" si="10">T132*V132</f>
        <v>28700</v>
      </c>
      <c r="V132" s="5">
        <v>28</v>
      </c>
      <c r="W132" s="50">
        <v>9220.76</v>
      </c>
      <c r="X132" s="50">
        <v>16.244537300000001</v>
      </c>
      <c r="Y132" s="50">
        <v>8606.7051190000002</v>
      </c>
      <c r="Z132" s="50">
        <v>614.05488109999999</v>
      </c>
      <c r="AA132" s="50">
        <v>0</v>
      </c>
      <c r="AB132" s="50">
        <v>0</v>
      </c>
      <c r="AC132" s="4" t="str">
        <f t="shared" si="8"/>
        <v>Dumper</v>
      </c>
      <c r="AD132" s="4" t="str">
        <f t="shared" si="9"/>
        <v>Operational</v>
      </c>
      <c r="AE132" s="4" t="str">
        <f t="shared" ref="AE132:AE195" si="11">IF(OR(C132=54,C132=67,C132=10,C132=16,C132=6,C132=12,C132=28),"Aggregate","Individual")</f>
        <v>Individual</v>
      </c>
    </row>
    <row r="133" spans="1:31" ht="14" customHeight="1" x14ac:dyDescent="0.35">
      <c r="A133" s="3">
        <v>63</v>
      </c>
      <c r="B133" s="3" t="s">
        <v>101</v>
      </c>
      <c r="C133" s="3" t="s">
        <v>164</v>
      </c>
      <c r="D133" s="53">
        <v>720.00019999999995</v>
      </c>
      <c r="E133" s="49">
        <v>660.56910000000005</v>
      </c>
      <c r="F133" s="49">
        <v>584.50149999999996</v>
      </c>
      <c r="G133" s="49">
        <v>574.55020000000002</v>
      </c>
      <c r="H133" s="49">
        <v>59.431100000000001</v>
      </c>
      <c r="I133" s="49">
        <v>27.800599999999999</v>
      </c>
      <c r="J133" s="49">
        <v>76.067599999999999</v>
      </c>
      <c r="K133" s="49">
        <v>3.4401999999999999</v>
      </c>
      <c r="L133" s="49">
        <v>574.55020000000002</v>
      </c>
      <c r="M133" s="49">
        <v>31.2408</v>
      </c>
      <c r="N133" s="49">
        <v>605.79100000000005</v>
      </c>
      <c r="O133" s="57">
        <v>0.91745682849999999</v>
      </c>
      <c r="P133" s="57">
        <v>0.86978061799999995</v>
      </c>
      <c r="Q133" s="3">
        <v>0</v>
      </c>
      <c r="R133" s="49">
        <v>0</v>
      </c>
      <c r="S133" s="49">
        <v>0</v>
      </c>
      <c r="T133" s="3">
        <v>1048</v>
      </c>
      <c r="U133" s="3">
        <f t="shared" si="10"/>
        <v>29344</v>
      </c>
      <c r="V133" s="3">
        <v>28</v>
      </c>
      <c r="W133" s="49">
        <v>9931.64</v>
      </c>
      <c r="X133" s="49">
        <v>16.39449909</v>
      </c>
      <c r="Y133" s="49">
        <v>9419.4627330000003</v>
      </c>
      <c r="Z133" s="49">
        <v>512.17726730000004</v>
      </c>
      <c r="AA133" s="49">
        <v>0</v>
      </c>
      <c r="AB133" s="49">
        <v>0</v>
      </c>
      <c r="AC133" s="4" t="str">
        <f t="shared" si="8"/>
        <v>Dumper</v>
      </c>
      <c r="AD133" s="4" t="str">
        <f t="shared" si="9"/>
        <v>Operational</v>
      </c>
      <c r="AE133" s="4" t="str">
        <f t="shared" si="11"/>
        <v>Individual</v>
      </c>
    </row>
    <row r="134" spans="1:31" ht="14" customHeight="1" x14ac:dyDescent="0.35">
      <c r="A134" s="5">
        <v>64</v>
      </c>
      <c r="B134" s="5" t="s">
        <v>101</v>
      </c>
      <c r="C134" s="5" t="s">
        <v>165</v>
      </c>
      <c r="D134" s="54">
        <v>719.999899999999</v>
      </c>
      <c r="E134" s="50">
        <v>607.36089999999899</v>
      </c>
      <c r="F134" s="50">
        <v>526.26999999999896</v>
      </c>
      <c r="G134" s="50">
        <v>515.66329999999903</v>
      </c>
      <c r="H134" s="50">
        <v>112.639</v>
      </c>
      <c r="I134" s="50">
        <v>23.583100000000002</v>
      </c>
      <c r="J134" s="50">
        <v>81.090900000000005</v>
      </c>
      <c r="K134" s="50">
        <v>8.4682999999999993</v>
      </c>
      <c r="L134" s="50">
        <v>515.66329999999903</v>
      </c>
      <c r="M134" s="50">
        <v>32.051400000000001</v>
      </c>
      <c r="N134" s="50">
        <v>547.71469999999897</v>
      </c>
      <c r="O134" s="58">
        <v>0.84355692270000004</v>
      </c>
      <c r="P134" s="58">
        <v>0.84902287909999996</v>
      </c>
      <c r="Q134" s="5">
        <v>0</v>
      </c>
      <c r="R134" s="50">
        <v>0</v>
      </c>
      <c r="S134" s="50">
        <v>0</v>
      </c>
      <c r="T134" s="5">
        <v>990</v>
      </c>
      <c r="U134" s="5">
        <f t="shared" si="10"/>
        <v>27720</v>
      </c>
      <c r="V134" s="5">
        <v>28</v>
      </c>
      <c r="W134" s="50">
        <v>9142.7599999999893</v>
      </c>
      <c r="X134" s="50">
        <v>16.6925591</v>
      </c>
      <c r="Y134" s="50">
        <v>8607.7401109999992</v>
      </c>
      <c r="Z134" s="50">
        <v>535.01988879999999</v>
      </c>
      <c r="AA134" s="50">
        <v>0</v>
      </c>
      <c r="AB134" s="50">
        <v>0</v>
      </c>
      <c r="AC134" s="4" t="str">
        <f t="shared" si="8"/>
        <v>Dumper</v>
      </c>
      <c r="AD134" s="4" t="str">
        <f t="shared" si="9"/>
        <v>Operational</v>
      </c>
      <c r="AE134" s="4" t="str">
        <f t="shared" si="11"/>
        <v>Individual</v>
      </c>
    </row>
    <row r="135" spans="1:31" ht="14" customHeight="1" x14ac:dyDescent="0.35">
      <c r="A135" s="3">
        <v>65</v>
      </c>
      <c r="B135" s="3" t="s">
        <v>101</v>
      </c>
      <c r="C135" s="3" t="s">
        <v>166</v>
      </c>
      <c r="D135" s="53">
        <v>719.99919999999997</v>
      </c>
      <c r="E135" s="49">
        <v>651.47829999999999</v>
      </c>
      <c r="F135" s="49">
        <v>575.19849999999997</v>
      </c>
      <c r="G135" s="49">
        <v>564.24859999999899</v>
      </c>
      <c r="H135" s="49">
        <v>68.520899999999997</v>
      </c>
      <c r="I135" s="49">
        <v>28.996700000000001</v>
      </c>
      <c r="J135" s="49">
        <v>76.279799999999895</v>
      </c>
      <c r="K135" s="49">
        <v>11.9079</v>
      </c>
      <c r="L135" s="49">
        <v>564.24859999999899</v>
      </c>
      <c r="M135" s="49">
        <v>40.904600000000002</v>
      </c>
      <c r="N135" s="49">
        <v>605.15319999999997</v>
      </c>
      <c r="O135" s="57">
        <v>0.9048319776</v>
      </c>
      <c r="P135" s="57">
        <v>0.86610498000000002</v>
      </c>
      <c r="Q135" s="3">
        <v>0</v>
      </c>
      <c r="R135" s="49">
        <v>0</v>
      </c>
      <c r="S135" s="49">
        <v>0</v>
      </c>
      <c r="T135" s="3">
        <v>1027</v>
      </c>
      <c r="U135" s="3">
        <f t="shared" si="10"/>
        <v>28756</v>
      </c>
      <c r="V135" s="3">
        <v>28</v>
      </c>
      <c r="W135" s="49">
        <v>9301.65</v>
      </c>
      <c r="X135" s="49">
        <v>15.370735870000001</v>
      </c>
      <c r="Y135" s="49">
        <v>8672.9161970000005</v>
      </c>
      <c r="Z135" s="49">
        <v>628.73380259999999</v>
      </c>
      <c r="AA135" s="49">
        <v>0</v>
      </c>
      <c r="AB135" s="49">
        <v>0</v>
      </c>
      <c r="AC135" s="4" t="str">
        <f t="shared" si="8"/>
        <v>Dumper</v>
      </c>
      <c r="AD135" s="4" t="str">
        <f t="shared" si="9"/>
        <v>Operational</v>
      </c>
      <c r="AE135" s="4" t="str">
        <f t="shared" si="11"/>
        <v>Individual</v>
      </c>
    </row>
    <row r="136" spans="1:31" ht="14" customHeight="1" x14ac:dyDescent="0.35">
      <c r="A136" s="5">
        <v>66</v>
      </c>
      <c r="B136" s="5" t="s">
        <v>101</v>
      </c>
      <c r="C136" s="5" t="s">
        <v>167</v>
      </c>
      <c r="D136" s="54">
        <v>719.9991</v>
      </c>
      <c r="E136" s="50">
        <v>628.7337</v>
      </c>
      <c r="F136" s="50">
        <v>551.36800000000005</v>
      </c>
      <c r="G136" s="50">
        <v>538.73770000000002</v>
      </c>
      <c r="H136" s="50">
        <v>91.2654</v>
      </c>
      <c r="I136" s="50">
        <v>31.376999999999999</v>
      </c>
      <c r="J136" s="50">
        <v>77.365699999999904</v>
      </c>
      <c r="K136" s="50">
        <v>11.122299999999999</v>
      </c>
      <c r="L136" s="50">
        <v>538.73770000000002</v>
      </c>
      <c r="M136" s="50">
        <v>42.499299999999998</v>
      </c>
      <c r="N136" s="50">
        <v>581.23699999999997</v>
      </c>
      <c r="O136" s="58">
        <v>0.87324234160000003</v>
      </c>
      <c r="P136" s="58">
        <v>0.856861498</v>
      </c>
      <c r="Q136" s="5">
        <v>0</v>
      </c>
      <c r="R136" s="50">
        <v>0</v>
      </c>
      <c r="S136" s="50">
        <v>0</v>
      </c>
      <c r="T136" s="5">
        <v>1059</v>
      </c>
      <c r="U136" s="5">
        <f t="shared" si="10"/>
        <v>29652</v>
      </c>
      <c r="V136" s="5">
        <v>28</v>
      </c>
      <c r="W136" s="50">
        <v>9947.5</v>
      </c>
      <c r="X136" s="50">
        <v>17.11436127</v>
      </c>
      <c r="Y136" s="50">
        <v>9220.1516260000008</v>
      </c>
      <c r="Z136" s="50">
        <v>727.34837379999999</v>
      </c>
      <c r="AA136" s="50">
        <v>0</v>
      </c>
      <c r="AB136" s="50">
        <v>0</v>
      </c>
      <c r="AC136" s="4" t="str">
        <f t="shared" si="8"/>
        <v>Dumper</v>
      </c>
      <c r="AD136" s="4" t="str">
        <f t="shared" si="9"/>
        <v>Operational</v>
      </c>
      <c r="AE136" s="4" t="str">
        <f t="shared" si="11"/>
        <v>Individual</v>
      </c>
    </row>
    <row r="137" spans="1:31" ht="14" customHeight="1" x14ac:dyDescent="0.35">
      <c r="A137" s="3">
        <v>67</v>
      </c>
      <c r="B137" s="3" t="s">
        <v>101</v>
      </c>
      <c r="C137" s="3" t="s">
        <v>168</v>
      </c>
      <c r="D137" s="53">
        <v>720.00119999999902</v>
      </c>
      <c r="E137" s="49">
        <v>650.24389999999903</v>
      </c>
      <c r="F137" s="49">
        <v>291.18699999999899</v>
      </c>
      <c r="G137" s="49">
        <v>288.811499999999</v>
      </c>
      <c r="H137" s="49">
        <v>69.757300000000001</v>
      </c>
      <c r="I137" s="49">
        <v>22.65</v>
      </c>
      <c r="J137" s="49">
        <v>359.05689999999902</v>
      </c>
      <c r="K137" s="49">
        <v>26.9635999999999</v>
      </c>
      <c r="L137" s="49">
        <v>288.811499999999</v>
      </c>
      <c r="M137" s="49">
        <v>49.613599999999998</v>
      </c>
      <c r="N137" s="49">
        <v>338.42509999999902</v>
      </c>
      <c r="O137" s="57">
        <v>0.90311502259999998</v>
      </c>
      <c r="P137" s="57">
        <v>0.4441587226</v>
      </c>
      <c r="Q137" s="3">
        <v>0</v>
      </c>
      <c r="R137" s="49">
        <v>0</v>
      </c>
      <c r="S137" s="49">
        <v>0</v>
      </c>
      <c r="T137" s="3">
        <v>0</v>
      </c>
      <c r="U137" s="3">
        <f t="shared" si="10"/>
        <v>0</v>
      </c>
      <c r="V137" s="3">
        <v>28</v>
      </c>
      <c r="W137" s="49">
        <v>6762.49999999999</v>
      </c>
      <c r="X137" s="49">
        <v>19.982264910000001</v>
      </c>
      <c r="Y137" s="49">
        <v>5771.1079019999997</v>
      </c>
      <c r="Z137" s="49">
        <v>991.39209830000004</v>
      </c>
      <c r="AA137" s="49">
        <v>0</v>
      </c>
      <c r="AB137" s="49">
        <v>0</v>
      </c>
      <c r="AC137" s="4" t="str">
        <f t="shared" si="8"/>
        <v>Dumper</v>
      </c>
      <c r="AD137" s="4" t="str">
        <f t="shared" si="9"/>
        <v>Operational</v>
      </c>
      <c r="AE137" s="4" t="str">
        <f t="shared" si="11"/>
        <v>Individual</v>
      </c>
    </row>
    <row r="138" spans="1:31" ht="14" hidden="1" customHeight="1" x14ac:dyDescent="0.35">
      <c r="A138" s="48">
        <v>3</v>
      </c>
      <c r="B138" s="48" t="s">
        <v>169</v>
      </c>
      <c r="C138" s="48">
        <v>67</v>
      </c>
      <c r="D138" s="56">
        <v>719.94723429999999</v>
      </c>
      <c r="E138" s="52">
        <v>426.49057010000001</v>
      </c>
      <c r="F138" s="52">
        <v>366.10291339999998</v>
      </c>
      <c r="G138" s="52">
        <v>358.59387759999998</v>
      </c>
      <c r="H138" s="52">
        <v>293.45666419999998</v>
      </c>
      <c r="I138" s="52">
        <v>23.124368659999998</v>
      </c>
      <c r="J138" s="52">
        <v>60.387656720000003</v>
      </c>
      <c r="K138" s="52">
        <v>15.71248507</v>
      </c>
      <c r="L138" s="52">
        <v>358.59387759999998</v>
      </c>
      <c r="M138" s="52">
        <v>38.836853730000001</v>
      </c>
      <c r="N138" s="52">
        <v>397.43073129999999</v>
      </c>
      <c r="O138" s="60">
        <v>0.59239142789999999</v>
      </c>
      <c r="P138" s="60">
        <v>0.84080142140000003</v>
      </c>
      <c r="Q138" s="48">
        <v>51</v>
      </c>
      <c r="R138" s="52">
        <v>1935.3</v>
      </c>
      <c r="S138" s="52">
        <v>37.947058820000002</v>
      </c>
      <c r="T138" s="48">
        <v>44446</v>
      </c>
      <c r="U138" s="48">
        <f t="shared" si="10"/>
        <v>1244488</v>
      </c>
      <c r="V138" s="48">
        <v>28</v>
      </c>
      <c r="W138" s="52">
        <v>6312.9144619999997</v>
      </c>
      <c r="X138" s="52">
        <v>16.858704100000001</v>
      </c>
      <c r="Y138" s="52">
        <v>5722.6122296190197</v>
      </c>
      <c r="Z138" s="52">
        <v>590.30223190000004</v>
      </c>
      <c r="AA138" s="52">
        <v>9.2927068859999995</v>
      </c>
      <c r="AB138" s="52">
        <v>0.6901995286</v>
      </c>
      <c r="AC138" s="47" t="str">
        <f t="shared" si="8"/>
        <v>Dumper</v>
      </c>
      <c r="AD138" s="47" t="str">
        <f t="shared" si="9"/>
        <v>Operational</v>
      </c>
      <c r="AE138" s="47" t="str">
        <f t="shared" si="11"/>
        <v>Aggregate</v>
      </c>
    </row>
    <row r="139" spans="1:31" ht="14" customHeight="1" x14ac:dyDescent="0.35">
      <c r="A139" s="3">
        <v>1</v>
      </c>
      <c r="B139" s="3" t="s">
        <v>101</v>
      </c>
      <c r="C139" s="3" t="s">
        <v>170</v>
      </c>
      <c r="D139" s="53">
        <v>719.99990000000003</v>
      </c>
      <c r="E139" s="49">
        <v>497.87529999999998</v>
      </c>
      <c r="F139" s="49">
        <v>439.303</v>
      </c>
      <c r="G139" s="49">
        <v>433.43929999999898</v>
      </c>
      <c r="H139" s="49">
        <v>222.12459999999999</v>
      </c>
      <c r="I139" s="49">
        <v>16.455199999999898</v>
      </c>
      <c r="J139" s="49">
        <v>58.572299999999998</v>
      </c>
      <c r="K139" s="49">
        <v>6.16</v>
      </c>
      <c r="L139" s="49">
        <v>433.43929999999898</v>
      </c>
      <c r="M139" s="49">
        <v>22.615199999999898</v>
      </c>
      <c r="N139" s="49">
        <v>456.054499999999</v>
      </c>
      <c r="O139" s="57">
        <v>0.69149356829999997</v>
      </c>
      <c r="P139" s="57">
        <v>0.87057803430000003</v>
      </c>
      <c r="Q139" s="3">
        <v>0</v>
      </c>
      <c r="R139" s="49">
        <v>0</v>
      </c>
      <c r="S139" s="49">
        <v>0</v>
      </c>
      <c r="T139" s="3">
        <v>1011</v>
      </c>
      <c r="U139" s="3">
        <f t="shared" si="10"/>
        <v>42462</v>
      </c>
      <c r="V139" s="3">
        <v>42</v>
      </c>
      <c r="W139" s="49">
        <v>20016.89</v>
      </c>
      <c r="X139" s="49">
        <v>43.8914428</v>
      </c>
      <c r="Y139" s="49">
        <v>19024.2762428108</v>
      </c>
      <c r="Z139" s="49">
        <v>992.61375720000001</v>
      </c>
      <c r="AA139" s="49">
        <v>19.799099900000002</v>
      </c>
      <c r="AB139" s="49">
        <v>1.5230076850000001</v>
      </c>
      <c r="AC139" s="4" t="str">
        <f t="shared" si="8"/>
        <v>Dumper</v>
      </c>
      <c r="AD139" s="4" t="str">
        <f t="shared" si="9"/>
        <v>Operational</v>
      </c>
      <c r="AE139" s="4" t="str">
        <f t="shared" si="11"/>
        <v>Individual</v>
      </c>
    </row>
    <row r="140" spans="1:31" ht="14" customHeight="1" x14ac:dyDescent="0.35">
      <c r="A140" s="5">
        <v>2</v>
      </c>
      <c r="B140" s="5" t="s">
        <v>101</v>
      </c>
      <c r="C140" s="5" t="s">
        <v>171</v>
      </c>
      <c r="D140" s="54">
        <v>720.00019999999995</v>
      </c>
      <c r="E140" s="50">
        <v>635.91199999999901</v>
      </c>
      <c r="F140" s="50">
        <v>560.66329999999903</v>
      </c>
      <c r="G140" s="50">
        <v>554.1671</v>
      </c>
      <c r="H140" s="50">
        <v>84.088199999999901</v>
      </c>
      <c r="I140" s="50">
        <v>14.891599999999899</v>
      </c>
      <c r="J140" s="50">
        <v>75.2486999999999</v>
      </c>
      <c r="K140" s="50">
        <v>9.9978999999999907</v>
      </c>
      <c r="L140" s="50">
        <v>554.1671</v>
      </c>
      <c r="M140" s="50">
        <v>24.889499999999899</v>
      </c>
      <c r="N140" s="50">
        <v>579.0566</v>
      </c>
      <c r="O140" s="58">
        <v>0.88321086579999997</v>
      </c>
      <c r="P140" s="58">
        <v>0.87145249660000002</v>
      </c>
      <c r="Q140" s="5">
        <v>0</v>
      </c>
      <c r="R140" s="50">
        <v>0</v>
      </c>
      <c r="S140" s="50">
        <v>0</v>
      </c>
      <c r="T140" s="5">
        <v>1432</v>
      </c>
      <c r="U140" s="5">
        <f t="shared" si="10"/>
        <v>60144</v>
      </c>
      <c r="V140" s="5">
        <v>42</v>
      </c>
      <c r="W140" s="50">
        <v>25352.609999999899</v>
      </c>
      <c r="X140" s="50">
        <v>43.782611230000001</v>
      </c>
      <c r="Y140" s="50">
        <v>24262.8826977034</v>
      </c>
      <c r="Z140" s="50">
        <v>1089.727302</v>
      </c>
      <c r="AA140" s="50">
        <v>17.70433659</v>
      </c>
      <c r="AB140" s="50">
        <v>1.361872046</v>
      </c>
      <c r="AC140" s="4" t="str">
        <f t="shared" si="8"/>
        <v>Dumper</v>
      </c>
      <c r="AD140" s="4" t="str">
        <f t="shared" si="9"/>
        <v>Operational</v>
      </c>
      <c r="AE140" s="4" t="str">
        <f t="shared" si="11"/>
        <v>Individual</v>
      </c>
    </row>
    <row r="141" spans="1:31" ht="14" customHeight="1" x14ac:dyDescent="0.35">
      <c r="A141" s="3">
        <v>3</v>
      </c>
      <c r="B141" s="3" t="s">
        <v>101</v>
      </c>
      <c r="C141" s="3" t="s">
        <v>172</v>
      </c>
      <c r="D141" s="53">
        <v>719.999899999999</v>
      </c>
      <c r="E141" s="49">
        <v>578.69089999999903</v>
      </c>
      <c r="F141" s="49">
        <v>508.51119999999901</v>
      </c>
      <c r="G141" s="49">
        <v>501.247399999999</v>
      </c>
      <c r="H141" s="49">
        <v>141.309</v>
      </c>
      <c r="I141" s="49">
        <v>16.485199999999999</v>
      </c>
      <c r="J141" s="49">
        <v>70.179699999999997</v>
      </c>
      <c r="K141" s="49">
        <v>5.2497999999999996</v>
      </c>
      <c r="L141" s="49">
        <v>501.247399999999</v>
      </c>
      <c r="M141" s="49">
        <v>21.734999999999999</v>
      </c>
      <c r="N141" s="49">
        <v>522.98239999999896</v>
      </c>
      <c r="O141" s="57">
        <v>0.80373747269999996</v>
      </c>
      <c r="P141" s="57">
        <v>0.86617467110000002</v>
      </c>
      <c r="Q141" s="3">
        <v>0</v>
      </c>
      <c r="R141" s="49">
        <v>0</v>
      </c>
      <c r="S141" s="49">
        <v>0</v>
      </c>
      <c r="T141" s="3">
        <v>1291</v>
      </c>
      <c r="U141" s="3">
        <f t="shared" si="10"/>
        <v>54222</v>
      </c>
      <c r="V141" s="3">
        <v>42</v>
      </c>
      <c r="W141" s="49">
        <v>22108.11</v>
      </c>
      <c r="X141" s="49">
        <v>42.273143419999997</v>
      </c>
      <c r="Y141" s="49">
        <v>21189.303227821802</v>
      </c>
      <c r="Z141" s="49">
        <v>918.80677219999995</v>
      </c>
      <c r="AA141" s="49">
        <v>17.124794730000001</v>
      </c>
      <c r="AB141" s="49">
        <v>1.3172919030000001</v>
      </c>
      <c r="AC141" s="4" t="str">
        <f t="shared" si="8"/>
        <v>Dumper</v>
      </c>
      <c r="AD141" s="4" t="str">
        <f t="shared" si="9"/>
        <v>Operational</v>
      </c>
      <c r="AE141" s="4" t="str">
        <f t="shared" si="11"/>
        <v>Individual</v>
      </c>
    </row>
    <row r="142" spans="1:31" ht="14" hidden="1" customHeight="1" x14ac:dyDescent="0.35">
      <c r="A142" s="5">
        <v>4</v>
      </c>
      <c r="B142" s="5" t="s">
        <v>101</v>
      </c>
      <c r="C142" s="5" t="s">
        <v>173</v>
      </c>
      <c r="D142" s="54">
        <v>720.00029999999902</v>
      </c>
      <c r="E142" s="50">
        <v>654.66919999999902</v>
      </c>
      <c r="F142" s="50">
        <v>81.765599999999907</v>
      </c>
      <c r="G142" s="50">
        <v>81.363299999999896</v>
      </c>
      <c r="H142" s="50">
        <v>65.331100000000006</v>
      </c>
      <c r="I142" s="50">
        <v>2.2200999999999902</v>
      </c>
      <c r="J142" s="50">
        <v>572.90359999999998</v>
      </c>
      <c r="K142" s="50">
        <v>2.1079999999999899</v>
      </c>
      <c r="L142" s="50">
        <v>81.363299999999896</v>
      </c>
      <c r="M142" s="50">
        <v>4.3280999999999903</v>
      </c>
      <c r="N142" s="50">
        <v>85.691399999999902</v>
      </c>
      <c r="O142" s="58">
        <v>0.90926239890000005</v>
      </c>
      <c r="P142" s="58">
        <v>0.1242815456</v>
      </c>
      <c r="Q142" s="5">
        <v>0</v>
      </c>
      <c r="R142" s="50">
        <v>0</v>
      </c>
      <c r="S142" s="50">
        <v>0</v>
      </c>
      <c r="T142" s="5">
        <v>260</v>
      </c>
      <c r="U142" s="5">
        <f t="shared" si="10"/>
        <v>10920</v>
      </c>
      <c r="V142" s="5">
        <v>42</v>
      </c>
      <c r="W142" s="50">
        <v>3225.92</v>
      </c>
      <c r="X142" s="50">
        <v>37.645784759999998</v>
      </c>
      <c r="Y142" s="50">
        <v>3062.985279</v>
      </c>
      <c r="Z142" s="50">
        <v>162.934721</v>
      </c>
      <c r="AA142" s="50">
        <v>12.40738462</v>
      </c>
      <c r="AB142" s="50">
        <v>0.95441420119999998</v>
      </c>
      <c r="AC142" s="4" t="str">
        <f t="shared" si="8"/>
        <v>Dumper</v>
      </c>
      <c r="AD142" s="4" t="str">
        <f t="shared" si="9"/>
        <v>Operational</v>
      </c>
      <c r="AE142" s="4" t="str">
        <f t="shared" si="11"/>
        <v>Individual</v>
      </c>
    </row>
    <row r="143" spans="1:31" ht="14" customHeight="1" x14ac:dyDescent="0.35">
      <c r="A143" s="3">
        <v>5</v>
      </c>
      <c r="B143" s="3" t="s">
        <v>101</v>
      </c>
      <c r="C143" s="3" t="s">
        <v>174</v>
      </c>
      <c r="D143" s="53">
        <v>720.000799999999</v>
      </c>
      <c r="E143" s="49">
        <v>438.736099999999</v>
      </c>
      <c r="F143" s="49">
        <v>391.70159999999902</v>
      </c>
      <c r="G143" s="49">
        <v>388.25789999999898</v>
      </c>
      <c r="H143" s="49">
        <v>281.2647</v>
      </c>
      <c r="I143" s="49">
        <v>11.502800000000001</v>
      </c>
      <c r="J143" s="49">
        <v>47.034500000000001</v>
      </c>
      <c r="K143" s="49">
        <v>1.014</v>
      </c>
      <c r="L143" s="49">
        <v>388.25789999999898</v>
      </c>
      <c r="M143" s="49">
        <v>12.5168</v>
      </c>
      <c r="N143" s="49">
        <v>400.77469999999897</v>
      </c>
      <c r="O143" s="57">
        <v>0.60935501739999998</v>
      </c>
      <c r="P143" s="57">
        <v>0.88494632650000005</v>
      </c>
      <c r="Q143" s="3">
        <v>0</v>
      </c>
      <c r="R143" s="49">
        <v>0</v>
      </c>
      <c r="S143" s="49">
        <v>0</v>
      </c>
      <c r="T143" s="3">
        <v>870</v>
      </c>
      <c r="U143" s="3">
        <f t="shared" si="10"/>
        <v>36540</v>
      </c>
      <c r="V143" s="3">
        <v>42</v>
      </c>
      <c r="W143" s="49">
        <v>18095.879999999899</v>
      </c>
      <c r="X143" s="49">
        <v>45.152251380000003</v>
      </c>
      <c r="Y143" s="49">
        <v>17530.7182999625</v>
      </c>
      <c r="Z143" s="49">
        <v>565.16170003745196</v>
      </c>
      <c r="AA143" s="49">
        <v>20.79986207</v>
      </c>
      <c r="AB143" s="49">
        <v>1.59998939</v>
      </c>
      <c r="AC143" s="4" t="str">
        <f t="shared" si="8"/>
        <v>Dumper</v>
      </c>
      <c r="AD143" s="4" t="str">
        <f t="shared" si="9"/>
        <v>Operational</v>
      </c>
      <c r="AE143" s="4" t="str">
        <f t="shared" si="11"/>
        <v>Individual</v>
      </c>
    </row>
    <row r="144" spans="1:31" ht="14" customHeight="1" x14ac:dyDescent="0.35">
      <c r="A144" s="5">
        <v>6</v>
      </c>
      <c r="B144" s="5" t="s">
        <v>101</v>
      </c>
      <c r="C144" s="5" t="s">
        <v>175</v>
      </c>
      <c r="D144" s="54">
        <v>719.99980000000005</v>
      </c>
      <c r="E144" s="50">
        <v>566.44370000000004</v>
      </c>
      <c r="F144" s="50">
        <v>499.92250000000001</v>
      </c>
      <c r="G144" s="50">
        <v>494.02879999999999</v>
      </c>
      <c r="H144" s="50">
        <v>153.55609999999899</v>
      </c>
      <c r="I144" s="50">
        <v>14.633599999999999</v>
      </c>
      <c r="J144" s="50">
        <v>66.521199999999993</v>
      </c>
      <c r="K144" s="50">
        <v>4.3767999999999896</v>
      </c>
      <c r="L144" s="50">
        <v>494.02879999999999</v>
      </c>
      <c r="M144" s="50">
        <v>19.010400000000001</v>
      </c>
      <c r="N144" s="50">
        <v>513.03920000000005</v>
      </c>
      <c r="O144" s="58">
        <v>0.78672757959999995</v>
      </c>
      <c r="P144" s="58">
        <v>0.87215869820000003</v>
      </c>
      <c r="Q144" s="5">
        <v>0</v>
      </c>
      <c r="R144" s="50">
        <v>0</v>
      </c>
      <c r="S144" s="50">
        <v>0</v>
      </c>
      <c r="T144" s="5">
        <v>1197</v>
      </c>
      <c r="U144" s="5">
        <f t="shared" si="10"/>
        <v>50274</v>
      </c>
      <c r="V144" s="5">
        <v>42</v>
      </c>
      <c r="W144" s="50">
        <v>21594.39</v>
      </c>
      <c r="X144" s="50">
        <v>42.091111169999998</v>
      </c>
      <c r="Y144" s="50">
        <v>20794.2211402793</v>
      </c>
      <c r="Z144" s="50">
        <v>800.16885969999998</v>
      </c>
      <c r="AA144" s="50">
        <v>18.040426069999999</v>
      </c>
      <c r="AB144" s="50">
        <v>1.387725082</v>
      </c>
      <c r="AC144" s="4" t="str">
        <f t="shared" si="8"/>
        <v>Dumper</v>
      </c>
      <c r="AD144" s="4" t="str">
        <f t="shared" si="9"/>
        <v>Operational</v>
      </c>
      <c r="AE144" s="4" t="str">
        <f t="shared" si="11"/>
        <v>Individual</v>
      </c>
    </row>
    <row r="145" spans="1:31" ht="14" hidden="1" customHeight="1" x14ac:dyDescent="0.35">
      <c r="A145" s="3">
        <v>7</v>
      </c>
      <c r="B145" s="3" t="s">
        <v>101</v>
      </c>
      <c r="C145" s="3" t="s">
        <v>176</v>
      </c>
      <c r="D145" s="53">
        <v>719.999899999999</v>
      </c>
      <c r="E145" s="49">
        <v>0.79579999999999995</v>
      </c>
      <c r="F145" s="49">
        <v>7.6399999999999996E-2</v>
      </c>
      <c r="G145" s="49">
        <v>0</v>
      </c>
      <c r="H145" s="49">
        <v>719.20409999999902</v>
      </c>
      <c r="I145" s="49">
        <v>0</v>
      </c>
      <c r="J145" s="49">
        <v>0.71940000000000004</v>
      </c>
      <c r="K145" s="49">
        <v>0</v>
      </c>
      <c r="L145" s="49">
        <v>0</v>
      </c>
      <c r="M145" s="49">
        <v>0</v>
      </c>
      <c r="N145" s="49">
        <v>0</v>
      </c>
      <c r="O145" s="57">
        <v>1.1052779000000001E-3</v>
      </c>
      <c r="P145" s="57">
        <v>0</v>
      </c>
      <c r="Q145" s="3">
        <v>0</v>
      </c>
      <c r="R145" s="49">
        <v>0</v>
      </c>
      <c r="S145" s="49">
        <v>0</v>
      </c>
      <c r="T145" s="3">
        <v>0</v>
      </c>
      <c r="U145" s="3">
        <f t="shared" si="10"/>
        <v>0</v>
      </c>
      <c r="V145" s="3">
        <v>42</v>
      </c>
      <c r="W145" s="49">
        <v>0</v>
      </c>
      <c r="X145" s="49">
        <v>0</v>
      </c>
      <c r="Y145" s="49">
        <v>0</v>
      </c>
      <c r="Z145" s="49">
        <v>0</v>
      </c>
      <c r="AA145" s="49">
        <v>0</v>
      </c>
      <c r="AB145" s="49">
        <v>0</v>
      </c>
      <c r="AC145" s="4" t="str">
        <f t="shared" si="8"/>
        <v>Dumper</v>
      </c>
      <c r="AD145" s="4" t="str">
        <f t="shared" si="9"/>
        <v>Operational</v>
      </c>
      <c r="AE145" s="4" t="str">
        <f t="shared" si="11"/>
        <v>Individual</v>
      </c>
    </row>
    <row r="146" spans="1:31" ht="14" customHeight="1" x14ac:dyDescent="0.35">
      <c r="A146" s="5">
        <v>8</v>
      </c>
      <c r="B146" s="5" t="s">
        <v>101</v>
      </c>
      <c r="C146" s="5" t="s">
        <v>177</v>
      </c>
      <c r="D146" s="54">
        <v>719.99999999999898</v>
      </c>
      <c r="E146" s="50">
        <v>476.30069999999898</v>
      </c>
      <c r="F146" s="50">
        <v>419.85649999999902</v>
      </c>
      <c r="G146" s="50">
        <v>413.66479999999899</v>
      </c>
      <c r="H146" s="50">
        <v>243.699299999999</v>
      </c>
      <c r="I146" s="50">
        <v>11.202499999999899</v>
      </c>
      <c r="J146" s="50">
        <v>56.444199999999903</v>
      </c>
      <c r="K146" s="50">
        <v>2.0874999999999901</v>
      </c>
      <c r="L146" s="50">
        <v>413.66479999999899</v>
      </c>
      <c r="M146" s="50">
        <v>13.2899999999999</v>
      </c>
      <c r="N146" s="50">
        <v>426.95479999999998</v>
      </c>
      <c r="O146" s="58">
        <v>0.66152875</v>
      </c>
      <c r="P146" s="58">
        <v>0.8684950495</v>
      </c>
      <c r="Q146" s="5">
        <v>0</v>
      </c>
      <c r="R146" s="50">
        <v>0</v>
      </c>
      <c r="S146" s="50">
        <v>0</v>
      </c>
      <c r="T146" s="5">
        <v>1006</v>
      </c>
      <c r="U146" s="5">
        <f t="shared" si="10"/>
        <v>42252</v>
      </c>
      <c r="V146" s="5">
        <v>42</v>
      </c>
      <c r="W146" s="50">
        <v>19943.53</v>
      </c>
      <c r="X146" s="50">
        <v>46.711103850000001</v>
      </c>
      <c r="Y146" s="50">
        <v>19322.7394298974</v>
      </c>
      <c r="Z146" s="50">
        <v>620.79057009999997</v>
      </c>
      <c r="AA146" s="50">
        <v>19.824582500000002</v>
      </c>
      <c r="AB146" s="50">
        <v>1.5249678849999999</v>
      </c>
      <c r="AC146" s="4" t="str">
        <f t="shared" si="8"/>
        <v>Dumper</v>
      </c>
      <c r="AD146" s="4" t="str">
        <f t="shared" si="9"/>
        <v>Operational</v>
      </c>
      <c r="AE146" s="4" t="str">
        <f t="shared" si="11"/>
        <v>Individual</v>
      </c>
    </row>
    <row r="147" spans="1:31" ht="14" customHeight="1" x14ac:dyDescent="0.35">
      <c r="A147" s="3">
        <v>9</v>
      </c>
      <c r="B147" s="3" t="s">
        <v>101</v>
      </c>
      <c r="C147" s="3" t="s">
        <v>178</v>
      </c>
      <c r="D147" s="53">
        <v>719.99959999999896</v>
      </c>
      <c r="E147" s="49">
        <v>328.03829999999903</v>
      </c>
      <c r="F147" s="49">
        <v>282.988599999999</v>
      </c>
      <c r="G147" s="49">
        <v>277.02629999999903</v>
      </c>
      <c r="H147" s="49">
        <v>391.96129999999903</v>
      </c>
      <c r="I147" s="49">
        <v>6.4371999999999998</v>
      </c>
      <c r="J147" s="49">
        <v>45.049699999999902</v>
      </c>
      <c r="K147" s="49">
        <v>2.0622999999999898</v>
      </c>
      <c r="L147" s="49">
        <v>277.02629999999903</v>
      </c>
      <c r="M147" s="49">
        <v>8.4994999999999994</v>
      </c>
      <c r="N147" s="49">
        <v>285.52579999999898</v>
      </c>
      <c r="O147" s="57">
        <v>0.45560900310000002</v>
      </c>
      <c r="P147" s="57">
        <v>0.84449376799999998</v>
      </c>
      <c r="Q147" s="3">
        <v>0</v>
      </c>
      <c r="R147" s="49">
        <v>0</v>
      </c>
      <c r="S147" s="49">
        <v>0</v>
      </c>
      <c r="T147" s="3">
        <v>564</v>
      </c>
      <c r="U147" s="3">
        <f t="shared" si="10"/>
        <v>23688</v>
      </c>
      <c r="V147" s="3">
        <v>42</v>
      </c>
      <c r="W147" s="49">
        <v>13858.52</v>
      </c>
      <c r="X147" s="49">
        <v>48.536839749999999</v>
      </c>
      <c r="Y147" s="49">
        <v>13445.981130517799</v>
      </c>
      <c r="Z147" s="49">
        <v>412.53886949999998</v>
      </c>
      <c r="AA147" s="49">
        <v>24.57184397</v>
      </c>
      <c r="AB147" s="49">
        <v>1.890141844</v>
      </c>
      <c r="AC147" s="4" t="str">
        <f t="shared" si="8"/>
        <v>Dumper</v>
      </c>
      <c r="AD147" s="4" t="str">
        <f t="shared" si="9"/>
        <v>Operational</v>
      </c>
      <c r="AE147" s="4" t="str">
        <f t="shared" si="11"/>
        <v>Individual</v>
      </c>
    </row>
    <row r="148" spans="1:31" ht="14" customHeight="1" x14ac:dyDescent="0.35">
      <c r="A148" s="5">
        <v>10</v>
      </c>
      <c r="B148" s="5" t="s">
        <v>101</v>
      </c>
      <c r="C148" s="5" t="s">
        <v>179</v>
      </c>
      <c r="D148" s="54">
        <v>719.99990000000003</v>
      </c>
      <c r="E148" s="50">
        <v>128.980999999999</v>
      </c>
      <c r="F148" s="50">
        <v>116.03349999999899</v>
      </c>
      <c r="G148" s="50">
        <v>113.254499999999</v>
      </c>
      <c r="H148" s="50">
        <v>591.01890000000003</v>
      </c>
      <c r="I148" s="50">
        <v>2.6259000000000001</v>
      </c>
      <c r="J148" s="50">
        <v>12.9475</v>
      </c>
      <c r="K148" s="50">
        <v>0.41799999999999998</v>
      </c>
      <c r="L148" s="50">
        <v>113.254499999999</v>
      </c>
      <c r="M148" s="50">
        <v>3.0438999999999998</v>
      </c>
      <c r="N148" s="50">
        <v>116.29839999999901</v>
      </c>
      <c r="O148" s="58">
        <v>0.1791403027</v>
      </c>
      <c r="P148" s="58">
        <v>0.87807118880000001</v>
      </c>
      <c r="Q148" s="5">
        <v>0</v>
      </c>
      <c r="R148" s="50">
        <v>0</v>
      </c>
      <c r="S148" s="50">
        <v>0</v>
      </c>
      <c r="T148" s="5">
        <v>240</v>
      </c>
      <c r="U148" s="5">
        <f t="shared" si="10"/>
        <v>10080</v>
      </c>
      <c r="V148" s="5">
        <v>42</v>
      </c>
      <c r="W148" s="50">
        <v>7150.53999999999</v>
      </c>
      <c r="X148" s="50">
        <v>61.48442283</v>
      </c>
      <c r="Y148" s="50">
        <v>6963.387565</v>
      </c>
      <c r="Z148" s="50">
        <v>187.15243469999999</v>
      </c>
      <c r="AA148" s="50">
        <v>29.793916670000002</v>
      </c>
      <c r="AB148" s="50">
        <v>2.2918397439999998</v>
      </c>
      <c r="AC148" s="4" t="str">
        <f t="shared" si="8"/>
        <v>Dumper</v>
      </c>
      <c r="AD148" s="4" t="str">
        <f t="shared" si="9"/>
        <v>Operational</v>
      </c>
      <c r="AE148" s="4" t="str">
        <f t="shared" si="11"/>
        <v>Individual</v>
      </c>
    </row>
    <row r="149" spans="1:31" ht="14" hidden="1" customHeight="1" x14ac:dyDescent="0.35">
      <c r="A149" s="46">
        <v>4</v>
      </c>
      <c r="B149" s="46" t="s">
        <v>180</v>
      </c>
      <c r="C149" s="46">
        <v>10</v>
      </c>
      <c r="D149" s="55">
        <v>720.00002999999901</v>
      </c>
      <c r="E149" s="51">
        <v>430.64429999999902</v>
      </c>
      <c r="F149" s="51">
        <v>330.08221999999898</v>
      </c>
      <c r="G149" s="51">
        <v>325.644939999999</v>
      </c>
      <c r="H149" s="51">
        <v>289.35572999999999</v>
      </c>
      <c r="I149" s="51">
        <v>9.64541</v>
      </c>
      <c r="J149" s="51">
        <v>100.56207999999999</v>
      </c>
      <c r="K149" s="51">
        <v>3.3474299999999899</v>
      </c>
      <c r="L149" s="51">
        <v>325.644939999999</v>
      </c>
      <c r="M149" s="51">
        <v>12.992839999999999</v>
      </c>
      <c r="N149" s="51">
        <v>338.637779999999</v>
      </c>
      <c r="O149" s="59">
        <v>0.59811705839999996</v>
      </c>
      <c r="P149" s="59">
        <v>0.75618077380000004</v>
      </c>
      <c r="Q149" s="46">
        <v>0</v>
      </c>
      <c r="R149" s="51">
        <v>0</v>
      </c>
      <c r="S149" s="51">
        <v>0</v>
      </c>
      <c r="T149" s="46">
        <v>7871</v>
      </c>
      <c r="U149" s="46">
        <f t="shared" si="10"/>
        <v>330582</v>
      </c>
      <c r="V149" s="46">
        <v>42</v>
      </c>
      <c r="W149" s="51">
        <v>16816.265555555499</v>
      </c>
      <c r="X149" s="51">
        <v>45.7298568</v>
      </c>
      <c r="Y149" s="51">
        <v>16177.388334814599</v>
      </c>
      <c r="Z149" s="51">
        <v>638.87722069999995</v>
      </c>
      <c r="AA149" s="51">
        <v>20.00736079</v>
      </c>
      <c r="AB149" s="51">
        <v>1.5390277530000001</v>
      </c>
      <c r="AC149" s="47" t="str">
        <f t="shared" si="8"/>
        <v>Dumper</v>
      </c>
      <c r="AD149" s="47" t="str">
        <f t="shared" si="9"/>
        <v>Operational</v>
      </c>
      <c r="AE149" s="47" t="str">
        <f t="shared" si="11"/>
        <v>Aggregate</v>
      </c>
    </row>
    <row r="150" spans="1:31" ht="14" hidden="1" customHeight="1" x14ac:dyDescent="0.35">
      <c r="A150" s="5">
        <v>1</v>
      </c>
      <c r="B150" s="5" t="s">
        <v>181</v>
      </c>
      <c r="C150" s="5" t="s">
        <v>182</v>
      </c>
      <c r="D150" s="54">
        <v>712.43929999999898</v>
      </c>
      <c r="E150" s="50">
        <v>13.6684</v>
      </c>
      <c r="F150" s="50">
        <v>9.1537000000000006</v>
      </c>
      <c r="G150" s="50">
        <v>8.4825999999999997</v>
      </c>
      <c r="H150" s="50">
        <v>698.77089999999998</v>
      </c>
      <c r="I150" s="50">
        <v>3.3963999999999999</v>
      </c>
      <c r="J150" s="50">
        <v>4.5147000000000004</v>
      </c>
      <c r="K150" s="50">
        <v>14.4537</v>
      </c>
      <c r="L150" s="50">
        <v>8.4825999999999997</v>
      </c>
      <c r="M150" s="50">
        <v>17.850100000000001</v>
      </c>
      <c r="N150" s="50">
        <v>26.332699999999999</v>
      </c>
      <c r="O150" s="58">
        <v>1.9185353799999999E-2</v>
      </c>
      <c r="P150" s="58">
        <v>0.62059933860000005</v>
      </c>
      <c r="Q150" s="5">
        <v>0</v>
      </c>
      <c r="R150" s="50">
        <v>0</v>
      </c>
      <c r="S150" s="50">
        <v>0</v>
      </c>
      <c r="T150" s="5">
        <v>0</v>
      </c>
      <c r="U150" s="5">
        <f t="shared" si="10"/>
        <v>0</v>
      </c>
      <c r="V150" s="5">
        <v>0</v>
      </c>
      <c r="W150" s="50">
        <v>124.41</v>
      </c>
      <c r="X150" s="50">
        <v>4.7245440079999996</v>
      </c>
      <c r="Y150" s="50">
        <v>40.076416999999999</v>
      </c>
      <c r="Z150" s="50">
        <v>84.333583000000004</v>
      </c>
      <c r="AA150" s="50">
        <v>0</v>
      </c>
      <c r="AB150" s="50">
        <v>0</v>
      </c>
      <c r="AC150" s="4" t="str">
        <f t="shared" si="8"/>
        <v>Front End Loader</v>
      </c>
      <c r="AD150" s="4" t="str">
        <f t="shared" si="9"/>
        <v>Operational</v>
      </c>
      <c r="AE150" s="4" t="str">
        <f t="shared" si="11"/>
        <v>Individual</v>
      </c>
    </row>
    <row r="151" spans="1:31" ht="14" customHeight="1" x14ac:dyDescent="0.35">
      <c r="A151" s="3">
        <v>2</v>
      </c>
      <c r="B151" s="3" t="s">
        <v>181</v>
      </c>
      <c r="C151" s="3" t="s">
        <v>183</v>
      </c>
      <c r="D151" s="53">
        <v>719.99879999999996</v>
      </c>
      <c r="E151" s="49">
        <v>360.04059999999902</v>
      </c>
      <c r="F151" s="49">
        <v>230.14249999999899</v>
      </c>
      <c r="G151" s="49">
        <v>227.74959999999999</v>
      </c>
      <c r="H151" s="49">
        <v>359.95819999999998</v>
      </c>
      <c r="I151" s="49">
        <v>5.7201000000000004</v>
      </c>
      <c r="J151" s="49">
        <v>129.8981</v>
      </c>
      <c r="K151" s="49">
        <v>6.1288999999999998</v>
      </c>
      <c r="L151" s="49">
        <v>227.74959999999999</v>
      </c>
      <c r="M151" s="49">
        <v>11.849</v>
      </c>
      <c r="N151" s="49">
        <v>239.5986</v>
      </c>
      <c r="O151" s="57">
        <v>0.50005722230000005</v>
      </c>
      <c r="P151" s="57">
        <v>0.63256643830000003</v>
      </c>
      <c r="Q151" s="3">
        <v>0</v>
      </c>
      <c r="R151" s="49">
        <v>0</v>
      </c>
      <c r="S151" s="49">
        <v>0</v>
      </c>
      <c r="T151" s="3">
        <v>0</v>
      </c>
      <c r="U151" s="3">
        <f t="shared" si="10"/>
        <v>0</v>
      </c>
      <c r="V151" s="3">
        <v>0</v>
      </c>
      <c r="W151" s="49">
        <v>9975.81</v>
      </c>
      <c r="X151" s="49">
        <v>41.63551039</v>
      </c>
      <c r="Y151" s="49">
        <v>9482.4708370000008</v>
      </c>
      <c r="Z151" s="49">
        <v>493.33916260000001</v>
      </c>
      <c r="AA151" s="49">
        <v>0</v>
      </c>
      <c r="AB151" s="49">
        <v>0</v>
      </c>
      <c r="AC151" s="4" t="str">
        <f t="shared" si="8"/>
        <v>Front End Loader</v>
      </c>
      <c r="AD151" s="4" t="str">
        <f t="shared" si="9"/>
        <v>Operational</v>
      </c>
      <c r="AE151" s="4" t="str">
        <f t="shared" si="11"/>
        <v>Individual</v>
      </c>
    </row>
    <row r="152" spans="1:31" ht="14" customHeight="1" x14ac:dyDescent="0.35">
      <c r="A152" s="5">
        <v>3</v>
      </c>
      <c r="B152" s="5" t="s">
        <v>181</v>
      </c>
      <c r="C152" s="5" t="s">
        <v>184</v>
      </c>
      <c r="D152" s="54">
        <v>720.00059999999996</v>
      </c>
      <c r="E152" s="50">
        <v>427.13229999999999</v>
      </c>
      <c r="F152" s="50">
        <v>265.0111</v>
      </c>
      <c r="G152" s="50">
        <v>261.714</v>
      </c>
      <c r="H152" s="50">
        <v>292.86829999999998</v>
      </c>
      <c r="I152" s="50">
        <v>13.2113</v>
      </c>
      <c r="J152" s="50">
        <v>162.12119999999899</v>
      </c>
      <c r="K152" s="50">
        <v>1.7361</v>
      </c>
      <c r="L152" s="50">
        <v>261.714</v>
      </c>
      <c r="M152" s="50">
        <v>14.9474</v>
      </c>
      <c r="N152" s="50">
        <v>276.66140000000001</v>
      </c>
      <c r="O152" s="58">
        <v>0.59323881119999999</v>
      </c>
      <c r="P152" s="58">
        <v>0.61272350509999995</v>
      </c>
      <c r="Q152" s="5">
        <v>0</v>
      </c>
      <c r="R152" s="50">
        <v>0</v>
      </c>
      <c r="S152" s="50">
        <v>0</v>
      </c>
      <c r="T152" s="5">
        <v>0</v>
      </c>
      <c r="U152" s="5">
        <f t="shared" si="10"/>
        <v>0</v>
      </c>
      <c r="V152" s="5">
        <v>0</v>
      </c>
      <c r="W152" s="50">
        <v>6983.04</v>
      </c>
      <c r="X152" s="50">
        <v>25.240384089999999</v>
      </c>
      <c r="Y152" s="50">
        <v>6605.7618830000001</v>
      </c>
      <c r="Z152" s="50">
        <v>377.2781172</v>
      </c>
      <c r="AA152" s="50">
        <v>0</v>
      </c>
      <c r="AB152" s="50">
        <v>0</v>
      </c>
      <c r="AC152" s="4" t="str">
        <f t="shared" si="8"/>
        <v>Front End Loader</v>
      </c>
      <c r="AD152" s="4" t="str">
        <f t="shared" si="9"/>
        <v>Operational</v>
      </c>
      <c r="AE152" s="4" t="str">
        <f t="shared" si="11"/>
        <v>Individual</v>
      </c>
    </row>
    <row r="153" spans="1:31" ht="14" hidden="1" customHeight="1" x14ac:dyDescent="0.35">
      <c r="A153" s="3">
        <v>4</v>
      </c>
      <c r="B153" s="3" t="s">
        <v>181</v>
      </c>
      <c r="C153" s="3" t="s">
        <v>185</v>
      </c>
      <c r="D153" s="53">
        <v>714.5018</v>
      </c>
      <c r="E153" s="49">
        <v>312.79199999999997</v>
      </c>
      <c r="F153" s="49">
        <v>0.33889999999999998</v>
      </c>
      <c r="G153" s="49">
        <v>0.21010000000000001</v>
      </c>
      <c r="H153" s="49">
        <v>401.70979999999997</v>
      </c>
      <c r="I153" s="49">
        <v>6.25E-2</v>
      </c>
      <c r="J153" s="49">
        <v>312.45310000000001</v>
      </c>
      <c r="K153" s="49">
        <v>1.4E-3</v>
      </c>
      <c r="L153" s="49">
        <v>0.21010000000000001</v>
      </c>
      <c r="M153" s="49">
        <v>6.3899999999999998E-2</v>
      </c>
      <c r="N153" s="49">
        <v>0.27400000000000002</v>
      </c>
      <c r="O153" s="57">
        <v>0.43777636390000002</v>
      </c>
      <c r="P153" s="57">
        <v>6.7169240000000002E-4</v>
      </c>
      <c r="Q153" s="3">
        <v>0</v>
      </c>
      <c r="R153" s="49">
        <v>0</v>
      </c>
      <c r="S153" s="49">
        <v>0</v>
      </c>
      <c r="T153" s="3">
        <v>0</v>
      </c>
      <c r="U153" s="3">
        <f t="shared" si="10"/>
        <v>0</v>
      </c>
      <c r="V153" s="3">
        <v>0</v>
      </c>
      <c r="W153" s="49">
        <v>56.04</v>
      </c>
      <c r="X153" s="49">
        <v>204.52554739999999</v>
      </c>
      <c r="Y153" s="49">
        <v>42.970817519999997</v>
      </c>
      <c r="Z153" s="49">
        <v>13.06918248</v>
      </c>
      <c r="AA153" s="49">
        <v>0</v>
      </c>
      <c r="AB153" s="49">
        <v>0</v>
      </c>
      <c r="AC153" s="4" t="str">
        <f t="shared" si="8"/>
        <v>Front End Loader</v>
      </c>
      <c r="AD153" s="4" t="str">
        <f t="shared" si="9"/>
        <v>Operational</v>
      </c>
      <c r="AE153" s="4" t="str">
        <f t="shared" si="11"/>
        <v>Individual</v>
      </c>
    </row>
    <row r="154" spans="1:31" ht="14" hidden="1" customHeight="1" x14ac:dyDescent="0.35">
      <c r="A154" s="5">
        <v>5</v>
      </c>
      <c r="B154" s="5" t="s">
        <v>181</v>
      </c>
      <c r="C154" s="5" t="s">
        <v>186</v>
      </c>
      <c r="D154" s="54">
        <v>715.766199999999</v>
      </c>
      <c r="E154" s="50">
        <v>574.27419999999904</v>
      </c>
      <c r="F154" s="50">
        <v>207.41999999999899</v>
      </c>
      <c r="G154" s="50">
        <v>205.07040000000001</v>
      </c>
      <c r="H154" s="50">
        <v>141.49199999999999</v>
      </c>
      <c r="I154" s="50">
        <v>8.0656999999999996</v>
      </c>
      <c r="J154" s="50">
        <v>366.85419999999903</v>
      </c>
      <c r="K154" s="50">
        <v>1.5844</v>
      </c>
      <c r="L154" s="50">
        <v>205.07040000000001</v>
      </c>
      <c r="M154" s="50">
        <v>9.6501000000000001</v>
      </c>
      <c r="N154" s="50">
        <v>214.72049999999999</v>
      </c>
      <c r="O154" s="58">
        <v>0.8023209255</v>
      </c>
      <c r="P154" s="58">
        <v>0.3570949209</v>
      </c>
      <c r="Q154" s="5">
        <v>0</v>
      </c>
      <c r="R154" s="50">
        <v>0</v>
      </c>
      <c r="S154" s="50">
        <v>0</v>
      </c>
      <c r="T154" s="5">
        <v>0</v>
      </c>
      <c r="U154" s="5">
        <f t="shared" si="10"/>
        <v>0</v>
      </c>
      <c r="V154" s="5">
        <v>0</v>
      </c>
      <c r="W154" s="50">
        <v>5432.47</v>
      </c>
      <c r="X154" s="50">
        <v>25.300192580000001</v>
      </c>
      <c r="Y154" s="50">
        <v>5188.3206120000004</v>
      </c>
      <c r="Z154" s="50">
        <v>244.14938839999999</v>
      </c>
      <c r="AA154" s="50">
        <v>0</v>
      </c>
      <c r="AB154" s="50">
        <v>0</v>
      </c>
      <c r="AC154" s="4" t="str">
        <f t="shared" si="8"/>
        <v>Front End Loader</v>
      </c>
      <c r="AD154" s="4" t="str">
        <f t="shared" si="9"/>
        <v>Operational</v>
      </c>
      <c r="AE154" s="4" t="str">
        <f t="shared" si="11"/>
        <v>Individual</v>
      </c>
    </row>
    <row r="155" spans="1:31" ht="14" customHeight="1" x14ac:dyDescent="0.35">
      <c r="A155" s="3">
        <v>6</v>
      </c>
      <c r="B155" s="3" t="s">
        <v>181</v>
      </c>
      <c r="C155" s="3" t="s">
        <v>187</v>
      </c>
      <c r="D155" s="53">
        <v>719.99979999999903</v>
      </c>
      <c r="E155" s="49">
        <v>507.54479999999899</v>
      </c>
      <c r="F155" s="49">
        <v>255.30159999999901</v>
      </c>
      <c r="G155" s="49">
        <v>243.58369999999999</v>
      </c>
      <c r="H155" s="49">
        <v>212.45499999999899</v>
      </c>
      <c r="I155" s="49">
        <v>7.8520000000000003</v>
      </c>
      <c r="J155" s="49">
        <v>252.24319999999901</v>
      </c>
      <c r="K155" s="49">
        <v>2.8067000000000002</v>
      </c>
      <c r="L155" s="49">
        <v>243.58369999999999</v>
      </c>
      <c r="M155" s="49">
        <v>10.6587</v>
      </c>
      <c r="N155" s="49">
        <v>254.2424</v>
      </c>
      <c r="O155" s="57">
        <v>0.7049235291</v>
      </c>
      <c r="P155" s="57">
        <v>0.47992551589999999</v>
      </c>
      <c r="Q155" s="3">
        <v>0</v>
      </c>
      <c r="R155" s="49">
        <v>0</v>
      </c>
      <c r="S155" s="49">
        <v>0</v>
      </c>
      <c r="T155" s="3">
        <v>0</v>
      </c>
      <c r="U155" s="3">
        <f t="shared" si="10"/>
        <v>0</v>
      </c>
      <c r="V155" s="3">
        <v>0</v>
      </c>
      <c r="W155" s="49">
        <v>9543.2799999999897</v>
      </c>
      <c r="X155" s="49">
        <v>37.536146610000003</v>
      </c>
      <c r="Y155" s="49">
        <v>9143.1934739999997</v>
      </c>
      <c r="Z155" s="49">
        <v>400.0865258</v>
      </c>
      <c r="AA155" s="49">
        <v>0</v>
      </c>
      <c r="AB155" s="49">
        <v>0</v>
      </c>
      <c r="AC155" s="4" t="str">
        <f t="shared" si="8"/>
        <v>Front End Loader</v>
      </c>
      <c r="AD155" s="4" t="str">
        <f t="shared" si="9"/>
        <v>Operational</v>
      </c>
      <c r="AE155" s="4" t="str">
        <f t="shared" si="11"/>
        <v>Individual</v>
      </c>
    </row>
    <row r="156" spans="1:31" ht="14" customHeight="1" x14ac:dyDescent="0.35">
      <c r="A156" s="5">
        <v>7</v>
      </c>
      <c r="B156" s="5" t="s">
        <v>181</v>
      </c>
      <c r="C156" s="5" t="s">
        <v>188</v>
      </c>
      <c r="D156" s="54">
        <v>719.999899999999</v>
      </c>
      <c r="E156" s="50">
        <v>357.00479999999902</v>
      </c>
      <c r="F156" s="50">
        <v>198.41639999999899</v>
      </c>
      <c r="G156" s="50">
        <v>196.1276</v>
      </c>
      <c r="H156" s="50">
        <v>362.99509999999998</v>
      </c>
      <c r="I156" s="50">
        <v>3.9262999999999999</v>
      </c>
      <c r="J156" s="50">
        <v>158.58839999999901</v>
      </c>
      <c r="K156" s="50">
        <v>2.2553000000000001</v>
      </c>
      <c r="L156" s="50">
        <v>196.1276</v>
      </c>
      <c r="M156" s="50">
        <v>6.1815999999999898</v>
      </c>
      <c r="N156" s="50">
        <v>202.3092</v>
      </c>
      <c r="O156" s="58">
        <v>0.49584006889999999</v>
      </c>
      <c r="P156" s="58">
        <v>0.54936964430000002</v>
      </c>
      <c r="Q156" s="5">
        <v>0</v>
      </c>
      <c r="R156" s="50">
        <v>0</v>
      </c>
      <c r="S156" s="50">
        <v>0</v>
      </c>
      <c r="T156" s="5">
        <v>0</v>
      </c>
      <c r="U156" s="5">
        <f t="shared" si="10"/>
        <v>0</v>
      </c>
      <c r="V156" s="5">
        <v>0</v>
      </c>
      <c r="W156" s="50">
        <v>5559.3999999999896</v>
      </c>
      <c r="X156" s="50">
        <v>27.479719159999998</v>
      </c>
      <c r="Y156" s="50">
        <v>5389.5313679999999</v>
      </c>
      <c r="Z156" s="50">
        <v>169.86863199999999</v>
      </c>
      <c r="AA156" s="50">
        <v>0</v>
      </c>
      <c r="AB156" s="50">
        <v>0</v>
      </c>
      <c r="AC156" s="4" t="str">
        <f t="shared" si="8"/>
        <v>Front End Loader</v>
      </c>
      <c r="AD156" s="4" t="str">
        <f t="shared" si="9"/>
        <v>Operational</v>
      </c>
      <c r="AE156" s="4" t="str">
        <f t="shared" si="11"/>
        <v>Individual</v>
      </c>
    </row>
    <row r="157" spans="1:31" ht="14" customHeight="1" x14ac:dyDescent="0.35">
      <c r="A157" s="3">
        <v>8</v>
      </c>
      <c r="B157" s="3" t="s">
        <v>181</v>
      </c>
      <c r="C157" s="3" t="s">
        <v>189</v>
      </c>
      <c r="D157" s="53">
        <v>720.00099999999895</v>
      </c>
      <c r="E157" s="49">
        <v>643.11919999999895</v>
      </c>
      <c r="F157" s="49">
        <v>356.87200000000001</v>
      </c>
      <c r="G157" s="49">
        <v>356.87200000000001</v>
      </c>
      <c r="H157" s="49">
        <v>76.881799999999998</v>
      </c>
      <c r="I157" s="49">
        <v>28.543399999999998</v>
      </c>
      <c r="J157" s="49">
        <v>286.247199999999</v>
      </c>
      <c r="K157" s="49">
        <v>14.699299999999999</v>
      </c>
      <c r="L157" s="49">
        <v>356.87200000000001</v>
      </c>
      <c r="M157" s="49">
        <v>43.242699999999999</v>
      </c>
      <c r="N157" s="49">
        <v>400.11470000000003</v>
      </c>
      <c r="O157" s="57">
        <v>0.89321987049999996</v>
      </c>
      <c r="P157" s="57">
        <v>0.55490801710000004</v>
      </c>
      <c r="Q157" s="3">
        <v>0</v>
      </c>
      <c r="R157" s="49">
        <v>0</v>
      </c>
      <c r="S157" s="49">
        <v>0</v>
      </c>
      <c r="T157" s="3">
        <v>0</v>
      </c>
      <c r="U157" s="3">
        <f t="shared" si="10"/>
        <v>0</v>
      </c>
      <c r="V157" s="3">
        <v>0</v>
      </c>
      <c r="W157" s="49">
        <v>10593.53</v>
      </c>
      <c r="X157" s="49">
        <v>26.476232939999999</v>
      </c>
      <c r="Y157" s="49">
        <v>9448.6262019999995</v>
      </c>
      <c r="Z157" s="49">
        <v>1144.9037980000001</v>
      </c>
      <c r="AA157" s="49">
        <v>0</v>
      </c>
      <c r="AB157" s="49">
        <v>0</v>
      </c>
      <c r="AC157" s="4" t="str">
        <f t="shared" si="8"/>
        <v>Front End Loader</v>
      </c>
      <c r="AD157" s="4" t="str">
        <f t="shared" si="9"/>
        <v>Operational</v>
      </c>
      <c r="AE157" s="4" t="str">
        <f t="shared" si="11"/>
        <v>Individual</v>
      </c>
    </row>
    <row r="158" spans="1:31" ht="14" hidden="1" customHeight="1" x14ac:dyDescent="0.35">
      <c r="A158" s="5">
        <v>9</v>
      </c>
      <c r="B158" s="5" t="s">
        <v>181</v>
      </c>
      <c r="C158" s="5" t="s">
        <v>190</v>
      </c>
      <c r="D158" s="54">
        <v>720</v>
      </c>
      <c r="E158" s="50">
        <v>720</v>
      </c>
      <c r="F158" s="50">
        <v>0</v>
      </c>
      <c r="G158" s="50">
        <v>0</v>
      </c>
      <c r="H158" s="50">
        <v>0</v>
      </c>
      <c r="I158" s="50">
        <v>0</v>
      </c>
      <c r="J158" s="50">
        <v>720</v>
      </c>
      <c r="K158" s="50">
        <v>0</v>
      </c>
      <c r="L158" s="50">
        <v>0</v>
      </c>
      <c r="M158" s="50">
        <v>0</v>
      </c>
      <c r="N158" s="50">
        <v>0</v>
      </c>
      <c r="O158" s="58">
        <v>1</v>
      </c>
      <c r="P158" s="58">
        <v>0</v>
      </c>
      <c r="Q158" s="5">
        <v>0</v>
      </c>
      <c r="R158" s="50">
        <v>0</v>
      </c>
      <c r="S158" s="50">
        <v>0</v>
      </c>
      <c r="T158" s="5">
        <v>0</v>
      </c>
      <c r="U158" s="5">
        <f t="shared" si="10"/>
        <v>0</v>
      </c>
      <c r="V158" s="5">
        <v>0</v>
      </c>
      <c r="W158" s="50">
        <v>0</v>
      </c>
      <c r="X158" s="50">
        <v>0</v>
      </c>
      <c r="Y158" s="50">
        <v>0</v>
      </c>
      <c r="Z158" s="50">
        <v>0</v>
      </c>
      <c r="AA158" s="50">
        <v>0</v>
      </c>
      <c r="AB158" s="50">
        <v>0</v>
      </c>
      <c r="AC158" s="4" t="str">
        <f t="shared" si="8"/>
        <v>Front End Loader</v>
      </c>
      <c r="AD158" s="4" t="str">
        <f t="shared" si="9"/>
        <v>Operational</v>
      </c>
      <c r="AE158" s="4" t="str">
        <f t="shared" si="11"/>
        <v>Individual</v>
      </c>
    </row>
    <row r="159" spans="1:31" ht="14" customHeight="1" x14ac:dyDescent="0.35">
      <c r="A159" s="3">
        <v>10</v>
      </c>
      <c r="B159" s="3" t="s">
        <v>181</v>
      </c>
      <c r="C159" s="3" t="s">
        <v>191</v>
      </c>
      <c r="D159" s="53">
        <v>719.99909999999898</v>
      </c>
      <c r="E159" s="49">
        <v>563.40959999999905</v>
      </c>
      <c r="F159" s="49">
        <v>306.018699999999</v>
      </c>
      <c r="G159" s="49">
        <v>299.71359999999999</v>
      </c>
      <c r="H159" s="49">
        <v>156.58949999999999</v>
      </c>
      <c r="I159" s="49">
        <v>6.6516999999999902</v>
      </c>
      <c r="J159" s="49">
        <v>257.39089999999902</v>
      </c>
      <c r="K159" s="49">
        <v>0.2445</v>
      </c>
      <c r="L159" s="49">
        <v>299.71359999999999</v>
      </c>
      <c r="M159" s="49">
        <v>6.8961999999999897</v>
      </c>
      <c r="N159" s="49">
        <v>306.60980000000001</v>
      </c>
      <c r="O159" s="57">
        <v>0.78251431149999995</v>
      </c>
      <c r="P159" s="57">
        <v>0.53196395659999995</v>
      </c>
      <c r="Q159" s="3">
        <v>0</v>
      </c>
      <c r="R159" s="49">
        <v>0</v>
      </c>
      <c r="S159" s="49">
        <v>0</v>
      </c>
      <c r="T159" s="3">
        <v>0</v>
      </c>
      <c r="U159" s="3">
        <f t="shared" si="10"/>
        <v>0</v>
      </c>
      <c r="V159" s="3">
        <v>0</v>
      </c>
      <c r="W159" s="49">
        <v>8108.61</v>
      </c>
      <c r="X159" s="49">
        <v>26.446023579999999</v>
      </c>
      <c r="Y159" s="49">
        <v>7926.2329319999999</v>
      </c>
      <c r="Z159" s="49">
        <v>182.37706779999999</v>
      </c>
      <c r="AA159" s="49">
        <v>0</v>
      </c>
      <c r="AB159" s="49">
        <v>0</v>
      </c>
      <c r="AC159" s="4" t="str">
        <f t="shared" si="8"/>
        <v>Front End Loader</v>
      </c>
      <c r="AD159" s="4" t="str">
        <f t="shared" si="9"/>
        <v>Operational</v>
      </c>
      <c r="AE159" s="4" t="str">
        <f t="shared" si="11"/>
        <v>Individual</v>
      </c>
    </row>
    <row r="160" spans="1:31" ht="14" customHeight="1" x14ac:dyDescent="0.35">
      <c r="A160" s="5">
        <v>11</v>
      </c>
      <c r="B160" s="5" t="s">
        <v>181</v>
      </c>
      <c r="C160" s="5" t="s">
        <v>192</v>
      </c>
      <c r="D160" s="54">
        <v>719.99969999999996</v>
      </c>
      <c r="E160" s="50">
        <v>508.94119999999998</v>
      </c>
      <c r="F160" s="50">
        <v>291.64800000000002</v>
      </c>
      <c r="G160" s="50">
        <v>287.32389999999998</v>
      </c>
      <c r="H160" s="50">
        <v>211.05849999999899</v>
      </c>
      <c r="I160" s="50">
        <v>7.7507999999999999</v>
      </c>
      <c r="J160" s="50">
        <v>217.29320000000001</v>
      </c>
      <c r="K160" s="50">
        <v>1.5015000000000001</v>
      </c>
      <c r="L160" s="50">
        <v>287.32389999999998</v>
      </c>
      <c r="M160" s="50">
        <v>9.2523</v>
      </c>
      <c r="N160" s="50">
        <v>296.57619999999997</v>
      </c>
      <c r="O160" s="58">
        <v>0.70686307230000001</v>
      </c>
      <c r="P160" s="58">
        <v>0.56455225080000004</v>
      </c>
      <c r="Q160" s="5">
        <v>0</v>
      </c>
      <c r="R160" s="50">
        <v>0</v>
      </c>
      <c r="S160" s="50">
        <v>0</v>
      </c>
      <c r="T160" s="5">
        <v>0</v>
      </c>
      <c r="U160" s="5">
        <f t="shared" si="10"/>
        <v>0</v>
      </c>
      <c r="V160" s="5">
        <v>0</v>
      </c>
      <c r="W160" s="50">
        <v>7206.6899999999896</v>
      </c>
      <c r="X160" s="50">
        <v>24.299623499999999</v>
      </c>
      <c r="Y160" s="50">
        <v>6981.8625929999998</v>
      </c>
      <c r="Z160" s="50">
        <v>224.8274065</v>
      </c>
      <c r="AA160" s="50">
        <v>0</v>
      </c>
      <c r="AB160" s="50">
        <v>0</v>
      </c>
      <c r="AC160" s="4" t="str">
        <f t="shared" si="8"/>
        <v>Front End Loader</v>
      </c>
      <c r="AD160" s="4" t="str">
        <f t="shared" si="9"/>
        <v>Operational</v>
      </c>
      <c r="AE160" s="4" t="str">
        <f t="shared" si="11"/>
        <v>Individual</v>
      </c>
    </row>
    <row r="161" spans="1:31" ht="14" customHeight="1" x14ac:dyDescent="0.35">
      <c r="A161" s="3">
        <v>12</v>
      </c>
      <c r="B161" s="3" t="s">
        <v>181</v>
      </c>
      <c r="C161" s="3" t="s">
        <v>193</v>
      </c>
      <c r="D161" s="53">
        <v>720.00040000000001</v>
      </c>
      <c r="E161" s="49">
        <v>637.04139999999995</v>
      </c>
      <c r="F161" s="49">
        <v>386.32969999999898</v>
      </c>
      <c r="G161" s="49">
        <v>386.32969999999898</v>
      </c>
      <c r="H161" s="49">
        <v>82.959000000000003</v>
      </c>
      <c r="I161" s="49">
        <v>26.993499999999901</v>
      </c>
      <c r="J161" s="49">
        <v>250.71170000000001</v>
      </c>
      <c r="K161" s="49">
        <v>17.555499999999999</v>
      </c>
      <c r="L161" s="49">
        <v>386.32969999999898</v>
      </c>
      <c r="M161" s="49">
        <v>44.5489999999999</v>
      </c>
      <c r="N161" s="49">
        <v>430.87869999999901</v>
      </c>
      <c r="O161" s="57">
        <v>0.88477923069999997</v>
      </c>
      <c r="P161" s="57">
        <v>0.60644363150000002</v>
      </c>
      <c r="Q161" s="3">
        <v>0</v>
      </c>
      <c r="R161" s="49">
        <v>0</v>
      </c>
      <c r="S161" s="49">
        <v>0</v>
      </c>
      <c r="T161" s="3">
        <v>0</v>
      </c>
      <c r="U161" s="3">
        <f t="shared" si="10"/>
        <v>0</v>
      </c>
      <c r="V161" s="3">
        <v>0</v>
      </c>
      <c r="W161" s="49">
        <v>9935.5299999999897</v>
      </c>
      <c r="X161" s="49">
        <v>23.058763410000001</v>
      </c>
      <c r="Y161" s="49">
        <v>8908.2851489999994</v>
      </c>
      <c r="Z161" s="49">
        <v>1027.2448509999999</v>
      </c>
      <c r="AA161" s="49">
        <v>0</v>
      </c>
      <c r="AB161" s="49">
        <v>0</v>
      </c>
      <c r="AC161" s="4" t="str">
        <f t="shared" si="8"/>
        <v>Front End Loader</v>
      </c>
      <c r="AD161" s="4" t="str">
        <f t="shared" si="9"/>
        <v>Operational</v>
      </c>
      <c r="AE161" s="4" t="str">
        <f t="shared" si="11"/>
        <v>Individual</v>
      </c>
    </row>
    <row r="162" spans="1:31" ht="14" customHeight="1" x14ac:dyDescent="0.35">
      <c r="A162" s="5">
        <v>13</v>
      </c>
      <c r="B162" s="5" t="s">
        <v>181</v>
      </c>
      <c r="C162" s="5" t="s">
        <v>194</v>
      </c>
      <c r="D162" s="54">
        <v>719.99859999999899</v>
      </c>
      <c r="E162" s="50">
        <v>658.14509999999905</v>
      </c>
      <c r="F162" s="50">
        <v>438.45519999999902</v>
      </c>
      <c r="G162" s="50">
        <v>433.75299999999999</v>
      </c>
      <c r="H162" s="50">
        <v>61.853499999999997</v>
      </c>
      <c r="I162" s="50">
        <v>14.1943</v>
      </c>
      <c r="J162" s="50">
        <v>219.689899999999</v>
      </c>
      <c r="K162" s="50">
        <v>3.49589999999999</v>
      </c>
      <c r="L162" s="50">
        <v>433.75299999999999</v>
      </c>
      <c r="M162" s="50">
        <v>17.690200000000001</v>
      </c>
      <c r="N162" s="50">
        <v>451.44319999999999</v>
      </c>
      <c r="O162" s="58">
        <v>0.91409219409999998</v>
      </c>
      <c r="P162" s="58">
        <v>0.65905375580000003</v>
      </c>
      <c r="Q162" s="5">
        <v>0</v>
      </c>
      <c r="R162" s="50">
        <v>0</v>
      </c>
      <c r="S162" s="50">
        <v>0</v>
      </c>
      <c r="T162" s="5">
        <v>0</v>
      </c>
      <c r="U162" s="5">
        <f t="shared" si="10"/>
        <v>0</v>
      </c>
      <c r="V162" s="5">
        <v>0</v>
      </c>
      <c r="W162" s="50">
        <v>10638.63</v>
      </c>
      <c r="X162" s="50">
        <v>23.565821790000001</v>
      </c>
      <c r="Y162" s="50">
        <v>10221.745899351199</v>
      </c>
      <c r="Z162" s="50">
        <v>416.88410060000001</v>
      </c>
      <c r="AA162" s="50">
        <v>0</v>
      </c>
      <c r="AB162" s="50">
        <v>0</v>
      </c>
      <c r="AC162" s="4" t="str">
        <f t="shared" si="8"/>
        <v>Front End Loader</v>
      </c>
      <c r="AD162" s="4" t="str">
        <f t="shared" si="9"/>
        <v>Operational</v>
      </c>
      <c r="AE162" s="4" t="str">
        <f t="shared" si="11"/>
        <v>Individual</v>
      </c>
    </row>
    <row r="163" spans="1:31" ht="14" customHeight="1" x14ac:dyDescent="0.35">
      <c r="A163" s="3">
        <v>14</v>
      </c>
      <c r="B163" s="3" t="s">
        <v>181</v>
      </c>
      <c r="C163" s="3" t="s">
        <v>195</v>
      </c>
      <c r="D163" s="53">
        <v>720.00089999999898</v>
      </c>
      <c r="E163" s="49">
        <v>577.106799999999</v>
      </c>
      <c r="F163" s="49">
        <v>365.14419999999899</v>
      </c>
      <c r="G163" s="49">
        <v>359.641199999999</v>
      </c>
      <c r="H163" s="49">
        <v>142.89409999999901</v>
      </c>
      <c r="I163" s="49">
        <v>19.116599999999998</v>
      </c>
      <c r="J163" s="49">
        <v>211.96260000000001</v>
      </c>
      <c r="K163" s="49">
        <v>1.69969999999999</v>
      </c>
      <c r="L163" s="49">
        <v>359.641199999999</v>
      </c>
      <c r="M163" s="49">
        <v>20.816299999999998</v>
      </c>
      <c r="N163" s="49">
        <v>380.45749999999998</v>
      </c>
      <c r="O163" s="57">
        <v>0.80153622030000005</v>
      </c>
      <c r="P163" s="57">
        <v>0.62317962640000002</v>
      </c>
      <c r="Q163" s="3">
        <v>0</v>
      </c>
      <c r="R163" s="49">
        <v>0</v>
      </c>
      <c r="S163" s="49">
        <v>0</v>
      </c>
      <c r="T163" s="3">
        <v>0</v>
      </c>
      <c r="U163" s="3">
        <f t="shared" si="10"/>
        <v>0</v>
      </c>
      <c r="V163" s="3">
        <v>0</v>
      </c>
      <c r="W163" s="49">
        <v>10821.119999999901</v>
      </c>
      <c r="X163" s="49">
        <v>28.442388439999998</v>
      </c>
      <c r="Y163" s="49">
        <v>10229.0547095115</v>
      </c>
      <c r="Z163" s="49">
        <v>592.06529049999995</v>
      </c>
      <c r="AA163" s="49">
        <v>0</v>
      </c>
      <c r="AB163" s="49">
        <v>0</v>
      </c>
      <c r="AC163" s="4" t="str">
        <f t="shared" si="8"/>
        <v>Front End Loader</v>
      </c>
      <c r="AD163" s="4" t="str">
        <f t="shared" si="9"/>
        <v>Operational</v>
      </c>
      <c r="AE163" s="4" t="str">
        <f t="shared" si="11"/>
        <v>Individual</v>
      </c>
    </row>
    <row r="164" spans="1:31" ht="14" customHeight="1" x14ac:dyDescent="0.35">
      <c r="A164" s="5">
        <v>15</v>
      </c>
      <c r="B164" s="5" t="s">
        <v>181</v>
      </c>
      <c r="C164" s="5" t="s">
        <v>196</v>
      </c>
      <c r="D164" s="54">
        <v>719.99919999999895</v>
      </c>
      <c r="E164" s="50">
        <v>693.16879999999901</v>
      </c>
      <c r="F164" s="50">
        <v>421.90439999999899</v>
      </c>
      <c r="G164" s="50">
        <v>420.28079999999898</v>
      </c>
      <c r="H164" s="50">
        <v>26.830399999999901</v>
      </c>
      <c r="I164" s="50">
        <v>22.846599999999999</v>
      </c>
      <c r="J164" s="50">
        <v>271.264399999999</v>
      </c>
      <c r="K164" s="50">
        <v>18.399999999999999</v>
      </c>
      <c r="L164" s="50">
        <v>420.28079999999898</v>
      </c>
      <c r="M164" s="50">
        <v>41.246600000000001</v>
      </c>
      <c r="N164" s="50">
        <v>461.52739999999898</v>
      </c>
      <c r="O164" s="58">
        <v>0.96273551420000003</v>
      </c>
      <c r="P164" s="58">
        <v>0.60631811469999997</v>
      </c>
      <c r="Q164" s="5">
        <v>0</v>
      </c>
      <c r="R164" s="50">
        <v>0</v>
      </c>
      <c r="S164" s="50">
        <v>0</v>
      </c>
      <c r="T164" s="5">
        <v>0</v>
      </c>
      <c r="U164" s="5">
        <f t="shared" si="10"/>
        <v>0</v>
      </c>
      <c r="V164" s="5">
        <v>0</v>
      </c>
      <c r="W164" s="50">
        <v>9830.2199999999993</v>
      </c>
      <c r="X164" s="50">
        <v>21.299320470000001</v>
      </c>
      <c r="Y164" s="50">
        <v>8951.6954480000004</v>
      </c>
      <c r="Z164" s="50">
        <v>878.52455190000001</v>
      </c>
      <c r="AA164" s="50">
        <v>0</v>
      </c>
      <c r="AB164" s="50">
        <v>0</v>
      </c>
      <c r="AC164" s="4" t="str">
        <f t="shared" si="8"/>
        <v>Front End Loader</v>
      </c>
      <c r="AD164" s="4" t="str">
        <f t="shared" si="9"/>
        <v>Operational</v>
      </c>
      <c r="AE164" s="4" t="str">
        <f t="shared" si="11"/>
        <v>Individual</v>
      </c>
    </row>
    <row r="165" spans="1:31" ht="14" hidden="1" customHeight="1" x14ac:dyDescent="0.35">
      <c r="A165" s="3">
        <v>16</v>
      </c>
      <c r="B165" s="3" t="s">
        <v>181</v>
      </c>
      <c r="C165" s="3" t="s">
        <v>197</v>
      </c>
      <c r="D165" s="53">
        <v>720</v>
      </c>
      <c r="E165" s="49">
        <v>0</v>
      </c>
      <c r="F165" s="49">
        <v>0</v>
      </c>
      <c r="G165" s="49">
        <v>0</v>
      </c>
      <c r="H165" s="49">
        <v>720</v>
      </c>
      <c r="I165" s="49">
        <v>0</v>
      </c>
      <c r="J165" s="49">
        <v>0</v>
      </c>
      <c r="K165" s="49">
        <v>0</v>
      </c>
      <c r="L165" s="49">
        <v>0</v>
      </c>
      <c r="M165" s="49">
        <v>0</v>
      </c>
      <c r="N165" s="49">
        <v>0</v>
      </c>
      <c r="O165" s="57">
        <v>0</v>
      </c>
      <c r="P165" s="57">
        <v>0</v>
      </c>
      <c r="Q165" s="3">
        <v>0</v>
      </c>
      <c r="R165" s="49">
        <v>0</v>
      </c>
      <c r="S165" s="49">
        <v>0</v>
      </c>
      <c r="T165" s="3">
        <v>0</v>
      </c>
      <c r="U165" s="3">
        <f t="shared" si="10"/>
        <v>0</v>
      </c>
      <c r="V165" s="3">
        <v>0</v>
      </c>
      <c r="W165" s="49">
        <v>0</v>
      </c>
      <c r="X165" s="49">
        <v>0</v>
      </c>
      <c r="Y165" s="49">
        <v>0</v>
      </c>
      <c r="Z165" s="49">
        <v>0</v>
      </c>
      <c r="AA165" s="49">
        <v>0</v>
      </c>
      <c r="AB165" s="49">
        <v>0</v>
      </c>
      <c r="AC165" s="4" t="str">
        <f t="shared" si="8"/>
        <v>Front End Loader</v>
      </c>
      <c r="AD165" s="4" t="str">
        <f t="shared" si="9"/>
        <v>Non-Operational</v>
      </c>
      <c r="AE165" s="4" t="str">
        <f t="shared" si="11"/>
        <v>Individual</v>
      </c>
    </row>
    <row r="166" spans="1:31" ht="14" hidden="1" customHeight="1" x14ac:dyDescent="0.35">
      <c r="A166" s="48">
        <v>5</v>
      </c>
      <c r="B166" s="48" t="s">
        <v>198</v>
      </c>
      <c r="C166" s="48">
        <v>16</v>
      </c>
      <c r="D166" s="56">
        <v>718.91908130000002</v>
      </c>
      <c r="E166" s="52">
        <v>472.08682499999998</v>
      </c>
      <c r="F166" s="52">
        <v>233.25977499999999</v>
      </c>
      <c r="G166" s="52">
        <v>230.42826249999999</v>
      </c>
      <c r="H166" s="52">
        <v>246.83225630000001</v>
      </c>
      <c r="I166" s="52">
        <v>10.5207</v>
      </c>
      <c r="J166" s="52">
        <v>238.82704999999899</v>
      </c>
      <c r="K166" s="52">
        <v>5.4101812499999999</v>
      </c>
      <c r="L166" s="52">
        <v>230.42826249999999</v>
      </c>
      <c r="M166" s="52">
        <v>15.930881250000001</v>
      </c>
      <c r="N166" s="52">
        <v>246.3591438</v>
      </c>
      <c r="O166" s="60">
        <v>0.65666197670000004</v>
      </c>
      <c r="P166" s="60">
        <v>0.48810568370000001</v>
      </c>
      <c r="Q166" s="48">
        <v>0</v>
      </c>
      <c r="R166" s="52">
        <v>0</v>
      </c>
      <c r="S166" s="52">
        <v>0</v>
      </c>
      <c r="T166" s="48">
        <v>0</v>
      </c>
      <c r="U166" s="48">
        <f t="shared" si="10"/>
        <v>0</v>
      </c>
      <c r="V166" s="48">
        <v>0</v>
      </c>
      <c r="W166" s="52">
        <v>7486.3414290000001</v>
      </c>
      <c r="X166" s="52">
        <v>38.573587029999999</v>
      </c>
      <c r="Y166" s="52">
        <v>7039.9877390000001</v>
      </c>
      <c r="Z166" s="52">
        <v>446.35368990000001</v>
      </c>
      <c r="AA166" s="52">
        <v>0</v>
      </c>
      <c r="AB166" s="52">
        <v>0</v>
      </c>
      <c r="AC166" s="47" t="str">
        <f t="shared" si="8"/>
        <v>Front End Loader</v>
      </c>
      <c r="AD166" s="47" t="str">
        <f t="shared" si="9"/>
        <v>Operational</v>
      </c>
      <c r="AE166" s="47" t="str">
        <f t="shared" si="11"/>
        <v>Aggregate</v>
      </c>
    </row>
    <row r="167" spans="1:31" ht="14" customHeight="1" x14ac:dyDescent="0.35">
      <c r="A167" s="3">
        <v>1</v>
      </c>
      <c r="B167" s="3" t="s">
        <v>199</v>
      </c>
      <c r="C167" s="3" t="s">
        <v>200</v>
      </c>
      <c r="D167" s="53">
        <v>719.99969999999905</v>
      </c>
      <c r="E167" s="49">
        <v>694.49209999999903</v>
      </c>
      <c r="F167" s="49">
        <v>637.39699999999903</v>
      </c>
      <c r="G167" s="49">
        <v>616.430599999999</v>
      </c>
      <c r="H167" s="49">
        <v>25.507599999999901</v>
      </c>
      <c r="I167" s="49">
        <v>0</v>
      </c>
      <c r="J167" s="49">
        <v>57.095100000000002</v>
      </c>
      <c r="K167" s="49">
        <v>0</v>
      </c>
      <c r="L167" s="49">
        <v>616.430599999999</v>
      </c>
      <c r="M167" s="49">
        <v>0</v>
      </c>
      <c r="N167" s="49">
        <v>616.430599999999</v>
      </c>
      <c r="O167" s="57">
        <v>0.96457276300000006</v>
      </c>
      <c r="P167" s="57">
        <v>0.88759915339999995</v>
      </c>
      <c r="Q167" s="3">
        <v>0</v>
      </c>
      <c r="R167" s="49">
        <v>0</v>
      </c>
      <c r="S167" s="49">
        <v>0</v>
      </c>
      <c r="T167" s="3">
        <v>0</v>
      </c>
      <c r="U167" s="3">
        <f t="shared" si="10"/>
        <v>0</v>
      </c>
      <c r="V167" s="3">
        <v>0</v>
      </c>
      <c r="W167" s="49">
        <v>74157.34</v>
      </c>
      <c r="X167" s="49">
        <v>120.3011985</v>
      </c>
      <c r="Y167" s="49">
        <v>74157.34</v>
      </c>
      <c r="Z167" s="49">
        <v>0</v>
      </c>
      <c r="AA167" s="49">
        <v>0</v>
      </c>
      <c r="AB167" s="49">
        <v>0</v>
      </c>
      <c r="AC167" s="4" t="str">
        <f t="shared" si="8"/>
        <v>Excavator</v>
      </c>
      <c r="AD167" s="4" t="str">
        <f t="shared" si="9"/>
        <v>Operational</v>
      </c>
      <c r="AE167" s="4" t="str">
        <f t="shared" si="11"/>
        <v>Individual</v>
      </c>
    </row>
    <row r="168" spans="1:31" ht="14" customHeight="1" x14ac:dyDescent="0.35">
      <c r="A168" s="5">
        <v>2</v>
      </c>
      <c r="B168" s="5" t="s">
        <v>199</v>
      </c>
      <c r="C168" s="5" t="s">
        <v>201</v>
      </c>
      <c r="D168" s="54">
        <v>715.42579999999998</v>
      </c>
      <c r="E168" s="50">
        <v>417.54309999999901</v>
      </c>
      <c r="F168" s="50">
        <v>391.71599999999899</v>
      </c>
      <c r="G168" s="50">
        <v>374.44519999999898</v>
      </c>
      <c r="H168" s="50">
        <v>297.8827</v>
      </c>
      <c r="I168" s="50">
        <v>0</v>
      </c>
      <c r="J168" s="50">
        <v>25.827099999999898</v>
      </c>
      <c r="K168" s="50">
        <v>0</v>
      </c>
      <c r="L168" s="50">
        <v>374.44519999999898</v>
      </c>
      <c r="M168" s="50">
        <v>0</v>
      </c>
      <c r="N168" s="50">
        <v>374.44519999999898</v>
      </c>
      <c r="O168" s="58">
        <v>0.58362879840000004</v>
      </c>
      <c r="P168" s="58">
        <v>0.89678215250000004</v>
      </c>
      <c r="Q168" s="5">
        <v>0</v>
      </c>
      <c r="R168" s="50">
        <v>0</v>
      </c>
      <c r="S168" s="50">
        <v>0</v>
      </c>
      <c r="T168" s="5">
        <v>0</v>
      </c>
      <c r="U168" s="5">
        <f t="shared" si="10"/>
        <v>0</v>
      </c>
      <c r="V168" s="5">
        <v>0</v>
      </c>
      <c r="W168" s="50">
        <v>9950.68</v>
      </c>
      <c r="X168" s="50">
        <v>26.574462700000002</v>
      </c>
      <c r="Y168" s="50">
        <v>9950.68</v>
      </c>
      <c r="Z168" s="50">
        <v>0</v>
      </c>
      <c r="AA168" s="50">
        <v>0</v>
      </c>
      <c r="AB168" s="50">
        <v>0</v>
      </c>
      <c r="AC168" s="4" t="str">
        <f t="shared" si="8"/>
        <v>Excavator</v>
      </c>
      <c r="AD168" s="4" t="str">
        <f t="shared" si="9"/>
        <v>Operational</v>
      </c>
      <c r="AE168" s="4" t="str">
        <f t="shared" si="11"/>
        <v>Individual</v>
      </c>
    </row>
    <row r="169" spans="1:31" ht="14" customHeight="1" x14ac:dyDescent="0.35">
      <c r="A169" s="3">
        <v>3</v>
      </c>
      <c r="B169" s="3" t="s">
        <v>199</v>
      </c>
      <c r="C169" s="3" t="s">
        <v>202</v>
      </c>
      <c r="D169" s="53">
        <v>712.46669999999995</v>
      </c>
      <c r="E169" s="49">
        <v>488.45159999999998</v>
      </c>
      <c r="F169" s="49">
        <v>463.48090000000002</v>
      </c>
      <c r="G169" s="49">
        <v>429.12639999999999</v>
      </c>
      <c r="H169" s="49">
        <v>224.01509999999999</v>
      </c>
      <c r="I169" s="49">
        <v>0</v>
      </c>
      <c r="J169" s="49">
        <v>24.970700000000001</v>
      </c>
      <c r="K169" s="49">
        <v>0</v>
      </c>
      <c r="L169" s="49">
        <v>429.12639999999999</v>
      </c>
      <c r="M169" s="49">
        <v>0</v>
      </c>
      <c r="N169" s="49">
        <v>429.12639999999999</v>
      </c>
      <c r="O169" s="57">
        <v>0.68557814699999997</v>
      </c>
      <c r="P169" s="57">
        <v>0.87854436349999998</v>
      </c>
      <c r="Q169" s="3">
        <v>0</v>
      </c>
      <c r="R169" s="49">
        <v>0</v>
      </c>
      <c r="S169" s="49">
        <v>0</v>
      </c>
      <c r="T169" s="3">
        <v>0</v>
      </c>
      <c r="U169" s="3">
        <f t="shared" si="10"/>
        <v>0</v>
      </c>
      <c r="V169" s="3">
        <v>0</v>
      </c>
      <c r="W169" s="49">
        <v>10251.369999999901</v>
      </c>
      <c r="X169" s="49">
        <v>23.888928759999999</v>
      </c>
      <c r="Y169" s="49">
        <v>10251.369999999901</v>
      </c>
      <c r="Z169" s="49">
        <v>0</v>
      </c>
      <c r="AA169" s="49">
        <v>0</v>
      </c>
      <c r="AB169" s="49">
        <v>0</v>
      </c>
      <c r="AC169" s="4" t="str">
        <f t="shared" si="8"/>
        <v>Excavator</v>
      </c>
      <c r="AD169" s="4" t="str">
        <f t="shared" si="9"/>
        <v>Operational</v>
      </c>
      <c r="AE169" s="4" t="str">
        <f t="shared" si="11"/>
        <v>Individual</v>
      </c>
    </row>
    <row r="170" spans="1:31" ht="14" customHeight="1" x14ac:dyDescent="0.35">
      <c r="A170" s="5">
        <v>4</v>
      </c>
      <c r="B170" s="5" t="s">
        <v>199</v>
      </c>
      <c r="C170" s="5" t="s">
        <v>203</v>
      </c>
      <c r="D170" s="54">
        <v>720.00009999999997</v>
      </c>
      <c r="E170" s="50">
        <v>186.53200000000001</v>
      </c>
      <c r="F170" s="50">
        <v>172.3509</v>
      </c>
      <c r="G170" s="50">
        <v>165.93100000000001</v>
      </c>
      <c r="H170" s="50">
        <v>533.46810000000005</v>
      </c>
      <c r="I170" s="50">
        <v>0</v>
      </c>
      <c r="J170" s="50">
        <v>14.181100000000001</v>
      </c>
      <c r="K170" s="50">
        <v>0</v>
      </c>
      <c r="L170" s="50">
        <v>165.93100000000001</v>
      </c>
      <c r="M170" s="50">
        <v>0</v>
      </c>
      <c r="N170" s="50">
        <v>165.93100000000001</v>
      </c>
      <c r="O170" s="58">
        <v>0.2590721862</v>
      </c>
      <c r="P170" s="58">
        <v>0.88955782390000004</v>
      </c>
      <c r="Q170" s="5">
        <v>0</v>
      </c>
      <c r="R170" s="50">
        <v>0</v>
      </c>
      <c r="S170" s="50">
        <v>0</v>
      </c>
      <c r="T170" s="5">
        <v>0</v>
      </c>
      <c r="U170" s="5">
        <f t="shared" si="10"/>
        <v>0</v>
      </c>
      <c r="V170" s="5">
        <v>0</v>
      </c>
      <c r="W170" s="50">
        <v>5047.45999999999</v>
      </c>
      <c r="X170" s="50">
        <v>30.419029599999998</v>
      </c>
      <c r="Y170" s="50">
        <v>5047.45999999999</v>
      </c>
      <c r="Z170" s="50">
        <v>0</v>
      </c>
      <c r="AA170" s="50">
        <v>0</v>
      </c>
      <c r="AB170" s="50">
        <v>0</v>
      </c>
      <c r="AC170" s="4" t="str">
        <f t="shared" si="8"/>
        <v>Excavator</v>
      </c>
      <c r="AD170" s="4" t="str">
        <f t="shared" si="9"/>
        <v>Operational</v>
      </c>
      <c r="AE170" s="4" t="str">
        <f t="shared" si="11"/>
        <v>Individual</v>
      </c>
    </row>
    <row r="171" spans="1:31" ht="14" hidden="1" customHeight="1" x14ac:dyDescent="0.35">
      <c r="A171" s="3">
        <v>5</v>
      </c>
      <c r="B171" s="3" t="s">
        <v>199</v>
      </c>
      <c r="C171" s="3" t="s">
        <v>204</v>
      </c>
      <c r="D171" s="53">
        <v>719.99770000000001</v>
      </c>
      <c r="E171" s="49">
        <v>0.74860000000000004</v>
      </c>
      <c r="F171" s="49">
        <v>0.17499999999999999</v>
      </c>
      <c r="G171" s="49">
        <v>0</v>
      </c>
      <c r="H171" s="49">
        <v>719.2491</v>
      </c>
      <c r="I171" s="49">
        <v>0</v>
      </c>
      <c r="J171" s="49">
        <v>0.5736</v>
      </c>
      <c r="K171" s="49">
        <v>0</v>
      </c>
      <c r="L171" s="49">
        <v>0</v>
      </c>
      <c r="M171" s="49">
        <v>0</v>
      </c>
      <c r="N171" s="49">
        <v>0</v>
      </c>
      <c r="O171" s="57">
        <v>1.0397255E-3</v>
      </c>
      <c r="P171" s="57">
        <v>0</v>
      </c>
      <c r="Q171" s="3">
        <v>0</v>
      </c>
      <c r="R171" s="49">
        <v>0</v>
      </c>
      <c r="S171" s="49">
        <v>0</v>
      </c>
      <c r="T171" s="3">
        <v>0</v>
      </c>
      <c r="U171" s="3">
        <f t="shared" si="10"/>
        <v>0</v>
      </c>
      <c r="V171" s="3">
        <v>0</v>
      </c>
      <c r="W171" s="49">
        <v>0</v>
      </c>
      <c r="X171" s="49">
        <v>0</v>
      </c>
      <c r="Y171" s="49">
        <v>0</v>
      </c>
      <c r="Z171" s="49">
        <v>0</v>
      </c>
      <c r="AA171" s="49">
        <v>0</v>
      </c>
      <c r="AB171" s="49">
        <v>0</v>
      </c>
      <c r="AC171" s="4" t="str">
        <f t="shared" si="8"/>
        <v>Excavator</v>
      </c>
      <c r="AD171" s="4" t="str">
        <f t="shared" si="9"/>
        <v>Operational</v>
      </c>
      <c r="AE171" s="4" t="str">
        <f t="shared" si="11"/>
        <v>Individual</v>
      </c>
    </row>
    <row r="172" spans="1:31" ht="14" customHeight="1" x14ac:dyDescent="0.35">
      <c r="A172" s="5">
        <v>6</v>
      </c>
      <c r="B172" s="5" t="s">
        <v>199</v>
      </c>
      <c r="C172" s="5" t="s">
        <v>205</v>
      </c>
      <c r="D172" s="54">
        <v>720.00039999999899</v>
      </c>
      <c r="E172" s="50">
        <v>321.45159999999902</v>
      </c>
      <c r="F172" s="50">
        <v>297.22849999999897</v>
      </c>
      <c r="G172" s="50">
        <v>286.88449999999898</v>
      </c>
      <c r="H172" s="50">
        <v>398.54879999999901</v>
      </c>
      <c r="I172" s="50">
        <v>0</v>
      </c>
      <c r="J172" s="50">
        <v>24.223099999999999</v>
      </c>
      <c r="K172" s="50">
        <v>0</v>
      </c>
      <c r="L172" s="50">
        <v>286.88449999999898</v>
      </c>
      <c r="M172" s="50">
        <v>0</v>
      </c>
      <c r="N172" s="50">
        <v>286.88449999999898</v>
      </c>
      <c r="O172" s="58">
        <v>0.44646030749999999</v>
      </c>
      <c r="P172" s="58">
        <v>0.89246561540000002</v>
      </c>
      <c r="Q172" s="5">
        <v>0</v>
      </c>
      <c r="R172" s="50">
        <v>0</v>
      </c>
      <c r="S172" s="50">
        <v>0</v>
      </c>
      <c r="T172" s="5">
        <v>0</v>
      </c>
      <c r="U172" s="5">
        <f t="shared" si="10"/>
        <v>0</v>
      </c>
      <c r="V172" s="5">
        <v>0</v>
      </c>
      <c r="W172" s="50">
        <v>9457.3899999999903</v>
      </c>
      <c r="X172" s="50">
        <v>32.965845139999999</v>
      </c>
      <c r="Y172" s="50">
        <v>9457.3899999999903</v>
      </c>
      <c r="Z172" s="50">
        <v>0</v>
      </c>
      <c r="AA172" s="50">
        <v>0</v>
      </c>
      <c r="AB172" s="50">
        <v>0</v>
      </c>
      <c r="AC172" s="4" t="str">
        <f t="shared" si="8"/>
        <v>Excavator</v>
      </c>
      <c r="AD172" s="4" t="str">
        <f t="shared" si="9"/>
        <v>Operational</v>
      </c>
      <c r="AE172" s="4" t="str">
        <f t="shared" si="11"/>
        <v>Individual</v>
      </c>
    </row>
    <row r="173" spans="1:31" ht="14" customHeight="1" x14ac:dyDescent="0.35">
      <c r="A173" s="3">
        <v>7</v>
      </c>
      <c r="B173" s="3" t="s">
        <v>199</v>
      </c>
      <c r="C173" s="3" t="s">
        <v>206</v>
      </c>
      <c r="D173" s="53">
        <v>719.99949999999899</v>
      </c>
      <c r="E173" s="49">
        <v>487.00560000000002</v>
      </c>
      <c r="F173" s="49">
        <v>465.7867</v>
      </c>
      <c r="G173" s="49">
        <v>457.72689999999898</v>
      </c>
      <c r="H173" s="49">
        <v>232.993899999999</v>
      </c>
      <c r="I173" s="49">
        <v>0</v>
      </c>
      <c r="J173" s="49">
        <v>21.218900000000001</v>
      </c>
      <c r="K173" s="49">
        <v>0</v>
      </c>
      <c r="L173" s="49">
        <v>457.72689999999898</v>
      </c>
      <c r="M173" s="49">
        <v>0</v>
      </c>
      <c r="N173" s="49">
        <v>457.72689999999898</v>
      </c>
      <c r="O173" s="57">
        <v>0.67639713639999999</v>
      </c>
      <c r="P173" s="57">
        <v>0.93988015739999997</v>
      </c>
      <c r="Q173" s="3">
        <v>0</v>
      </c>
      <c r="R173" s="49">
        <v>0</v>
      </c>
      <c r="S173" s="49">
        <v>0</v>
      </c>
      <c r="T173" s="3">
        <v>0</v>
      </c>
      <c r="U173" s="3">
        <f t="shared" si="10"/>
        <v>0</v>
      </c>
      <c r="V173" s="3">
        <v>0</v>
      </c>
      <c r="W173" s="49">
        <v>11612.8499999999</v>
      </c>
      <c r="X173" s="49">
        <v>25.37069593</v>
      </c>
      <c r="Y173" s="49">
        <v>11612.8499999999</v>
      </c>
      <c r="Z173" s="49">
        <v>0</v>
      </c>
      <c r="AA173" s="49">
        <v>0</v>
      </c>
      <c r="AB173" s="49">
        <v>0</v>
      </c>
      <c r="AC173" s="4" t="str">
        <f t="shared" si="8"/>
        <v>Excavator</v>
      </c>
      <c r="AD173" s="4" t="str">
        <f t="shared" si="9"/>
        <v>Operational</v>
      </c>
      <c r="AE173" s="4" t="str">
        <f t="shared" si="11"/>
        <v>Individual</v>
      </c>
    </row>
    <row r="174" spans="1:31" ht="14" hidden="1" customHeight="1" x14ac:dyDescent="0.35">
      <c r="A174" s="5">
        <v>8</v>
      </c>
      <c r="B174" s="5" t="s">
        <v>199</v>
      </c>
      <c r="C174" s="5" t="s">
        <v>207</v>
      </c>
      <c r="D174" s="54">
        <v>720</v>
      </c>
      <c r="E174" s="50">
        <v>0.1389</v>
      </c>
      <c r="F174" s="50">
        <v>0.1389</v>
      </c>
      <c r="G174" s="50">
        <v>0.13750000000000001</v>
      </c>
      <c r="H174" s="50">
        <v>719.86109999999996</v>
      </c>
      <c r="I174" s="50">
        <v>0</v>
      </c>
      <c r="J174" s="50">
        <v>0</v>
      </c>
      <c r="K174" s="50">
        <v>0</v>
      </c>
      <c r="L174" s="50">
        <v>0.13750000000000001</v>
      </c>
      <c r="M174" s="50">
        <v>0</v>
      </c>
      <c r="N174" s="50">
        <v>0.13750000000000001</v>
      </c>
      <c r="O174" s="58">
        <v>1.929167E-4</v>
      </c>
      <c r="P174" s="58">
        <v>0.98992080630000001</v>
      </c>
      <c r="Q174" s="5">
        <v>0</v>
      </c>
      <c r="R174" s="50">
        <v>0</v>
      </c>
      <c r="S174" s="50">
        <v>0</v>
      </c>
      <c r="T174" s="5">
        <v>0</v>
      </c>
      <c r="U174" s="5">
        <f t="shared" si="10"/>
        <v>0</v>
      </c>
      <c r="V174" s="5">
        <v>0</v>
      </c>
      <c r="W174" s="50">
        <v>0</v>
      </c>
      <c r="X174" s="50">
        <v>0</v>
      </c>
      <c r="Y174" s="50">
        <v>0</v>
      </c>
      <c r="Z174" s="50">
        <v>0</v>
      </c>
      <c r="AA174" s="50">
        <v>0</v>
      </c>
      <c r="AB174" s="50">
        <v>0</v>
      </c>
      <c r="AC174" s="4" t="str">
        <f t="shared" si="8"/>
        <v>Excavator</v>
      </c>
      <c r="AD174" s="4" t="str">
        <f t="shared" si="9"/>
        <v>Operational</v>
      </c>
      <c r="AE174" s="4" t="str">
        <f t="shared" si="11"/>
        <v>Individual</v>
      </c>
    </row>
    <row r="175" spans="1:31" ht="14" customHeight="1" x14ac:dyDescent="0.35">
      <c r="A175" s="3">
        <v>9</v>
      </c>
      <c r="B175" s="3" t="s">
        <v>199</v>
      </c>
      <c r="C175" s="3" t="s">
        <v>208</v>
      </c>
      <c r="D175" s="53">
        <v>720.00049999999896</v>
      </c>
      <c r="E175" s="49">
        <v>629.49599999999896</v>
      </c>
      <c r="F175" s="49">
        <v>587.82379999999898</v>
      </c>
      <c r="G175" s="49">
        <v>568.73399999999901</v>
      </c>
      <c r="H175" s="49">
        <v>90.504499999999993</v>
      </c>
      <c r="I175" s="49">
        <v>0</v>
      </c>
      <c r="J175" s="49">
        <v>41.672199999999997</v>
      </c>
      <c r="K175" s="49">
        <v>0</v>
      </c>
      <c r="L175" s="49">
        <v>568.73399999999901</v>
      </c>
      <c r="M175" s="49">
        <v>0</v>
      </c>
      <c r="N175" s="49">
        <v>568.73399999999901</v>
      </c>
      <c r="O175" s="57">
        <v>0.87429939280000002</v>
      </c>
      <c r="P175" s="57">
        <v>0.90347516110000003</v>
      </c>
      <c r="Q175" s="3">
        <v>0</v>
      </c>
      <c r="R175" s="49">
        <v>0</v>
      </c>
      <c r="S175" s="49">
        <v>0</v>
      </c>
      <c r="T175" s="3">
        <v>0</v>
      </c>
      <c r="U175" s="3">
        <f t="shared" si="10"/>
        <v>0</v>
      </c>
      <c r="V175" s="3">
        <v>0</v>
      </c>
      <c r="W175" s="49">
        <v>19786.519999999899</v>
      </c>
      <c r="X175" s="49">
        <v>34.790464440000001</v>
      </c>
      <c r="Y175" s="49">
        <v>19786.519999999899</v>
      </c>
      <c r="Z175" s="49">
        <v>0</v>
      </c>
      <c r="AA175" s="49">
        <v>0</v>
      </c>
      <c r="AB175" s="49">
        <v>0</v>
      </c>
      <c r="AC175" s="4" t="str">
        <f t="shared" si="8"/>
        <v>Excavator</v>
      </c>
      <c r="AD175" s="4" t="str">
        <f t="shared" si="9"/>
        <v>Operational</v>
      </c>
      <c r="AE175" s="4" t="str">
        <f t="shared" si="11"/>
        <v>Individual</v>
      </c>
    </row>
    <row r="176" spans="1:31" ht="14" customHeight="1" x14ac:dyDescent="0.35">
      <c r="A176" s="5">
        <v>10</v>
      </c>
      <c r="B176" s="5" t="s">
        <v>199</v>
      </c>
      <c r="C176" s="5" t="s">
        <v>209</v>
      </c>
      <c r="D176" s="54">
        <v>719.99939999999901</v>
      </c>
      <c r="E176" s="50">
        <v>604.07669999999996</v>
      </c>
      <c r="F176" s="50">
        <v>572.43729999999903</v>
      </c>
      <c r="G176" s="50">
        <v>551.01549999999895</v>
      </c>
      <c r="H176" s="50">
        <v>115.92270000000001</v>
      </c>
      <c r="I176" s="50">
        <v>0</v>
      </c>
      <c r="J176" s="50">
        <v>31.639399999999998</v>
      </c>
      <c r="K176" s="50">
        <v>0</v>
      </c>
      <c r="L176" s="50">
        <v>551.01549999999895</v>
      </c>
      <c r="M176" s="50">
        <v>0</v>
      </c>
      <c r="N176" s="50">
        <v>551.01549999999895</v>
      </c>
      <c r="O176" s="58">
        <v>0.8389961158</v>
      </c>
      <c r="P176" s="58">
        <v>0.91216148549999998</v>
      </c>
      <c r="Q176" s="5">
        <v>0</v>
      </c>
      <c r="R176" s="50">
        <v>0</v>
      </c>
      <c r="S176" s="50">
        <v>0</v>
      </c>
      <c r="T176" s="5">
        <v>0</v>
      </c>
      <c r="U176" s="5">
        <f t="shared" si="10"/>
        <v>0</v>
      </c>
      <c r="V176" s="5">
        <v>0</v>
      </c>
      <c r="W176" s="50">
        <v>17659.5799999999</v>
      </c>
      <c r="X176" s="50">
        <v>32.049152880000001</v>
      </c>
      <c r="Y176" s="50">
        <v>17659.5799999999</v>
      </c>
      <c r="Z176" s="50">
        <v>0</v>
      </c>
      <c r="AA176" s="50">
        <v>0</v>
      </c>
      <c r="AB176" s="50">
        <v>0</v>
      </c>
      <c r="AC176" s="4" t="str">
        <f t="shared" si="8"/>
        <v>Excavator</v>
      </c>
      <c r="AD176" s="4" t="str">
        <f t="shared" si="9"/>
        <v>Operational</v>
      </c>
      <c r="AE176" s="4" t="str">
        <f t="shared" si="11"/>
        <v>Individual</v>
      </c>
    </row>
    <row r="177" spans="1:31" ht="14" customHeight="1" x14ac:dyDescent="0.35">
      <c r="A177" s="3">
        <v>11</v>
      </c>
      <c r="B177" s="3" t="s">
        <v>199</v>
      </c>
      <c r="C177" s="3" t="s">
        <v>210</v>
      </c>
      <c r="D177" s="53">
        <v>710.04199999999901</v>
      </c>
      <c r="E177" s="49">
        <v>114.675399999999</v>
      </c>
      <c r="F177" s="49">
        <v>85.359099999999899</v>
      </c>
      <c r="G177" s="49">
        <v>74.410799999999895</v>
      </c>
      <c r="H177" s="49">
        <v>595.36659999999995</v>
      </c>
      <c r="I177" s="49">
        <v>0</v>
      </c>
      <c r="J177" s="49">
        <v>29.316299999999899</v>
      </c>
      <c r="K177" s="49">
        <v>0</v>
      </c>
      <c r="L177" s="49">
        <v>74.410799999999895</v>
      </c>
      <c r="M177" s="49">
        <v>0</v>
      </c>
      <c r="N177" s="49">
        <v>74.410799999999895</v>
      </c>
      <c r="O177" s="57">
        <v>0.1615050941</v>
      </c>
      <c r="P177" s="57">
        <v>0.64888197469999997</v>
      </c>
      <c r="Q177" s="3">
        <v>0</v>
      </c>
      <c r="R177" s="49">
        <v>0</v>
      </c>
      <c r="S177" s="49">
        <v>0</v>
      </c>
      <c r="T177" s="3">
        <v>0</v>
      </c>
      <c r="U177" s="3">
        <f t="shared" si="10"/>
        <v>0</v>
      </c>
      <c r="V177" s="3">
        <v>0</v>
      </c>
      <c r="W177" s="49">
        <v>16216.29</v>
      </c>
      <c r="X177" s="49">
        <v>217.92925220000001</v>
      </c>
      <c r="Y177" s="49">
        <v>16216.29</v>
      </c>
      <c r="Z177" s="49">
        <v>0</v>
      </c>
      <c r="AA177" s="49">
        <v>0</v>
      </c>
      <c r="AB177" s="49">
        <v>0</v>
      </c>
      <c r="AC177" s="4" t="str">
        <f t="shared" si="8"/>
        <v>Excavator</v>
      </c>
      <c r="AD177" s="4" t="str">
        <f t="shared" si="9"/>
        <v>Operational</v>
      </c>
      <c r="AE177" s="4" t="str">
        <f t="shared" si="11"/>
        <v>Individual</v>
      </c>
    </row>
    <row r="178" spans="1:31" ht="14" customHeight="1" x14ac:dyDescent="0.35">
      <c r="A178" s="5">
        <v>12</v>
      </c>
      <c r="B178" s="5" t="s">
        <v>199</v>
      </c>
      <c r="C178" s="5" t="s">
        <v>211</v>
      </c>
      <c r="D178" s="54">
        <v>720.00030000000004</v>
      </c>
      <c r="E178" s="50">
        <v>447.50409999999999</v>
      </c>
      <c r="F178" s="50">
        <v>419.2801</v>
      </c>
      <c r="G178" s="50">
        <v>405.06929999999898</v>
      </c>
      <c r="H178" s="50">
        <v>272.49619999999999</v>
      </c>
      <c r="I178" s="50">
        <v>0</v>
      </c>
      <c r="J178" s="50">
        <v>28.224</v>
      </c>
      <c r="K178" s="50">
        <v>0</v>
      </c>
      <c r="L178" s="50">
        <v>405.06929999999898</v>
      </c>
      <c r="M178" s="50">
        <v>0</v>
      </c>
      <c r="N178" s="50">
        <v>405.06929999999898</v>
      </c>
      <c r="O178" s="58">
        <v>0.6215332133</v>
      </c>
      <c r="P178" s="58">
        <v>0.9051745001</v>
      </c>
      <c r="Q178" s="5">
        <v>0</v>
      </c>
      <c r="R178" s="50">
        <v>0</v>
      </c>
      <c r="S178" s="50">
        <v>0</v>
      </c>
      <c r="T178" s="5">
        <v>0</v>
      </c>
      <c r="U178" s="5">
        <f t="shared" si="10"/>
        <v>0</v>
      </c>
      <c r="V178" s="5">
        <v>0</v>
      </c>
      <c r="W178" s="50">
        <v>11645.5799999999</v>
      </c>
      <c r="X178" s="50">
        <v>28.749599140000001</v>
      </c>
      <c r="Y178" s="50">
        <v>11645.5799999999</v>
      </c>
      <c r="Z178" s="50">
        <v>0</v>
      </c>
      <c r="AA178" s="50">
        <v>0</v>
      </c>
      <c r="AB178" s="50">
        <v>0</v>
      </c>
      <c r="AC178" s="4" t="str">
        <f t="shared" si="8"/>
        <v>Excavator</v>
      </c>
      <c r="AD178" s="4" t="str">
        <f t="shared" si="9"/>
        <v>Operational</v>
      </c>
      <c r="AE178" s="4" t="str">
        <f t="shared" si="11"/>
        <v>Individual</v>
      </c>
    </row>
    <row r="179" spans="1:31" ht="14" customHeight="1" x14ac:dyDescent="0.35">
      <c r="A179" s="3">
        <v>13</v>
      </c>
      <c r="B179" s="3" t="s">
        <v>199</v>
      </c>
      <c r="C179" s="3" t="s">
        <v>212</v>
      </c>
      <c r="D179" s="53">
        <v>719.99969999999996</v>
      </c>
      <c r="E179" s="49">
        <v>549.84289999999999</v>
      </c>
      <c r="F179" s="49">
        <v>507.99849999999998</v>
      </c>
      <c r="G179" s="49">
        <v>491.99799999999902</v>
      </c>
      <c r="H179" s="49">
        <v>170.1568</v>
      </c>
      <c r="I179" s="49">
        <v>0</v>
      </c>
      <c r="J179" s="49">
        <v>41.8444</v>
      </c>
      <c r="K179" s="49">
        <v>0</v>
      </c>
      <c r="L179" s="49">
        <v>491.99799999999902</v>
      </c>
      <c r="M179" s="49">
        <v>0</v>
      </c>
      <c r="N179" s="49">
        <v>491.99799999999902</v>
      </c>
      <c r="O179" s="57">
        <v>0.76367101260000003</v>
      </c>
      <c r="P179" s="57">
        <v>0.89479740490000004</v>
      </c>
      <c r="Q179" s="3">
        <v>0</v>
      </c>
      <c r="R179" s="49">
        <v>0</v>
      </c>
      <c r="S179" s="49">
        <v>0</v>
      </c>
      <c r="T179" s="3">
        <v>0</v>
      </c>
      <c r="U179" s="3">
        <f t="shared" si="10"/>
        <v>0</v>
      </c>
      <c r="V179" s="3">
        <v>0</v>
      </c>
      <c r="W179" s="49">
        <v>16941.86</v>
      </c>
      <c r="X179" s="49">
        <v>34.434814780000004</v>
      </c>
      <c r="Y179" s="49">
        <v>16941.86</v>
      </c>
      <c r="Z179" s="49">
        <v>0</v>
      </c>
      <c r="AA179" s="49">
        <v>0</v>
      </c>
      <c r="AB179" s="49">
        <v>0</v>
      </c>
      <c r="AC179" s="4" t="str">
        <f t="shared" si="8"/>
        <v>Excavator</v>
      </c>
      <c r="AD179" s="4" t="str">
        <f t="shared" si="9"/>
        <v>Operational</v>
      </c>
      <c r="AE179" s="4" t="str">
        <f t="shared" si="11"/>
        <v>Individual</v>
      </c>
    </row>
    <row r="180" spans="1:31" ht="14" customHeight="1" x14ac:dyDescent="0.35">
      <c r="A180" s="5">
        <v>14</v>
      </c>
      <c r="B180" s="5" t="s">
        <v>199</v>
      </c>
      <c r="C180" s="5" t="s">
        <v>213</v>
      </c>
      <c r="D180" s="54">
        <v>720.00030000000004</v>
      </c>
      <c r="E180" s="50">
        <v>270.66640000000001</v>
      </c>
      <c r="F180" s="50">
        <v>256.3827</v>
      </c>
      <c r="G180" s="50">
        <v>247.68879999999899</v>
      </c>
      <c r="H180" s="50">
        <v>449.33390000000003</v>
      </c>
      <c r="I180" s="50">
        <v>0</v>
      </c>
      <c r="J180" s="50">
        <v>14.2837</v>
      </c>
      <c r="K180" s="50">
        <v>0</v>
      </c>
      <c r="L180" s="50">
        <v>247.68879999999899</v>
      </c>
      <c r="M180" s="50">
        <v>0</v>
      </c>
      <c r="N180" s="50">
        <v>247.68879999999899</v>
      </c>
      <c r="O180" s="58">
        <v>0.37592539889999999</v>
      </c>
      <c r="P180" s="58">
        <v>0.91510730549999997</v>
      </c>
      <c r="Q180" s="5">
        <v>0</v>
      </c>
      <c r="R180" s="50">
        <v>0</v>
      </c>
      <c r="S180" s="50">
        <v>0</v>
      </c>
      <c r="T180" s="5">
        <v>0</v>
      </c>
      <c r="U180" s="5">
        <f t="shared" si="10"/>
        <v>0</v>
      </c>
      <c r="V180" s="5">
        <v>0</v>
      </c>
      <c r="W180" s="50">
        <v>12480.88</v>
      </c>
      <c r="X180" s="50">
        <v>50.389359550000002</v>
      </c>
      <c r="Y180" s="50">
        <v>12480.88</v>
      </c>
      <c r="Z180" s="50">
        <v>0</v>
      </c>
      <c r="AA180" s="50">
        <v>0</v>
      </c>
      <c r="AB180" s="50">
        <v>0</v>
      </c>
      <c r="AC180" s="4" t="str">
        <f t="shared" si="8"/>
        <v>Excavator</v>
      </c>
      <c r="AD180" s="4" t="str">
        <f t="shared" si="9"/>
        <v>Operational</v>
      </c>
      <c r="AE180" s="4" t="str">
        <f t="shared" si="11"/>
        <v>Individual</v>
      </c>
    </row>
    <row r="181" spans="1:31" ht="14" customHeight="1" x14ac:dyDescent="0.35">
      <c r="A181" s="3">
        <v>15</v>
      </c>
      <c r="B181" s="3" t="s">
        <v>199</v>
      </c>
      <c r="C181" s="3" t="s">
        <v>214</v>
      </c>
      <c r="D181" s="53">
        <v>720.00049999999999</v>
      </c>
      <c r="E181" s="49">
        <v>568.39769999999999</v>
      </c>
      <c r="F181" s="49">
        <v>531.3211</v>
      </c>
      <c r="G181" s="49">
        <v>512.92359999999996</v>
      </c>
      <c r="H181" s="49">
        <v>151.6028</v>
      </c>
      <c r="I181" s="49">
        <v>0</v>
      </c>
      <c r="J181" s="49">
        <v>37.0765999999999</v>
      </c>
      <c r="K181" s="49">
        <v>0</v>
      </c>
      <c r="L181" s="49">
        <v>512.92359999999996</v>
      </c>
      <c r="M181" s="49">
        <v>0</v>
      </c>
      <c r="N181" s="49">
        <v>512.92359999999996</v>
      </c>
      <c r="O181" s="57">
        <v>0.78944070180000003</v>
      </c>
      <c r="P181" s="57">
        <v>0.90240266629999999</v>
      </c>
      <c r="Q181" s="3">
        <v>0</v>
      </c>
      <c r="R181" s="49">
        <v>0</v>
      </c>
      <c r="S181" s="49">
        <v>0</v>
      </c>
      <c r="T181" s="3">
        <v>0</v>
      </c>
      <c r="U181" s="3">
        <f t="shared" si="10"/>
        <v>0</v>
      </c>
      <c r="V181" s="3">
        <v>0</v>
      </c>
      <c r="W181" s="49">
        <v>15321.3999999999</v>
      </c>
      <c r="X181" s="49">
        <v>29.87072539</v>
      </c>
      <c r="Y181" s="49">
        <v>15321.3999999999</v>
      </c>
      <c r="Z181" s="49">
        <v>0</v>
      </c>
      <c r="AA181" s="49">
        <v>0</v>
      </c>
      <c r="AB181" s="49">
        <v>0</v>
      </c>
      <c r="AC181" s="4" t="str">
        <f t="shared" si="8"/>
        <v>Excavator</v>
      </c>
      <c r="AD181" s="4" t="str">
        <f t="shared" si="9"/>
        <v>Operational</v>
      </c>
      <c r="AE181" s="4" t="str">
        <f t="shared" si="11"/>
        <v>Individual</v>
      </c>
    </row>
    <row r="182" spans="1:31" ht="14" customHeight="1" x14ac:dyDescent="0.35">
      <c r="A182" s="5">
        <v>16</v>
      </c>
      <c r="B182" s="5" t="s">
        <v>199</v>
      </c>
      <c r="C182" s="5" t="s">
        <v>215</v>
      </c>
      <c r="D182" s="54">
        <v>719.99950000000001</v>
      </c>
      <c r="E182" s="50">
        <v>685.25310000000002</v>
      </c>
      <c r="F182" s="50">
        <v>610.16089999999997</v>
      </c>
      <c r="G182" s="50">
        <v>592.75459999999896</v>
      </c>
      <c r="H182" s="50">
        <v>34.746400000000001</v>
      </c>
      <c r="I182" s="50">
        <v>0</v>
      </c>
      <c r="J182" s="50">
        <v>75.092200000000005</v>
      </c>
      <c r="K182" s="50">
        <v>0</v>
      </c>
      <c r="L182" s="50">
        <v>592.75459999999896</v>
      </c>
      <c r="M182" s="50">
        <v>0</v>
      </c>
      <c r="N182" s="50">
        <v>592.75459999999896</v>
      </c>
      <c r="O182" s="58">
        <v>0.95174107760000004</v>
      </c>
      <c r="P182" s="58">
        <v>0.86501556869999996</v>
      </c>
      <c r="Q182" s="5">
        <v>0</v>
      </c>
      <c r="R182" s="50">
        <v>0</v>
      </c>
      <c r="S182" s="50">
        <v>0</v>
      </c>
      <c r="T182" s="5">
        <v>0</v>
      </c>
      <c r="U182" s="5">
        <f t="shared" si="10"/>
        <v>0</v>
      </c>
      <c r="V182" s="5">
        <v>0</v>
      </c>
      <c r="W182" s="50">
        <v>30935.5799999999</v>
      </c>
      <c r="X182" s="50">
        <v>52.189523289999997</v>
      </c>
      <c r="Y182" s="50">
        <v>30935.5799999999</v>
      </c>
      <c r="Z182" s="50">
        <v>0</v>
      </c>
      <c r="AA182" s="50">
        <v>0</v>
      </c>
      <c r="AB182" s="50">
        <v>0</v>
      </c>
      <c r="AC182" s="4" t="str">
        <f t="shared" si="8"/>
        <v>Excavator</v>
      </c>
      <c r="AD182" s="4" t="str">
        <f t="shared" si="9"/>
        <v>Operational</v>
      </c>
      <c r="AE182" s="4" t="str">
        <f t="shared" si="11"/>
        <v>Individual</v>
      </c>
    </row>
    <row r="183" spans="1:31" ht="14" hidden="1" customHeight="1" x14ac:dyDescent="0.35">
      <c r="A183" s="3">
        <v>17</v>
      </c>
      <c r="B183" s="3" t="s">
        <v>199</v>
      </c>
      <c r="C183" s="3" t="s">
        <v>216</v>
      </c>
      <c r="D183" s="53">
        <v>719.99979999999903</v>
      </c>
      <c r="E183" s="49">
        <v>49.156599999999997</v>
      </c>
      <c r="F183" s="49">
        <v>41.628099999999897</v>
      </c>
      <c r="G183" s="49">
        <v>38.333500000000001</v>
      </c>
      <c r="H183" s="49">
        <v>670.843199999999</v>
      </c>
      <c r="I183" s="49">
        <v>0</v>
      </c>
      <c r="J183" s="49">
        <v>7.5285000000000002</v>
      </c>
      <c r="K183" s="49">
        <v>0</v>
      </c>
      <c r="L183" s="49">
        <v>38.333500000000001</v>
      </c>
      <c r="M183" s="49">
        <v>0</v>
      </c>
      <c r="N183" s="49">
        <v>38.333500000000001</v>
      </c>
      <c r="O183" s="57">
        <v>6.8273074500000003E-2</v>
      </c>
      <c r="P183" s="57">
        <v>0.77982407249999997</v>
      </c>
      <c r="Q183" s="3">
        <v>0</v>
      </c>
      <c r="R183" s="49">
        <v>0</v>
      </c>
      <c r="S183" s="49">
        <v>0</v>
      </c>
      <c r="T183" s="3">
        <v>0</v>
      </c>
      <c r="U183" s="3">
        <f t="shared" si="10"/>
        <v>0</v>
      </c>
      <c r="V183" s="3">
        <v>0</v>
      </c>
      <c r="W183" s="49">
        <v>1132.0999999999999</v>
      </c>
      <c r="X183" s="49">
        <v>29.532915070000001</v>
      </c>
      <c r="Y183" s="49">
        <v>1132.0999999999999</v>
      </c>
      <c r="Z183" s="49">
        <v>0</v>
      </c>
      <c r="AA183" s="49">
        <v>0</v>
      </c>
      <c r="AB183" s="49">
        <v>0</v>
      </c>
      <c r="AC183" s="4" t="str">
        <f t="shared" si="8"/>
        <v>Excavator</v>
      </c>
      <c r="AD183" s="4" t="str">
        <f t="shared" si="9"/>
        <v>Operational</v>
      </c>
      <c r="AE183" s="4" t="str">
        <f t="shared" si="11"/>
        <v>Individual</v>
      </c>
    </row>
    <row r="184" spans="1:31" ht="14" customHeight="1" x14ac:dyDescent="0.35">
      <c r="A184" s="5">
        <v>18</v>
      </c>
      <c r="B184" s="5" t="s">
        <v>199</v>
      </c>
      <c r="C184" s="5" t="s">
        <v>217</v>
      </c>
      <c r="D184" s="54">
        <v>720</v>
      </c>
      <c r="E184" s="50">
        <v>629.05160000000001</v>
      </c>
      <c r="F184" s="50">
        <v>551.35490000000004</v>
      </c>
      <c r="G184" s="50">
        <v>534.082799999999</v>
      </c>
      <c r="H184" s="50">
        <v>90.948399999999907</v>
      </c>
      <c r="I184" s="50">
        <v>0</v>
      </c>
      <c r="J184" s="50">
        <v>77.696699999999893</v>
      </c>
      <c r="K184" s="50">
        <v>0</v>
      </c>
      <c r="L184" s="50">
        <v>534.082799999999</v>
      </c>
      <c r="M184" s="50">
        <v>0</v>
      </c>
      <c r="N184" s="50">
        <v>534.082799999999</v>
      </c>
      <c r="O184" s="58">
        <v>0.87368277780000003</v>
      </c>
      <c r="P184" s="58">
        <v>0.84902860120000001</v>
      </c>
      <c r="Q184" s="5">
        <v>0</v>
      </c>
      <c r="R184" s="50">
        <v>0</v>
      </c>
      <c r="S184" s="50">
        <v>0</v>
      </c>
      <c r="T184" s="5">
        <v>0</v>
      </c>
      <c r="U184" s="5">
        <f t="shared" si="10"/>
        <v>0</v>
      </c>
      <c r="V184" s="5">
        <v>0</v>
      </c>
      <c r="W184" s="50">
        <v>25907.33</v>
      </c>
      <c r="X184" s="50">
        <v>48.50807777</v>
      </c>
      <c r="Y184" s="50">
        <v>25907.33</v>
      </c>
      <c r="Z184" s="50">
        <v>0</v>
      </c>
      <c r="AA184" s="50">
        <v>0</v>
      </c>
      <c r="AB184" s="50">
        <v>0</v>
      </c>
      <c r="AC184" s="4" t="str">
        <f t="shared" si="8"/>
        <v>Excavator</v>
      </c>
      <c r="AD184" s="4" t="str">
        <f t="shared" si="9"/>
        <v>Operational</v>
      </c>
      <c r="AE184" s="4" t="str">
        <f t="shared" si="11"/>
        <v>Individual</v>
      </c>
    </row>
    <row r="185" spans="1:31" ht="14" customHeight="1" x14ac:dyDescent="0.35">
      <c r="A185" s="3">
        <v>19</v>
      </c>
      <c r="B185" s="3" t="s">
        <v>199</v>
      </c>
      <c r="C185" s="3" t="s">
        <v>218</v>
      </c>
      <c r="D185" s="53">
        <v>720</v>
      </c>
      <c r="E185" s="49">
        <v>274.78899999999999</v>
      </c>
      <c r="F185" s="49">
        <v>265.97649999999999</v>
      </c>
      <c r="G185" s="49">
        <v>263.04599999999903</v>
      </c>
      <c r="H185" s="49">
        <v>445.21100000000001</v>
      </c>
      <c r="I185" s="49">
        <v>0</v>
      </c>
      <c r="J185" s="49">
        <v>8.8124999999999893</v>
      </c>
      <c r="K185" s="49">
        <v>0</v>
      </c>
      <c r="L185" s="49">
        <v>263.04599999999903</v>
      </c>
      <c r="M185" s="49">
        <v>0</v>
      </c>
      <c r="N185" s="49">
        <v>263.04599999999903</v>
      </c>
      <c r="O185" s="57">
        <v>0.3816513889</v>
      </c>
      <c r="P185" s="57">
        <v>0.9572653927</v>
      </c>
      <c r="Q185" s="3">
        <v>0</v>
      </c>
      <c r="R185" s="49">
        <v>0</v>
      </c>
      <c r="S185" s="49">
        <v>0</v>
      </c>
      <c r="T185" s="3">
        <v>0</v>
      </c>
      <c r="U185" s="3">
        <f t="shared" si="10"/>
        <v>0</v>
      </c>
      <c r="V185" s="3">
        <v>0</v>
      </c>
      <c r="W185" s="49">
        <v>14131.699999999901</v>
      </c>
      <c r="X185" s="49">
        <v>53.72330315</v>
      </c>
      <c r="Y185" s="49">
        <v>14131.699999999901</v>
      </c>
      <c r="Z185" s="49">
        <v>0</v>
      </c>
      <c r="AA185" s="49">
        <v>0</v>
      </c>
      <c r="AB185" s="49">
        <v>0</v>
      </c>
      <c r="AC185" s="4" t="str">
        <f t="shared" si="8"/>
        <v>Excavator</v>
      </c>
      <c r="AD185" s="4" t="str">
        <f t="shared" si="9"/>
        <v>Operational</v>
      </c>
      <c r="AE185" s="4" t="str">
        <f t="shared" si="11"/>
        <v>Individual</v>
      </c>
    </row>
    <row r="186" spans="1:31" ht="14" customHeight="1" x14ac:dyDescent="0.35">
      <c r="A186" s="5">
        <v>20</v>
      </c>
      <c r="B186" s="5" t="s">
        <v>199</v>
      </c>
      <c r="C186" s="5" t="s">
        <v>219</v>
      </c>
      <c r="D186" s="54">
        <v>719.99879999999996</v>
      </c>
      <c r="E186" s="50">
        <v>514.37929999999994</v>
      </c>
      <c r="F186" s="50">
        <v>458.31479999999999</v>
      </c>
      <c r="G186" s="50">
        <v>442.3449</v>
      </c>
      <c r="H186" s="50">
        <v>205.61949999999899</v>
      </c>
      <c r="I186" s="50">
        <v>0</v>
      </c>
      <c r="J186" s="50">
        <v>56.064499999999903</v>
      </c>
      <c r="K186" s="50">
        <v>0</v>
      </c>
      <c r="L186" s="50">
        <v>442.3449</v>
      </c>
      <c r="M186" s="50">
        <v>0</v>
      </c>
      <c r="N186" s="50">
        <v>442.3449</v>
      </c>
      <c r="O186" s="58">
        <v>0.71441688510000001</v>
      </c>
      <c r="P186" s="58">
        <v>0.85995859480000003</v>
      </c>
      <c r="Q186" s="5">
        <v>0</v>
      </c>
      <c r="R186" s="50">
        <v>0</v>
      </c>
      <c r="S186" s="50">
        <v>0</v>
      </c>
      <c r="T186" s="5">
        <v>0</v>
      </c>
      <c r="U186" s="5">
        <f t="shared" si="10"/>
        <v>0</v>
      </c>
      <c r="V186" s="5">
        <v>0</v>
      </c>
      <c r="W186" s="50">
        <v>14292.47</v>
      </c>
      <c r="X186" s="50">
        <v>32.310692400000001</v>
      </c>
      <c r="Y186" s="50">
        <v>14292.47</v>
      </c>
      <c r="Z186" s="50">
        <v>0</v>
      </c>
      <c r="AA186" s="50">
        <v>0</v>
      </c>
      <c r="AB186" s="50">
        <v>0</v>
      </c>
      <c r="AC186" s="4" t="str">
        <f t="shared" si="8"/>
        <v>Excavator</v>
      </c>
      <c r="AD186" s="4" t="str">
        <f t="shared" si="9"/>
        <v>Operational</v>
      </c>
      <c r="AE186" s="4" t="str">
        <f t="shared" si="11"/>
        <v>Individual</v>
      </c>
    </row>
    <row r="187" spans="1:31" ht="14" hidden="1" customHeight="1" x14ac:dyDescent="0.35">
      <c r="A187" s="3">
        <v>21</v>
      </c>
      <c r="B187" s="3" t="s">
        <v>199</v>
      </c>
      <c r="C187" s="3" t="s">
        <v>220</v>
      </c>
      <c r="D187" s="53">
        <v>720.00040000000001</v>
      </c>
      <c r="E187" s="49">
        <v>684.25009999999997</v>
      </c>
      <c r="F187" s="49">
        <v>194.50479999999899</v>
      </c>
      <c r="G187" s="49">
        <v>187.34459999999899</v>
      </c>
      <c r="H187" s="49">
        <v>35.750300000000003</v>
      </c>
      <c r="I187" s="49">
        <v>0</v>
      </c>
      <c r="J187" s="49">
        <v>489.74529999999999</v>
      </c>
      <c r="K187" s="49">
        <v>0</v>
      </c>
      <c r="L187" s="49">
        <v>187.34459999999899</v>
      </c>
      <c r="M187" s="49">
        <v>0</v>
      </c>
      <c r="N187" s="49">
        <v>187.34459999999899</v>
      </c>
      <c r="O187" s="57">
        <v>0.95034683310000001</v>
      </c>
      <c r="P187" s="57">
        <v>0.27379550260000002</v>
      </c>
      <c r="Q187" s="3">
        <v>0</v>
      </c>
      <c r="R187" s="49">
        <v>0</v>
      </c>
      <c r="S187" s="49">
        <v>0</v>
      </c>
      <c r="T187" s="3">
        <v>0</v>
      </c>
      <c r="U187" s="3">
        <f t="shared" si="10"/>
        <v>0</v>
      </c>
      <c r="V187" s="3">
        <v>0</v>
      </c>
      <c r="W187" s="49">
        <v>23308.720000000001</v>
      </c>
      <c r="X187" s="49">
        <v>124.4162896</v>
      </c>
      <c r="Y187" s="49">
        <v>23308.720000000001</v>
      </c>
      <c r="Z187" s="49">
        <v>0</v>
      </c>
      <c r="AA187" s="49">
        <v>0</v>
      </c>
      <c r="AB187" s="49">
        <v>0</v>
      </c>
      <c r="AC187" s="4" t="str">
        <f t="shared" si="8"/>
        <v>Excavator</v>
      </c>
      <c r="AD187" s="4" t="str">
        <f t="shared" si="9"/>
        <v>Operational</v>
      </c>
      <c r="AE187" s="4" t="str">
        <f t="shared" si="11"/>
        <v>Individual</v>
      </c>
    </row>
    <row r="188" spans="1:31" ht="14" customHeight="1" x14ac:dyDescent="0.35">
      <c r="A188" s="5">
        <v>22</v>
      </c>
      <c r="B188" s="5" t="s">
        <v>199</v>
      </c>
      <c r="C188" s="5" t="s">
        <v>221</v>
      </c>
      <c r="D188" s="54">
        <v>719.99669999999901</v>
      </c>
      <c r="E188" s="50">
        <v>186.800499999999</v>
      </c>
      <c r="F188" s="50">
        <v>168.539999999999</v>
      </c>
      <c r="G188" s="50">
        <v>161.44149999999999</v>
      </c>
      <c r="H188" s="50">
        <v>533.19619999999998</v>
      </c>
      <c r="I188" s="50">
        <v>0</v>
      </c>
      <c r="J188" s="50">
        <v>18.2605</v>
      </c>
      <c r="K188" s="50">
        <v>0</v>
      </c>
      <c r="L188" s="50">
        <v>161.44149999999999</v>
      </c>
      <c r="M188" s="50">
        <v>0</v>
      </c>
      <c r="N188" s="50">
        <v>161.44149999999999</v>
      </c>
      <c r="O188" s="58">
        <v>0.259446328</v>
      </c>
      <c r="P188" s="58">
        <v>0.86424554539999998</v>
      </c>
      <c r="Q188" s="5">
        <v>0</v>
      </c>
      <c r="R188" s="50">
        <v>0</v>
      </c>
      <c r="S188" s="50">
        <v>0</v>
      </c>
      <c r="T188" s="5">
        <v>0</v>
      </c>
      <c r="U188" s="5">
        <f t="shared" si="10"/>
        <v>0</v>
      </c>
      <c r="V188" s="5">
        <v>0</v>
      </c>
      <c r="W188" s="50">
        <v>5069.5599999999904</v>
      </c>
      <c r="X188" s="50">
        <v>31.40183906</v>
      </c>
      <c r="Y188" s="50">
        <v>5069.5599999999904</v>
      </c>
      <c r="Z188" s="50">
        <v>0</v>
      </c>
      <c r="AA188" s="50">
        <v>0</v>
      </c>
      <c r="AB188" s="50">
        <v>0</v>
      </c>
      <c r="AC188" s="4" t="str">
        <f t="shared" si="8"/>
        <v>Excavator</v>
      </c>
      <c r="AD188" s="4" t="str">
        <f t="shared" si="9"/>
        <v>Operational</v>
      </c>
      <c r="AE188" s="4" t="str">
        <f t="shared" si="11"/>
        <v>Individual</v>
      </c>
    </row>
    <row r="189" spans="1:31" ht="14" hidden="1" customHeight="1" x14ac:dyDescent="0.35">
      <c r="A189" s="3">
        <v>23</v>
      </c>
      <c r="B189" s="3" t="s">
        <v>199</v>
      </c>
      <c r="C189" s="3" t="s">
        <v>222</v>
      </c>
      <c r="D189" s="53">
        <v>720</v>
      </c>
      <c r="E189" s="49">
        <v>0.58279999999999998</v>
      </c>
      <c r="F189" s="49">
        <v>0.58279999999999998</v>
      </c>
      <c r="G189" s="49">
        <v>0.58279999999999998</v>
      </c>
      <c r="H189" s="49">
        <v>719.41719999999998</v>
      </c>
      <c r="I189" s="49">
        <v>0</v>
      </c>
      <c r="J189" s="49">
        <v>0</v>
      </c>
      <c r="K189" s="49">
        <v>0</v>
      </c>
      <c r="L189" s="49">
        <v>0.58279999999999998</v>
      </c>
      <c r="M189" s="49">
        <v>0</v>
      </c>
      <c r="N189" s="49">
        <v>0.58279999999999998</v>
      </c>
      <c r="O189" s="57">
        <v>8.0944440000000001E-4</v>
      </c>
      <c r="P189" s="57">
        <v>1</v>
      </c>
      <c r="Q189" s="3">
        <v>0</v>
      </c>
      <c r="R189" s="49">
        <v>0</v>
      </c>
      <c r="S189" s="49">
        <v>0</v>
      </c>
      <c r="T189" s="3">
        <v>0</v>
      </c>
      <c r="U189" s="3">
        <f t="shared" si="10"/>
        <v>0</v>
      </c>
      <c r="V189" s="3">
        <v>0</v>
      </c>
      <c r="W189" s="49">
        <v>30435.449999999899</v>
      </c>
      <c r="X189" s="49">
        <v>52222.803706245701</v>
      </c>
      <c r="Y189" s="49">
        <v>30435.449999999899</v>
      </c>
      <c r="Z189" s="49">
        <v>0</v>
      </c>
      <c r="AA189" s="49">
        <v>0</v>
      </c>
      <c r="AB189" s="49">
        <v>0</v>
      </c>
      <c r="AC189" s="4" t="str">
        <f t="shared" si="8"/>
        <v>Excavator</v>
      </c>
      <c r="AD189" s="4" t="str">
        <f t="shared" si="9"/>
        <v>Operational</v>
      </c>
      <c r="AE189" s="4" t="str">
        <f t="shared" si="11"/>
        <v>Individual</v>
      </c>
    </row>
    <row r="190" spans="1:31" ht="14" customHeight="1" x14ac:dyDescent="0.35">
      <c r="A190" s="5">
        <v>24</v>
      </c>
      <c r="B190" s="5" t="s">
        <v>199</v>
      </c>
      <c r="C190" s="5" t="s">
        <v>223</v>
      </c>
      <c r="D190" s="54">
        <v>719.99969999999996</v>
      </c>
      <c r="E190" s="50">
        <v>658.16719999999998</v>
      </c>
      <c r="F190" s="50">
        <v>585.61379999999997</v>
      </c>
      <c r="G190" s="50">
        <v>569.35810000000004</v>
      </c>
      <c r="H190" s="50">
        <v>61.832499999999897</v>
      </c>
      <c r="I190" s="50">
        <v>0</v>
      </c>
      <c r="J190" s="50">
        <v>72.553399999999897</v>
      </c>
      <c r="K190" s="50">
        <v>0</v>
      </c>
      <c r="L190" s="50">
        <v>569.35810000000004</v>
      </c>
      <c r="M190" s="50">
        <v>0</v>
      </c>
      <c r="N190" s="50">
        <v>569.35810000000004</v>
      </c>
      <c r="O190" s="58">
        <v>0.91412149200000004</v>
      </c>
      <c r="P190" s="58">
        <v>0.86506605010000004</v>
      </c>
      <c r="Q190" s="5">
        <v>0</v>
      </c>
      <c r="R190" s="50">
        <v>0</v>
      </c>
      <c r="S190" s="50">
        <v>0</v>
      </c>
      <c r="T190" s="5">
        <v>0</v>
      </c>
      <c r="U190" s="5">
        <f t="shared" si="10"/>
        <v>0</v>
      </c>
      <c r="V190" s="5">
        <v>0</v>
      </c>
      <c r="W190" s="50">
        <v>26508.62</v>
      </c>
      <c r="X190" s="50">
        <v>46.558782600000001</v>
      </c>
      <c r="Y190" s="50">
        <v>26508.62</v>
      </c>
      <c r="Z190" s="50">
        <v>0</v>
      </c>
      <c r="AA190" s="50">
        <v>0</v>
      </c>
      <c r="AB190" s="50">
        <v>0</v>
      </c>
      <c r="AC190" s="4" t="str">
        <f t="shared" si="8"/>
        <v>Excavator</v>
      </c>
      <c r="AD190" s="4" t="str">
        <f t="shared" si="9"/>
        <v>Operational</v>
      </c>
      <c r="AE190" s="4" t="str">
        <f t="shared" si="11"/>
        <v>Individual</v>
      </c>
    </row>
    <row r="191" spans="1:31" ht="14" hidden="1" customHeight="1" x14ac:dyDescent="0.35">
      <c r="A191" s="3">
        <v>25</v>
      </c>
      <c r="B191" s="3" t="s">
        <v>199</v>
      </c>
      <c r="C191" s="3" t="s">
        <v>224</v>
      </c>
      <c r="D191" s="53">
        <v>720</v>
      </c>
      <c r="E191" s="49">
        <v>0</v>
      </c>
      <c r="F191" s="49">
        <v>0</v>
      </c>
      <c r="G191" s="49">
        <v>0</v>
      </c>
      <c r="H191" s="49">
        <v>720</v>
      </c>
      <c r="I191" s="49">
        <v>0</v>
      </c>
      <c r="J191" s="49">
        <v>0</v>
      </c>
      <c r="K191" s="49">
        <v>0</v>
      </c>
      <c r="L191" s="49">
        <v>0</v>
      </c>
      <c r="M191" s="49">
        <v>0</v>
      </c>
      <c r="N191" s="49">
        <v>0</v>
      </c>
      <c r="O191" s="57">
        <v>0</v>
      </c>
      <c r="P191" s="57">
        <v>0</v>
      </c>
      <c r="Q191" s="3">
        <v>0</v>
      </c>
      <c r="R191" s="49">
        <v>0</v>
      </c>
      <c r="S191" s="49">
        <v>0</v>
      </c>
      <c r="T191" s="3">
        <v>0</v>
      </c>
      <c r="U191" s="3">
        <f t="shared" si="10"/>
        <v>0</v>
      </c>
      <c r="V191" s="3">
        <v>0</v>
      </c>
      <c r="W191" s="49">
        <v>28997.2399999999</v>
      </c>
      <c r="X191" s="49">
        <v>0</v>
      </c>
      <c r="Y191" s="49">
        <v>0</v>
      </c>
      <c r="Z191" s="49">
        <v>0</v>
      </c>
      <c r="AA191" s="49">
        <v>0</v>
      </c>
      <c r="AB191" s="49">
        <v>0</v>
      </c>
      <c r="AC191" s="4" t="str">
        <f t="shared" si="8"/>
        <v>Excavator</v>
      </c>
      <c r="AD191" s="4" t="str">
        <f t="shared" si="9"/>
        <v>Non-Operational</v>
      </c>
      <c r="AE191" s="4" t="str">
        <f t="shared" si="11"/>
        <v>Individual</v>
      </c>
    </row>
    <row r="192" spans="1:31" ht="14" customHeight="1" x14ac:dyDescent="0.35">
      <c r="A192" s="5">
        <v>26</v>
      </c>
      <c r="B192" s="5" t="s">
        <v>199</v>
      </c>
      <c r="C192" s="5" t="s">
        <v>225</v>
      </c>
      <c r="D192" s="54">
        <v>719.99779999999998</v>
      </c>
      <c r="E192" s="50">
        <v>650.18050000000005</v>
      </c>
      <c r="F192" s="50">
        <v>574.62099999999998</v>
      </c>
      <c r="G192" s="50">
        <v>559.57569999999998</v>
      </c>
      <c r="H192" s="50">
        <v>69.817300000000003</v>
      </c>
      <c r="I192" s="50">
        <v>0</v>
      </c>
      <c r="J192" s="50">
        <v>75.5595</v>
      </c>
      <c r="K192" s="50">
        <v>0</v>
      </c>
      <c r="L192" s="50">
        <v>559.57569999999998</v>
      </c>
      <c r="M192" s="50">
        <v>0</v>
      </c>
      <c r="N192" s="50">
        <v>559.57569999999998</v>
      </c>
      <c r="O192" s="58">
        <v>0.90303123149999998</v>
      </c>
      <c r="P192" s="58">
        <v>0.86064669729999999</v>
      </c>
      <c r="Q192" s="5">
        <v>0</v>
      </c>
      <c r="R192" s="50">
        <v>0</v>
      </c>
      <c r="S192" s="50">
        <v>0</v>
      </c>
      <c r="T192" s="5">
        <v>0</v>
      </c>
      <c r="U192" s="5">
        <f t="shared" si="10"/>
        <v>0</v>
      </c>
      <c r="V192" s="5">
        <v>0</v>
      </c>
      <c r="W192" s="50">
        <v>33699.43</v>
      </c>
      <c r="X192" s="50">
        <v>60.223183390000003</v>
      </c>
      <c r="Y192" s="50">
        <v>33699.43</v>
      </c>
      <c r="Z192" s="50">
        <v>0</v>
      </c>
      <c r="AA192" s="50">
        <v>0</v>
      </c>
      <c r="AB192" s="50">
        <v>0</v>
      </c>
      <c r="AC192" s="4" t="str">
        <f t="shared" si="8"/>
        <v>Excavator</v>
      </c>
      <c r="AD192" s="4" t="str">
        <f t="shared" si="9"/>
        <v>Operational</v>
      </c>
      <c r="AE192" s="4" t="str">
        <f t="shared" si="11"/>
        <v>Individual</v>
      </c>
    </row>
    <row r="193" spans="1:31" ht="14" customHeight="1" x14ac:dyDescent="0.35">
      <c r="A193" s="3">
        <v>27</v>
      </c>
      <c r="B193" s="3" t="s">
        <v>199</v>
      </c>
      <c r="C193" s="3" t="s">
        <v>226</v>
      </c>
      <c r="D193" s="53">
        <v>719.99950000000001</v>
      </c>
      <c r="E193" s="49">
        <v>675.00760000000002</v>
      </c>
      <c r="F193" s="49">
        <v>614.39189999999996</v>
      </c>
      <c r="G193" s="49">
        <v>597.59849999999994</v>
      </c>
      <c r="H193" s="49">
        <v>44.991900000000001</v>
      </c>
      <c r="I193" s="49">
        <v>0</v>
      </c>
      <c r="J193" s="49">
        <v>60.615699999999897</v>
      </c>
      <c r="K193" s="49">
        <v>0</v>
      </c>
      <c r="L193" s="49">
        <v>597.59849999999994</v>
      </c>
      <c r="M193" s="49">
        <v>0</v>
      </c>
      <c r="N193" s="49">
        <v>597.59849999999994</v>
      </c>
      <c r="O193" s="57">
        <v>0.93751120659999998</v>
      </c>
      <c r="P193" s="57">
        <v>0.88532114309999999</v>
      </c>
      <c r="Q193" s="3">
        <v>0</v>
      </c>
      <c r="R193" s="49">
        <v>0</v>
      </c>
      <c r="S193" s="49">
        <v>0</v>
      </c>
      <c r="T193" s="3">
        <v>0</v>
      </c>
      <c r="U193" s="3">
        <f t="shared" si="10"/>
        <v>0</v>
      </c>
      <c r="V193" s="3">
        <v>0</v>
      </c>
      <c r="W193" s="49">
        <v>34169.980000000003</v>
      </c>
      <c r="X193" s="49">
        <v>57.178824910000003</v>
      </c>
      <c r="Y193" s="49">
        <v>34169.980000000003</v>
      </c>
      <c r="Z193" s="49">
        <v>0</v>
      </c>
      <c r="AA193" s="49">
        <v>0</v>
      </c>
      <c r="AB193" s="49">
        <v>0</v>
      </c>
      <c r="AC193" s="4" t="str">
        <f t="shared" si="8"/>
        <v>Excavator</v>
      </c>
      <c r="AD193" s="4" t="str">
        <f t="shared" si="9"/>
        <v>Operational</v>
      </c>
      <c r="AE193" s="4" t="str">
        <f t="shared" si="11"/>
        <v>Individual</v>
      </c>
    </row>
    <row r="194" spans="1:31" ht="14" customHeight="1" x14ac:dyDescent="0.35">
      <c r="A194" s="5">
        <v>28</v>
      </c>
      <c r="B194" s="5" t="s">
        <v>199</v>
      </c>
      <c r="C194" s="5" t="s">
        <v>227</v>
      </c>
      <c r="D194" s="54">
        <v>720.00019999999995</v>
      </c>
      <c r="E194" s="50">
        <v>321.09269999999998</v>
      </c>
      <c r="F194" s="50">
        <v>295.89800000000002</v>
      </c>
      <c r="G194" s="50">
        <v>284.77319999999997</v>
      </c>
      <c r="H194" s="50">
        <v>398.90750000000003</v>
      </c>
      <c r="I194" s="50">
        <v>0</v>
      </c>
      <c r="J194" s="50">
        <v>25.194699999999902</v>
      </c>
      <c r="K194" s="50">
        <v>0</v>
      </c>
      <c r="L194" s="50">
        <v>284.77319999999997</v>
      </c>
      <c r="M194" s="50">
        <v>0</v>
      </c>
      <c r="N194" s="50">
        <v>284.77319999999997</v>
      </c>
      <c r="O194" s="58">
        <v>0.4459619595</v>
      </c>
      <c r="P194" s="58">
        <v>0.8868878053</v>
      </c>
      <c r="Q194" s="5">
        <v>0</v>
      </c>
      <c r="R194" s="50">
        <v>0</v>
      </c>
      <c r="S194" s="50">
        <v>0</v>
      </c>
      <c r="T194" s="5">
        <v>0</v>
      </c>
      <c r="U194" s="5">
        <f t="shared" si="10"/>
        <v>0</v>
      </c>
      <c r="V194" s="5">
        <v>0</v>
      </c>
      <c r="W194" s="50">
        <v>27856.619999999901</v>
      </c>
      <c r="X194" s="50">
        <v>97.820370740000001</v>
      </c>
      <c r="Y194" s="50">
        <v>27856.619999999901</v>
      </c>
      <c r="Z194" s="50">
        <v>0</v>
      </c>
      <c r="AA194" s="50">
        <v>0</v>
      </c>
      <c r="AB194" s="50">
        <v>0</v>
      </c>
      <c r="AC194" s="4" t="str">
        <f t="shared" si="8"/>
        <v>Excavator</v>
      </c>
      <c r="AD194" s="4" t="str">
        <f t="shared" si="9"/>
        <v>Operational</v>
      </c>
      <c r="AE194" s="4" t="str">
        <f t="shared" si="11"/>
        <v>Individual</v>
      </c>
    </row>
    <row r="195" spans="1:31" ht="14" hidden="1" customHeight="1" x14ac:dyDescent="0.35">
      <c r="A195" s="46">
        <v>6</v>
      </c>
      <c r="B195" s="46" t="s">
        <v>199</v>
      </c>
      <c r="C195" s="46">
        <v>28</v>
      </c>
      <c r="D195" s="55">
        <v>719.21160710000004</v>
      </c>
      <c r="E195" s="51">
        <v>396.77620359999997</v>
      </c>
      <c r="F195" s="51">
        <v>348.23085709999998</v>
      </c>
      <c r="G195" s="51">
        <v>336.20565360000001</v>
      </c>
      <c r="H195" s="51">
        <v>322.43540359999997</v>
      </c>
      <c r="I195" s="51">
        <v>0</v>
      </c>
      <c r="J195" s="51">
        <v>48.545346430000002</v>
      </c>
      <c r="K195" s="51">
        <v>0</v>
      </c>
      <c r="L195" s="51">
        <v>336.20565360000001</v>
      </c>
      <c r="M195" s="51">
        <v>0</v>
      </c>
      <c r="N195" s="51">
        <v>336.20565360000001</v>
      </c>
      <c r="O195" s="59">
        <v>0.55168214699999996</v>
      </c>
      <c r="P195" s="59">
        <v>0.84734328960000005</v>
      </c>
      <c r="Q195" s="46">
        <v>0</v>
      </c>
      <c r="R195" s="51">
        <v>0</v>
      </c>
      <c r="S195" s="51">
        <v>0</v>
      </c>
      <c r="T195" s="46">
        <v>0</v>
      </c>
      <c r="U195" s="46">
        <f t="shared" si="10"/>
        <v>0</v>
      </c>
      <c r="V195" s="46">
        <v>0</v>
      </c>
      <c r="W195" s="51">
        <v>20268.2307692307</v>
      </c>
      <c r="X195" s="51">
        <v>2141.7760410000001</v>
      </c>
      <c r="Y195" s="51">
        <v>19919.070399999899</v>
      </c>
      <c r="Z195" s="51">
        <v>0</v>
      </c>
      <c r="AA195" s="51">
        <v>0</v>
      </c>
      <c r="AB195" s="51">
        <v>0</v>
      </c>
      <c r="AC195" s="47" t="str">
        <f t="shared" ref="AC195:AC209" si="12">IF(OR(TRIM(B195)="Tipper",TRIM(B195)="Volvo",TRIM(B195)="Bharatbenz"),"Tipper",IF(OR(TRIM(B195)="Dumper",TRIM(B195)="Sany",TRIM(B195)="Komatsu"),"Dumper",IF(TRIM(B195)="Excavator","Excavator",IF(OR(TRIM(B195)="Front End Loader",TRIM(B195)="Fel"),"Front End Loader",IF(OR(TRIM(B195)="Surface Miner",TRIM(B195)="Csm"),"Surface Miner",IF(TRIM(B195)="Diesel Bowser","Diesel Bowser","Other"))))))</f>
        <v>Excavator</v>
      </c>
      <c r="AD195" s="47" t="str">
        <f t="shared" ref="AD195:AD209" si="13">IF(E195=0,"Non-Operational","Operational")</f>
        <v>Operational</v>
      </c>
      <c r="AE195" s="47" t="str">
        <f t="shared" si="11"/>
        <v>Aggregate</v>
      </c>
    </row>
    <row r="196" spans="1:31" ht="14" hidden="1" customHeight="1" x14ac:dyDescent="0.35">
      <c r="A196" s="5">
        <v>1</v>
      </c>
      <c r="B196" s="5" t="s">
        <v>228</v>
      </c>
      <c r="C196" s="5" t="s">
        <v>229</v>
      </c>
      <c r="D196" s="54">
        <v>720</v>
      </c>
      <c r="E196" s="50">
        <v>0</v>
      </c>
      <c r="F196" s="50">
        <v>0</v>
      </c>
      <c r="G196" s="50">
        <v>0</v>
      </c>
      <c r="H196" s="50">
        <v>720</v>
      </c>
      <c r="I196" s="50">
        <v>0</v>
      </c>
      <c r="J196" s="50">
        <v>0</v>
      </c>
      <c r="K196" s="50">
        <v>0</v>
      </c>
      <c r="L196" s="50">
        <v>0</v>
      </c>
      <c r="M196" s="50">
        <v>0</v>
      </c>
      <c r="N196" s="50">
        <v>0</v>
      </c>
      <c r="O196" s="58">
        <v>0</v>
      </c>
      <c r="P196" s="58">
        <v>0</v>
      </c>
      <c r="Q196" s="5">
        <v>0</v>
      </c>
      <c r="R196" s="50">
        <v>0</v>
      </c>
      <c r="S196" s="50">
        <v>0</v>
      </c>
      <c r="T196" s="5">
        <v>0</v>
      </c>
      <c r="U196" s="5">
        <f t="shared" ref="U196:U209" si="14">T196*V196</f>
        <v>0</v>
      </c>
      <c r="V196" s="5">
        <v>0</v>
      </c>
      <c r="W196" s="50">
        <v>16797.7</v>
      </c>
      <c r="X196" s="50">
        <v>0</v>
      </c>
      <c r="Y196" s="50">
        <v>0</v>
      </c>
      <c r="Z196" s="50">
        <v>0</v>
      </c>
      <c r="AA196" s="50">
        <v>0</v>
      </c>
      <c r="AB196" s="50">
        <v>0</v>
      </c>
      <c r="AC196" s="4" t="str">
        <f t="shared" si="12"/>
        <v>Surface Miner</v>
      </c>
      <c r="AD196" s="4" t="str">
        <f t="shared" si="13"/>
        <v>Non-Operational</v>
      </c>
      <c r="AE196" s="4" t="str">
        <f t="shared" ref="AE196:AE209" si="15">IF(OR(C196=54,C196=67,C196=10,C196=16,C196=6,C196=12,C196=28),"Aggregate","Individual")</f>
        <v>Individual</v>
      </c>
    </row>
    <row r="197" spans="1:31" ht="14" customHeight="1" x14ac:dyDescent="0.35">
      <c r="A197" s="3">
        <v>2</v>
      </c>
      <c r="B197" s="3" t="s">
        <v>228</v>
      </c>
      <c r="C197" s="3" t="s">
        <v>230</v>
      </c>
      <c r="D197" s="53">
        <v>708.64390000000003</v>
      </c>
      <c r="E197" s="49">
        <v>305.17559999999997</v>
      </c>
      <c r="F197" s="49">
        <v>275.67430000000002</v>
      </c>
      <c r="G197" s="49">
        <v>268.13979999999998</v>
      </c>
      <c r="H197" s="49">
        <v>403.4683</v>
      </c>
      <c r="I197" s="49">
        <v>0</v>
      </c>
      <c r="J197" s="49">
        <v>29.501300000000001</v>
      </c>
      <c r="K197" s="49">
        <v>0</v>
      </c>
      <c r="L197" s="49">
        <v>268.13979999999998</v>
      </c>
      <c r="M197" s="49">
        <v>0</v>
      </c>
      <c r="N197" s="49">
        <v>268.13979999999998</v>
      </c>
      <c r="O197" s="57">
        <v>0.43064732509999998</v>
      </c>
      <c r="P197" s="57">
        <v>0.87864101849999998</v>
      </c>
      <c r="Q197" s="3">
        <v>0</v>
      </c>
      <c r="R197" s="49">
        <v>0</v>
      </c>
      <c r="S197" s="49">
        <v>0</v>
      </c>
      <c r="T197" s="3">
        <v>0</v>
      </c>
      <c r="U197" s="3">
        <f t="shared" si="14"/>
        <v>0</v>
      </c>
      <c r="V197" s="3">
        <v>0</v>
      </c>
      <c r="W197" s="49">
        <v>19186.39</v>
      </c>
      <c r="X197" s="49">
        <v>71.553682069999994</v>
      </c>
      <c r="Y197" s="49">
        <v>19186.39</v>
      </c>
      <c r="Z197" s="49">
        <v>0</v>
      </c>
      <c r="AA197" s="49">
        <v>0</v>
      </c>
      <c r="AB197" s="49">
        <v>0</v>
      </c>
      <c r="AC197" s="4" t="str">
        <f t="shared" si="12"/>
        <v>Surface Miner</v>
      </c>
      <c r="AD197" s="4" t="str">
        <f t="shared" si="13"/>
        <v>Operational</v>
      </c>
      <c r="AE197" s="4" t="str">
        <f t="shared" si="15"/>
        <v>Individual</v>
      </c>
    </row>
    <row r="198" spans="1:31" ht="14" customHeight="1" x14ac:dyDescent="0.35">
      <c r="A198" s="5">
        <v>3</v>
      </c>
      <c r="B198" s="5" t="s">
        <v>228</v>
      </c>
      <c r="C198" s="5" t="s">
        <v>231</v>
      </c>
      <c r="D198" s="54">
        <v>718.10699999999895</v>
      </c>
      <c r="E198" s="50">
        <v>395.24209999999999</v>
      </c>
      <c r="F198" s="50">
        <v>393.08850000000001</v>
      </c>
      <c r="G198" s="50">
        <v>368.71159999999998</v>
      </c>
      <c r="H198" s="50">
        <v>322.86489999999901</v>
      </c>
      <c r="I198" s="50">
        <v>0</v>
      </c>
      <c r="J198" s="50">
        <v>2.1536</v>
      </c>
      <c r="K198" s="50">
        <v>0</v>
      </c>
      <c r="L198" s="50">
        <v>368.71159999999998</v>
      </c>
      <c r="M198" s="50">
        <v>0</v>
      </c>
      <c r="N198" s="50">
        <v>368.71159999999998</v>
      </c>
      <c r="O198" s="58">
        <v>0.55039443980000002</v>
      </c>
      <c r="P198" s="58">
        <v>0.93287531869999996</v>
      </c>
      <c r="Q198" s="5">
        <v>0</v>
      </c>
      <c r="R198" s="50">
        <v>0</v>
      </c>
      <c r="S198" s="50">
        <v>0</v>
      </c>
      <c r="T198" s="5">
        <v>0</v>
      </c>
      <c r="U198" s="5">
        <f t="shared" si="14"/>
        <v>0</v>
      </c>
      <c r="V198" s="5">
        <v>0</v>
      </c>
      <c r="W198" s="50">
        <v>14258.46</v>
      </c>
      <c r="X198" s="50">
        <v>38.671037200000001</v>
      </c>
      <c r="Y198" s="50">
        <v>14258.46</v>
      </c>
      <c r="Z198" s="50">
        <v>0</v>
      </c>
      <c r="AA198" s="50">
        <v>0</v>
      </c>
      <c r="AB198" s="50">
        <v>0</v>
      </c>
      <c r="AC198" s="4" t="str">
        <f t="shared" si="12"/>
        <v>Surface Miner</v>
      </c>
      <c r="AD198" s="4" t="str">
        <f t="shared" si="13"/>
        <v>Operational</v>
      </c>
      <c r="AE198" s="4" t="str">
        <f t="shared" si="15"/>
        <v>Individual</v>
      </c>
    </row>
    <row r="199" spans="1:31" ht="14" customHeight="1" x14ac:dyDescent="0.35">
      <c r="A199" s="3">
        <v>4</v>
      </c>
      <c r="B199" s="3" t="s">
        <v>228</v>
      </c>
      <c r="C199" s="3" t="s">
        <v>232</v>
      </c>
      <c r="D199" s="53">
        <v>708.49389999999903</v>
      </c>
      <c r="E199" s="49">
        <v>316.22809999999902</v>
      </c>
      <c r="F199" s="49">
        <v>284.94719999999899</v>
      </c>
      <c r="G199" s="49">
        <v>278.24679999999898</v>
      </c>
      <c r="H199" s="49">
        <v>392.26580000000001</v>
      </c>
      <c r="I199" s="49">
        <v>0</v>
      </c>
      <c r="J199" s="49">
        <v>31.280899999999999</v>
      </c>
      <c r="K199" s="49">
        <v>0</v>
      </c>
      <c r="L199" s="49">
        <v>278.24679999999898</v>
      </c>
      <c r="M199" s="49">
        <v>0</v>
      </c>
      <c r="N199" s="49">
        <v>278.24679999999898</v>
      </c>
      <c r="O199" s="57">
        <v>0.44633849349999999</v>
      </c>
      <c r="P199" s="57">
        <v>0.87989271040000006</v>
      </c>
      <c r="Q199" s="3">
        <v>0</v>
      </c>
      <c r="R199" s="49">
        <v>0</v>
      </c>
      <c r="S199" s="49">
        <v>0</v>
      </c>
      <c r="T199" s="3">
        <v>0</v>
      </c>
      <c r="U199" s="3">
        <f t="shared" si="14"/>
        <v>0</v>
      </c>
      <c r="V199" s="3">
        <v>0</v>
      </c>
      <c r="W199" s="49">
        <v>17858.84</v>
      </c>
      <c r="X199" s="49">
        <v>64.183451529999999</v>
      </c>
      <c r="Y199" s="49">
        <v>17858.84</v>
      </c>
      <c r="Z199" s="49">
        <v>0</v>
      </c>
      <c r="AA199" s="49">
        <v>0</v>
      </c>
      <c r="AB199" s="49">
        <v>0</v>
      </c>
      <c r="AC199" s="4" t="str">
        <f t="shared" si="12"/>
        <v>Surface Miner</v>
      </c>
      <c r="AD199" s="4" t="str">
        <f t="shared" si="13"/>
        <v>Operational</v>
      </c>
      <c r="AE199" s="4" t="str">
        <f t="shared" si="15"/>
        <v>Individual</v>
      </c>
    </row>
    <row r="200" spans="1:31" ht="14" customHeight="1" x14ac:dyDescent="0.35">
      <c r="A200" s="5">
        <v>5</v>
      </c>
      <c r="B200" s="5" t="s">
        <v>228</v>
      </c>
      <c r="C200" s="5" t="s">
        <v>233</v>
      </c>
      <c r="D200" s="54">
        <v>714.51009999999906</v>
      </c>
      <c r="E200" s="50">
        <v>445.73379999999901</v>
      </c>
      <c r="F200" s="50">
        <v>397.63739999999899</v>
      </c>
      <c r="G200" s="50">
        <v>387.47989999999999</v>
      </c>
      <c r="H200" s="50">
        <v>268.77629999999999</v>
      </c>
      <c r="I200" s="50">
        <v>0</v>
      </c>
      <c r="J200" s="50">
        <v>48.096400000000003</v>
      </c>
      <c r="K200" s="50">
        <v>0</v>
      </c>
      <c r="L200" s="50">
        <v>387.47989999999999</v>
      </c>
      <c r="M200" s="50">
        <v>0</v>
      </c>
      <c r="N200" s="50">
        <v>387.47989999999999</v>
      </c>
      <c r="O200" s="58">
        <v>0.62383134959999997</v>
      </c>
      <c r="P200" s="58">
        <v>0.86930786940000004</v>
      </c>
      <c r="Q200" s="5">
        <v>0</v>
      </c>
      <c r="R200" s="50">
        <v>0</v>
      </c>
      <c r="S200" s="50">
        <v>0</v>
      </c>
      <c r="T200" s="5">
        <v>0</v>
      </c>
      <c r="U200" s="5">
        <f t="shared" si="14"/>
        <v>0</v>
      </c>
      <c r="V200" s="5">
        <v>0</v>
      </c>
      <c r="W200" s="50">
        <v>33431.1499999999</v>
      </c>
      <c r="X200" s="50">
        <v>86.278410829999999</v>
      </c>
      <c r="Y200" s="50">
        <v>33431.1499999999</v>
      </c>
      <c r="Z200" s="50">
        <v>0</v>
      </c>
      <c r="AA200" s="50">
        <v>0</v>
      </c>
      <c r="AB200" s="50">
        <v>0</v>
      </c>
      <c r="AC200" s="4" t="str">
        <f t="shared" si="12"/>
        <v>Surface Miner</v>
      </c>
      <c r="AD200" s="4" t="str">
        <f t="shared" si="13"/>
        <v>Operational</v>
      </c>
      <c r="AE200" s="4" t="str">
        <f t="shared" si="15"/>
        <v>Individual</v>
      </c>
    </row>
    <row r="201" spans="1:31" ht="14" customHeight="1" x14ac:dyDescent="0.35">
      <c r="A201" s="3">
        <v>6</v>
      </c>
      <c r="B201" s="3" t="s">
        <v>228</v>
      </c>
      <c r="C201" s="3" t="s">
        <v>234</v>
      </c>
      <c r="D201" s="53">
        <v>717.55359999999996</v>
      </c>
      <c r="E201" s="49">
        <v>423.61679999999899</v>
      </c>
      <c r="F201" s="49">
        <v>381.074199999999</v>
      </c>
      <c r="G201" s="49">
        <v>375.44290000000001</v>
      </c>
      <c r="H201" s="49">
        <v>293.93680000000001</v>
      </c>
      <c r="I201" s="49">
        <v>0</v>
      </c>
      <c r="J201" s="49">
        <v>42.5426</v>
      </c>
      <c r="K201" s="49">
        <v>0</v>
      </c>
      <c r="L201" s="49">
        <v>375.44290000000001</v>
      </c>
      <c r="M201" s="49">
        <v>0</v>
      </c>
      <c r="N201" s="49">
        <v>375.44290000000001</v>
      </c>
      <c r="O201" s="57">
        <v>0.59036258750000004</v>
      </c>
      <c r="P201" s="57">
        <v>0.88627953380000002</v>
      </c>
      <c r="Q201" s="3">
        <v>0</v>
      </c>
      <c r="R201" s="49">
        <v>0</v>
      </c>
      <c r="S201" s="49">
        <v>0</v>
      </c>
      <c r="T201" s="3">
        <v>0</v>
      </c>
      <c r="U201" s="3">
        <f t="shared" si="14"/>
        <v>0</v>
      </c>
      <c r="V201" s="3">
        <v>0</v>
      </c>
      <c r="W201" s="49">
        <v>29524.560000000001</v>
      </c>
      <c r="X201" s="49">
        <v>78.639281769999997</v>
      </c>
      <c r="Y201" s="49">
        <v>29524.559999999899</v>
      </c>
      <c r="Z201" s="49">
        <v>0</v>
      </c>
      <c r="AA201" s="49">
        <v>0</v>
      </c>
      <c r="AB201" s="49">
        <v>0</v>
      </c>
      <c r="AC201" s="4" t="str">
        <f t="shared" si="12"/>
        <v>Surface Miner</v>
      </c>
      <c r="AD201" s="4" t="str">
        <f t="shared" si="13"/>
        <v>Operational</v>
      </c>
      <c r="AE201" s="4" t="str">
        <f t="shared" si="15"/>
        <v>Individual</v>
      </c>
    </row>
    <row r="202" spans="1:31" ht="14" hidden="1" customHeight="1" x14ac:dyDescent="0.35">
      <c r="A202" s="48">
        <v>7</v>
      </c>
      <c r="B202" s="48" t="s">
        <v>235</v>
      </c>
      <c r="C202" s="48">
        <v>6</v>
      </c>
      <c r="D202" s="56">
        <v>714.5514167</v>
      </c>
      <c r="E202" s="52">
        <v>314.33273329999997</v>
      </c>
      <c r="F202" s="52">
        <v>288.73693329999998</v>
      </c>
      <c r="G202" s="52">
        <v>279.67016669999998</v>
      </c>
      <c r="H202" s="52">
        <v>400.21868330000001</v>
      </c>
      <c r="I202" s="52">
        <v>0</v>
      </c>
      <c r="J202" s="52">
        <v>25.595800000000001</v>
      </c>
      <c r="K202" s="52">
        <v>0</v>
      </c>
      <c r="L202" s="52">
        <v>279.67016669999998</v>
      </c>
      <c r="M202" s="52">
        <v>0</v>
      </c>
      <c r="N202" s="52">
        <v>279.67016669999998</v>
      </c>
      <c r="O202" s="60">
        <v>0.4399021904</v>
      </c>
      <c r="P202" s="60">
        <v>0.88972651270000003</v>
      </c>
      <c r="Q202" s="48">
        <v>0</v>
      </c>
      <c r="R202" s="52">
        <v>0</v>
      </c>
      <c r="S202" s="52">
        <v>0</v>
      </c>
      <c r="T202" s="48">
        <v>0</v>
      </c>
      <c r="U202" s="48">
        <f t="shared" si="14"/>
        <v>0</v>
      </c>
      <c r="V202" s="48">
        <v>0</v>
      </c>
      <c r="W202" s="52">
        <v>21842.85</v>
      </c>
      <c r="X202" s="52">
        <v>67.865172680000001</v>
      </c>
      <c r="Y202" s="52">
        <v>22851.879999999899</v>
      </c>
      <c r="Z202" s="52">
        <v>0</v>
      </c>
      <c r="AA202" s="52">
        <v>0</v>
      </c>
      <c r="AB202" s="52">
        <v>0</v>
      </c>
      <c r="AC202" s="47" t="str">
        <f t="shared" si="12"/>
        <v>Surface Miner</v>
      </c>
      <c r="AD202" s="47" t="str">
        <f t="shared" si="13"/>
        <v>Operational</v>
      </c>
      <c r="AE202" s="47" t="str">
        <f t="shared" si="15"/>
        <v>Aggregate</v>
      </c>
    </row>
    <row r="203" spans="1:31" ht="14" hidden="1" customHeight="1" x14ac:dyDescent="0.35">
      <c r="A203" s="3">
        <v>1</v>
      </c>
      <c r="B203" s="3" t="s">
        <v>236</v>
      </c>
      <c r="C203" s="3" t="s">
        <v>237</v>
      </c>
      <c r="D203" s="53">
        <v>720.000799999999</v>
      </c>
      <c r="E203" s="49">
        <v>448.91739999999902</v>
      </c>
      <c r="F203" s="49">
        <v>11.382300000000001</v>
      </c>
      <c r="G203" s="49">
        <v>1.1361999999999901</v>
      </c>
      <c r="H203" s="49">
        <v>271.08339999999998</v>
      </c>
      <c r="I203" s="49">
        <v>2.1063000000000001</v>
      </c>
      <c r="J203" s="49">
        <v>437.53509999999898</v>
      </c>
      <c r="K203" s="49">
        <v>13.858499999999999</v>
      </c>
      <c r="L203" s="49">
        <v>1.1361999999999901</v>
      </c>
      <c r="M203" s="49">
        <v>15.9648</v>
      </c>
      <c r="N203" s="49">
        <v>17.100999999999999</v>
      </c>
      <c r="O203" s="57">
        <v>0.6234956961</v>
      </c>
      <c r="P203" s="57">
        <v>2.5309779000000001E-3</v>
      </c>
      <c r="Q203" s="3">
        <v>0</v>
      </c>
      <c r="R203" s="49">
        <v>0</v>
      </c>
      <c r="S203" s="49">
        <v>0</v>
      </c>
      <c r="T203" s="3">
        <v>0</v>
      </c>
      <c r="U203" s="3">
        <f t="shared" si="14"/>
        <v>0</v>
      </c>
      <c r="V203" s="3">
        <v>0</v>
      </c>
      <c r="W203" s="49">
        <v>899.37</v>
      </c>
      <c r="X203" s="49">
        <v>52.591661309999999</v>
      </c>
      <c r="Y203" s="49">
        <v>59.754645580000002</v>
      </c>
      <c r="Z203" s="49">
        <v>839.6153544</v>
      </c>
      <c r="AA203" s="49">
        <v>0</v>
      </c>
      <c r="AB203" s="49">
        <v>0</v>
      </c>
      <c r="AC203" s="4" t="str">
        <f t="shared" si="12"/>
        <v>Diesel Bowser</v>
      </c>
      <c r="AD203" s="4" t="str">
        <f t="shared" si="13"/>
        <v>Operational</v>
      </c>
      <c r="AE203" s="4" t="str">
        <f t="shared" si="15"/>
        <v>Individual</v>
      </c>
    </row>
    <row r="204" spans="1:31" ht="14" hidden="1" customHeight="1" x14ac:dyDescent="0.35">
      <c r="A204" s="5">
        <v>2</v>
      </c>
      <c r="B204" s="5" t="s">
        <v>236</v>
      </c>
      <c r="C204" s="5" t="s">
        <v>238</v>
      </c>
      <c r="D204" s="54">
        <v>720.00139999999999</v>
      </c>
      <c r="E204" s="50">
        <v>481.22739999999999</v>
      </c>
      <c r="F204" s="50">
        <v>145.3486</v>
      </c>
      <c r="G204" s="50">
        <v>112.09699999999999</v>
      </c>
      <c r="H204" s="50">
        <v>238.774</v>
      </c>
      <c r="I204" s="50">
        <v>11.3293</v>
      </c>
      <c r="J204" s="50">
        <v>335.87880000000001</v>
      </c>
      <c r="K204" s="50">
        <v>3.3363</v>
      </c>
      <c r="L204" s="50">
        <v>112.09699999999999</v>
      </c>
      <c r="M204" s="50">
        <v>14.6656</v>
      </c>
      <c r="N204" s="50">
        <v>126.762599999999</v>
      </c>
      <c r="O204" s="58">
        <v>0.66837008929999997</v>
      </c>
      <c r="P204" s="58">
        <v>0.23293977029999999</v>
      </c>
      <c r="Q204" s="5">
        <v>0</v>
      </c>
      <c r="R204" s="50">
        <v>0</v>
      </c>
      <c r="S204" s="50">
        <v>0</v>
      </c>
      <c r="T204" s="5">
        <v>0</v>
      </c>
      <c r="U204" s="5">
        <f t="shared" si="14"/>
        <v>0</v>
      </c>
      <c r="V204" s="5">
        <v>0</v>
      </c>
      <c r="W204" s="50">
        <v>885.98</v>
      </c>
      <c r="X204" s="50">
        <v>6.9892854829999997</v>
      </c>
      <c r="Y204" s="50">
        <v>783.47793479999996</v>
      </c>
      <c r="Z204" s="50">
        <v>102.5020652</v>
      </c>
      <c r="AA204" s="50">
        <v>0</v>
      </c>
      <c r="AB204" s="50">
        <v>0</v>
      </c>
      <c r="AC204" s="4" t="str">
        <f t="shared" si="12"/>
        <v>Diesel Bowser</v>
      </c>
      <c r="AD204" s="4" t="str">
        <f t="shared" si="13"/>
        <v>Operational</v>
      </c>
      <c r="AE204" s="4" t="str">
        <f t="shared" si="15"/>
        <v>Individual</v>
      </c>
    </row>
    <row r="205" spans="1:31" ht="14" hidden="1" customHeight="1" x14ac:dyDescent="0.35">
      <c r="A205" s="3">
        <v>3</v>
      </c>
      <c r="B205" s="3" t="s">
        <v>236</v>
      </c>
      <c r="C205" s="3" t="s">
        <v>239</v>
      </c>
      <c r="D205" s="53">
        <v>720.00049999999999</v>
      </c>
      <c r="E205" s="49">
        <v>385.30009999999999</v>
      </c>
      <c r="F205" s="49">
        <v>47.4407</v>
      </c>
      <c r="G205" s="49">
        <v>45.373199999999997</v>
      </c>
      <c r="H205" s="49">
        <v>334.70039999999898</v>
      </c>
      <c r="I205" s="49">
        <v>4.0147000000000004</v>
      </c>
      <c r="J205" s="49">
        <v>337.85939999999999</v>
      </c>
      <c r="K205" s="49">
        <v>1.9221999999999999</v>
      </c>
      <c r="L205" s="49">
        <v>45.373199999999997</v>
      </c>
      <c r="M205" s="49">
        <v>5.9368999999999996</v>
      </c>
      <c r="N205" s="49">
        <v>51.310099999999998</v>
      </c>
      <c r="O205" s="57">
        <v>0.53513865620000001</v>
      </c>
      <c r="P205" s="57">
        <v>0.1177606754</v>
      </c>
      <c r="Q205" s="3">
        <v>0</v>
      </c>
      <c r="R205" s="49">
        <v>0</v>
      </c>
      <c r="S205" s="49">
        <v>0</v>
      </c>
      <c r="T205" s="3">
        <v>0</v>
      </c>
      <c r="U205" s="3">
        <f t="shared" si="14"/>
        <v>0</v>
      </c>
      <c r="V205" s="3">
        <v>0</v>
      </c>
      <c r="W205" s="49">
        <v>643</v>
      </c>
      <c r="X205" s="49">
        <v>12.53164582</v>
      </c>
      <c r="Y205" s="49">
        <v>568.60087199999998</v>
      </c>
      <c r="Z205" s="49">
        <v>74.399128050000002</v>
      </c>
      <c r="AA205" s="49">
        <v>0</v>
      </c>
      <c r="AB205" s="49">
        <v>0</v>
      </c>
      <c r="AC205" s="4" t="str">
        <f t="shared" si="12"/>
        <v>Diesel Bowser</v>
      </c>
      <c r="AD205" s="4" t="str">
        <f t="shared" si="13"/>
        <v>Operational</v>
      </c>
      <c r="AE205" s="4" t="str">
        <f t="shared" si="15"/>
        <v>Individual</v>
      </c>
    </row>
    <row r="206" spans="1:31" ht="14" hidden="1" customHeight="1" x14ac:dyDescent="0.35">
      <c r="A206" s="5">
        <v>4</v>
      </c>
      <c r="B206" s="5" t="s">
        <v>236</v>
      </c>
      <c r="C206" s="5" t="s">
        <v>240</v>
      </c>
      <c r="D206" s="54">
        <v>720</v>
      </c>
      <c r="E206" s="50">
        <v>720</v>
      </c>
      <c r="F206" s="50">
        <v>720</v>
      </c>
      <c r="G206" s="50">
        <v>0</v>
      </c>
      <c r="H206" s="50">
        <v>0</v>
      </c>
      <c r="I206" s="50">
        <v>0</v>
      </c>
      <c r="J206" s="50">
        <v>0</v>
      </c>
      <c r="K206" s="50">
        <v>0</v>
      </c>
      <c r="L206" s="50">
        <v>0</v>
      </c>
      <c r="M206" s="50">
        <v>0</v>
      </c>
      <c r="N206" s="50">
        <v>0</v>
      </c>
      <c r="O206" s="58">
        <v>1</v>
      </c>
      <c r="P206" s="58">
        <v>0</v>
      </c>
      <c r="Q206" s="5">
        <v>0</v>
      </c>
      <c r="R206" s="50">
        <v>0</v>
      </c>
      <c r="S206" s="50">
        <v>0</v>
      </c>
      <c r="T206" s="5">
        <v>0</v>
      </c>
      <c r="U206" s="5">
        <f t="shared" si="14"/>
        <v>0</v>
      </c>
      <c r="V206" s="5">
        <v>0</v>
      </c>
      <c r="W206" s="50">
        <v>0</v>
      </c>
      <c r="X206" s="50">
        <v>0</v>
      </c>
      <c r="Y206" s="50">
        <v>0</v>
      </c>
      <c r="Z206" s="50">
        <v>0</v>
      </c>
      <c r="AA206" s="50">
        <v>0</v>
      </c>
      <c r="AB206" s="50">
        <v>0</v>
      </c>
      <c r="AC206" s="4" t="str">
        <f t="shared" si="12"/>
        <v>Diesel Bowser</v>
      </c>
      <c r="AD206" s="4" t="str">
        <f t="shared" si="13"/>
        <v>Operational</v>
      </c>
      <c r="AE206" s="4" t="str">
        <f t="shared" si="15"/>
        <v>Individual</v>
      </c>
    </row>
    <row r="207" spans="1:31" ht="14" hidden="1" customHeight="1" x14ac:dyDescent="0.35">
      <c r="A207" s="3">
        <v>5</v>
      </c>
      <c r="B207" s="3" t="s">
        <v>236</v>
      </c>
      <c r="C207" s="3" t="s">
        <v>241</v>
      </c>
      <c r="D207" s="53">
        <v>720.00149999999906</v>
      </c>
      <c r="E207" s="49">
        <v>556.005799999999</v>
      </c>
      <c r="F207" s="49">
        <v>79.932399999999902</v>
      </c>
      <c r="G207" s="49">
        <v>78.891099999999895</v>
      </c>
      <c r="H207" s="49">
        <v>163.995699999999</v>
      </c>
      <c r="I207" s="49">
        <v>32.593899999999998</v>
      </c>
      <c r="J207" s="49">
        <v>476.07339999999999</v>
      </c>
      <c r="K207" s="49">
        <v>19.667000000000002</v>
      </c>
      <c r="L207" s="49">
        <v>78.891099999999895</v>
      </c>
      <c r="M207" s="49">
        <v>52.260899999999999</v>
      </c>
      <c r="N207" s="49">
        <v>131.15199999999999</v>
      </c>
      <c r="O207" s="57">
        <v>0.77222866899999998</v>
      </c>
      <c r="P207" s="57">
        <v>0.14188898750000001</v>
      </c>
      <c r="Q207" s="3">
        <v>0</v>
      </c>
      <c r="R207" s="49">
        <v>0</v>
      </c>
      <c r="S207" s="49">
        <v>0</v>
      </c>
      <c r="T207" s="3">
        <v>0</v>
      </c>
      <c r="U207" s="3">
        <f t="shared" si="14"/>
        <v>0</v>
      </c>
      <c r="V207" s="3">
        <v>0</v>
      </c>
      <c r="W207" s="49">
        <v>1047.24</v>
      </c>
      <c r="X207" s="49">
        <v>7.9849335119999996</v>
      </c>
      <c r="Y207" s="49">
        <v>629.94018819999997</v>
      </c>
      <c r="Z207" s="49">
        <v>417.29981179999999</v>
      </c>
      <c r="AA207" s="49">
        <v>0</v>
      </c>
      <c r="AB207" s="49">
        <v>0</v>
      </c>
      <c r="AC207" s="4" t="str">
        <f t="shared" si="12"/>
        <v>Diesel Bowser</v>
      </c>
      <c r="AD207" s="4" t="str">
        <f t="shared" si="13"/>
        <v>Operational</v>
      </c>
      <c r="AE207" s="4" t="str">
        <f t="shared" si="15"/>
        <v>Individual</v>
      </c>
    </row>
    <row r="208" spans="1:31" ht="14" customHeight="1" x14ac:dyDescent="0.35">
      <c r="A208" s="5">
        <v>6</v>
      </c>
      <c r="B208" s="5" t="s">
        <v>236</v>
      </c>
      <c r="C208" s="5" t="s">
        <v>242</v>
      </c>
      <c r="D208" s="54">
        <v>720.00069999999903</v>
      </c>
      <c r="E208" s="50">
        <v>336.28739999999902</v>
      </c>
      <c r="F208" s="50">
        <v>174.725999999999</v>
      </c>
      <c r="G208" s="50">
        <v>172.58819999999901</v>
      </c>
      <c r="H208" s="50">
        <v>383.71329999999898</v>
      </c>
      <c r="I208" s="50">
        <v>6.6942000000000004</v>
      </c>
      <c r="J208" s="50">
        <v>161.56139999999999</v>
      </c>
      <c r="K208" s="50">
        <v>3.0518999999999998</v>
      </c>
      <c r="L208" s="50">
        <v>172.58819999999901</v>
      </c>
      <c r="M208" s="50">
        <v>9.7461000000000002</v>
      </c>
      <c r="N208" s="50">
        <v>182.33429999999899</v>
      </c>
      <c r="O208" s="58">
        <v>0.46706537920000002</v>
      </c>
      <c r="P208" s="58">
        <v>0.51321637389999997</v>
      </c>
      <c r="Q208" s="5">
        <v>0</v>
      </c>
      <c r="R208" s="50">
        <v>0</v>
      </c>
      <c r="S208" s="50">
        <v>0</v>
      </c>
      <c r="T208" s="5">
        <v>0</v>
      </c>
      <c r="U208" s="5">
        <f t="shared" si="14"/>
        <v>0</v>
      </c>
      <c r="V208" s="5">
        <v>0</v>
      </c>
      <c r="W208" s="50">
        <v>910.58</v>
      </c>
      <c r="X208" s="50">
        <v>4.994013743</v>
      </c>
      <c r="Y208" s="50">
        <v>861.90784269999995</v>
      </c>
      <c r="Z208" s="50">
        <v>48.672157339999998</v>
      </c>
      <c r="AA208" s="50">
        <v>0</v>
      </c>
      <c r="AB208" s="50">
        <v>0</v>
      </c>
      <c r="AC208" s="4" t="str">
        <f t="shared" si="12"/>
        <v>Diesel Bowser</v>
      </c>
      <c r="AD208" s="4" t="str">
        <f t="shared" si="13"/>
        <v>Operational</v>
      </c>
      <c r="AE208" s="4" t="str">
        <f t="shared" si="15"/>
        <v>Individual</v>
      </c>
    </row>
    <row r="209" spans="1:31" ht="14" hidden="1" customHeight="1" x14ac:dyDescent="0.35">
      <c r="A209" s="46">
        <v>8</v>
      </c>
      <c r="B209" s="46" t="s">
        <v>236</v>
      </c>
      <c r="C209" s="46">
        <v>6</v>
      </c>
      <c r="D209" s="55">
        <v>720.00081669999997</v>
      </c>
      <c r="E209" s="51">
        <v>487.95634999999999</v>
      </c>
      <c r="F209" s="51">
        <v>196.47166669999999</v>
      </c>
      <c r="G209" s="51">
        <v>68.347616669999994</v>
      </c>
      <c r="H209" s="51">
        <v>232.04446669999999</v>
      </c>
      <c r="I209" s="51">
        <v>9.4564000000000004</v>
      </c>
      <c r="J209" s="51">
        <v>291.48468329999997</v>
      </c>
      <c r="K209" s="51">
        <v>6.9726499999999998</v>
      </c>
      <c r="L209" s="51">
        <v>68.347616669999994</v>
      </c>
      <c r="M209" s="51">
        <v>16.42905</v>
      </c>
      <c r="N209" s="51">
        <v>84.776666669999997</v>
      </c>
      <c r="O209" s="59">
        <v>0.67771638410000001</v>
      </c>
      <c r="P209" s="59">
        <v>0.14006912029999999</v>
      </c>
      <c r="Q209" s="46">
        <v>0</v>
      </c>
      <c r="R209" s="51">
        <v>0</v>
      </c>
      <c r="S209" s="51">
        <v>0</v>
      </c>
      <c r="T209" s="46">
        <v>0</v>
      </c>
      <c r="U209" s="46">
        <f t="shared" si="14"/>
        <v>0</v>
      </c>
      <c r="V209" s="46">
        <v>0</v>
      </c>
      <c r="W209" s="51">
        <v>877.23400000000004</v>
      </c>
      <c r="X209" s="51">
        <v>17.018307969999999</v>
      </c>
      <c r="Y209" s="51">
        <v>580.73629659999995</v>
      </c>
      <c r="Z209" s="51">
        <v>296.49770339999998</v>
      </c>
      <c r="AA209" s="51">
        <v>0</v>
      </c>
      <c r="AB209" s="51">
        <v>0</v>
      </c>
      <c r="AC209" s="47" t="str">
        <f t="shared" si="12"/>
        <v>Diesel Bowser</v>
      </c>
      <c r="AD209" s="47" t="str">
        <f t="shared" si="13"/>
        <v>Operational</v>
      </c>
      <c r="AE209" s="47" t="str">
        <f t="shared" si="15"/>
        <v>Aggregate</v>
      </c>
    </row>
  </sheetData>
  <autoFilter ref="A2:AE209" xr:uid="{00000000-0001-0000-0000-000000000000}">
    <filterColumn colId="15">
      <filters>
        <filter val="40.01%"/>
        <filter val="40.37%"/>
        <filter val="41.16%"/>
        <filter val="41.46%"/>
        <filter val="42.57%"/>
        <filter val="43.01%"/>
        <filter val="43.90%"/>
        <filter val="44.42%"/>
        <filter val="44.77%"/>
        <filter val="45.01%"/>
        <filter val="45.58%"/>
        <filter val="45.78%"/>
        <filter val="46.32%"/>
        <filter val="46.81%"/>
        <filter val="46.93%"/>
        <filter val="46.95%"/>
        <filter val="47.61%"/>
        <filter val="47.87%"/>
        <filter val="47.99%"/>
        <filter val="48.60%"/>
        <filter val="48.73%"/>
        <filter val="50.58%"/>
        <filter val="50.72%"/>
        <filter val="50.91%"/>
        <filter val="51.16%"/>
        <filter val="51.32%"/>
        <filter val="51.99%"/>
        <filter val="52.87%"/>
        <filter val="53.16%"/>
        <filter val="53.20%"/>
        <filter val="53.62%"/>
        <filter val="53.93%"/>
        <filter val="53.96%"/>
        <filter val="54.30%"/>
        <filter val="54.57%"/>
        <filter val="54.94%"/>
        <filter val="55.17%"/>
        <filter val="55.49%"/>
        <filter val="55.90%"/>
        <filter val="56.11%"/>
        <filter val="56.46%"/>
        <filter val="57.90%"/>
        <filter val="58.15%"/>
        <filter val="60.57%"/>
        <filter val="60.63%"/>
        <filter val="60.64%"/>
        <filter val="60.88%"/>
        <filter val="61.27%"/>
        <filter val="61.72%"/>
        <filter val="62.32%"/>
        <filter val="63.26%"/>
        <filter val="63.52%"/>
        <filter val="64.89%"/>
        <filter val="65.91%"/>
        <filter val="72.71%"/>
        <filter val="75.92%"/>
        <filter val="76.91%"/>
        <filter val="78.50%"/>
        <filter val="80.89%"/>
        <filter val="81.97%"/>
        <filter val="82.03%"/>
        <filter val="82.10%"/>
        <filter val="82.39%"/>
        <filter val="82.66%"/>
        <filter val="83.15%"/>
        <filter val="83.31%"/>
        <filter val="83.42%"/>
        <filter val="83.82%"/>
        <filter val="83.83%"/>
        <filter val="83.96%"/>
        <filter val="84.02%"/>
        <filter val="84.45%"/>
        <filter val="84.79%"/>
        <filter val="84.90%"/>
        <filter val="84.91%"/>
        <filter val="84.95%"/>
        <filter val="85.06%"/>
        <filter val="85.24%"/>
        <filter val="85.41%"/>
        <filter val="85.42%"/>
        <filter val="85.43%"/>
        <filter val="85.44%"/>
        <filter val="85.67%"/>
        <filter val="85.68%"/>
        <filter val="85.69%"/>
        <filter val="85.76%"/>
        <filter val="85.90%"/>
        <filter val="86.00%"/>
        <filter val="86.05%"/>
        <filter val="86.06%"/>
        <filter val="86.11%"/>
        <filter val="86.18%"/>
        <filter val="86.19%"/>
        <filter val="86.21%"/>
        <filter val="86.32%"/>
        <filter val="86.37%"/>
        <filter val="86.41%"/>
        <filter val="86.42%"/>
        <filter val="86.47%"/>
        <filter val="86.50%"/>
        <filter val="86.51%"/>
        <filter val="86.52%"/>
        <filter val="86.61%"/>
        <filter val="86.62%"/>
        <filter val="86.72%"/>
        <filter val="86.73%"/>
        <filter val="86.80%"/>
        <filter val="86.85%"/>
        <filter val="86.90%"/>
        <filter val="86.93%"/>
        <filter val="86.94%"/>
        <filter val="86.98%"/>
        <filter val="87.00%"/>
        <filter val="87.01%"/>
        <filter val="87.03%"/>
        <filter val="87.06%"/>
        <filter val="87.15%"/>
        <filter val="87.16%"/>
        <filter val="87.22%"/>
        <filter val="87.26%"/>
        <filter val="87.69%"/>
        <filter val="87.79%"/>
        <filter val="87.81%"/>
        <filter val="87.85%"/>
        <filter val="87.86%"/>
        <filter val="87.99%"/>
        <filter val="88.05%"/>
        <filter val="88.49%"/>
        <filter val="88.53%"/>
        <filter val="88.63%"/>
        <filter val="88.69%"/>
        <filter val="88.76%"/>
        <filter val="88.96%"/>
        <filter val="89.02%"/>
        <filter val="89.25%"/>
        <filter val="89.48%"/>
        <filter val="89.68%"/>
        <filter val="90.24%"/>
        <filter val="90.35%"/>
        <filter val="90.52%"/>
        <filter val="91.22%"/>
        <filter val="91.51%"/>
        <filter val="93.29%"/>
        <filter val="93.99%"/>
        <filter val="95.73%"/>
      </filters>
    </filterColumn>
    <filterColumn colId="29">
      <filters>
        <filter val="Operational"/>
      </filters>
    </filterColumn>
    <filterColumn colId="30">
      <filters>
        <filter val="Individual"/>
      </filters>
    </filterColumn>
  </autoFilter>
  <mergeCells count="1">
    <mergeCell ref="A1:A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showGridLines="0" workbookViewId="0">
      <pane ySplit="2" topLeftCell="A6" activePane="bottomLeft" state="frozen"/>
      <selection pane="bottomLeft" activeCell="E21" sqref="E21"/>
    </sheetView>
  </sheetViews>
  <sheetFormatPr defaultRowHeight="14.5" x14ac:dyDescent="0.35"/>
  <cols>
    <col min="1" max="1" width="22" customWidth="1"/>
    <col min="2" max="3" width="11" customWidth="1"/>
    <col min="4" max="4" width="9" customWidth="1"/>
    <col min="5" max="6" width="10" customWidth="1"/>
    <col min="7" max="10" width="14" customWidth="1"/>
    <col min="11" max="11" width="18" customWidth="1"/>
  </cols>
  <sheetData>
    <row r="1" spans="1:11" ht="28" customHeight="1" x14ac:dyDescent="0.35">
      <c r="A1" s="63" t="s">
        <v>243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spans="1:11" ht="28" customHeight="1" x14ac:dyDescent="0.35">
      <c r="A2" s="68" t="s">
        <v>244</v>
      </c>
      <c r="B2" s="62"/>
      <c r="C2" s="62"/>
      <c r="D2" s="62"/>
      <c r="E2" s="62"/>
      <c r="F2" s="62"/>
      <c r="G2" s="62"/>
      <c r="H2" s="62"/>
      <c r="I2" s="62"/>
      <c r="J2" s="62"/>
      <c r="K2" s="62"/>
    </row>
    <row r="4" spans="1:11" ht="18" customHeight="1" x14ac:dyDescent="0.35">
      <c r="A4" s="70" t="s">
        <v>245</v>
      </c>
      <c r="B4" s="62"/>
      <c r="C4" s="62"/>
      <c r="D4" s="62"/>
      <c r="E4" s="62"/>
      <c r="F4" s="62"/>
      <c r="G4" s="62"/>
      <c r="H4" s="62"/>
      <c r="I4" s="62"/>
      <c r="J4" s="62"/>
      <c r="K4" s="62"/>
    </row>
    <row r="5" spans="1:11" ht="26" customHeight="1" x14ac:dyDescent="0.35">
      <c r="A5" s="6" t="s">
        <v>246</v>
      </c>
      <c r="B5" s="6" t="s">
        <v>247</v>
      </c>
      <c r="C5" s="6" t="s">
        <v>248</v>
      </c>
      <c r="D5" s="6" t="s">
        <v>249</v>
      </c>
      <c r="E5" s="6" t="s">
        <v>250</v>
      </c>
      <c r="F5" s="6" t="s">
        <v>251</v>
      </c>
      <c r="G5" s="6" t="s">
        <v>252</v>
      </c>
      <c r="H5" s="6" t="s">
        <v>253</v>
      </c>
      <c r="I5" s="6" t="s">
        <v>254</v>
      </c>
      <c r="J5" s="6" t="s">
        <v>255</v>
      </c>
      <c r="K5" s="6" t="s">
        <v>256</v>
      </c>
    </row>
    <row r="6" spans="1:11" ht="16" customHeight="1" x14ac:dyDescent="0.35">
      <c r="A6" s="7" t="s">
        <v>32</v>
      </c>
      <c r="B6" s="8">
        <f>COUNTIFS('Raw Data'!AC:AC,$A6,'Raw Data'!AE:AE,"Individual")</f>
        <v>66</v>
      </c>
      <c r="C6" s="8">
        <f>COUNTIFS('Raw Data'!AC:AC,$A6,'Raw Data'!AD:AD,"Operational",'Raw Data'!AE:AE,"Individual")</f>
        <v>62</v>
      </c>
      <c r="D6" s="8">
        <f t="shared" ref="D6:D11" si="0">B6-C6</f>
        <v>4</v>
      </c>
      <c r="E6" s="9">
        <f>IFERROR(AVERAGEIFS('Raw Data'!O:O,'Raw Data'!AC:AC,$A6,'Raw Data'!AD:AD,"Operational",'Raw Data'!AE:AE,"Individual"),0)</f>
        <v>0.63356260463387082</v>
      </c>
      <c r="F6" s="9">
        <f>IFERROR(AVERAGEIFS('Raw Data'!P:P,'Raw Data'!AC:AC,$A6,'Raw Data'!AD:AD,"Operational",'Raw Data'!AE:AE,"Individual"),0)</f>
        <v>0.45551441909677415</v>
      </c>
      <c r="G6" s="8">
        <f>SUMIFS('Raw Data'!W:W,'Raw Data'!AC:AC,$A6,'Raw Data'!AE:AE,"Individual")</f>
        <v>189994.41999999987</v>
      </c>
      <c r="H6" s="8">
        <f>SUMIFS('Raw Data'!U:U,'Raw Data'!AC:AC,$A6,'Raw Data'!AE:AE,"Individual")</f>
        <v>11635</v>
      </c>
      <c r="I6" s="8">
        <f>SUMIFS('Raw Data'!R:R,'Raw Data'!AC:AC,$A6,'Raw Data'!AE:AE,"Individual")</f>
        <v>1007304.3</v>
      </c>
      <c r="J6" s="10">
        <f>IFERROR(AVERAGEIFS('Raw Data'!J:J,'Raw Data'!AC:AC,$A6,'Raw Data'!AE:AE,"Individual"),0)</f>
        <v>218.91149545454496</v>
      </c>
      <c r="K6" s="10">
        <f>IFERROR(AVERAGEIFS('Raw Data'!H:H,'Raw Data'!AC:AC,$A6,'Raw Data'!AE:AE,"Individual"),0)</f>
        <v>291.31556363636355</v>
      </c>
    </row>
    <row r="7" spans="1:11" ht="16" customHeight="1" x14ac:dyDescent="0.35">
      <c r="A7" s="11" t="s">
        <v>101</v>
      </c>
      <c r="B7" s="12">
        <f>COUNTIFS('Raw Data'!AC:AC,$A7,'Raw Data'!AE:AE,"Individual")</f>
        <v>77</v>
      </c>
      <c r="C7" s="12">
        <f>COUNTIFS('Raw Data'!AC:AC,$A7,'Raw Data'!AD:AD,"Operational",'Raw Data'!AE:AE,"Individual")</f>
        <v>75</v>
      </c>
      <c r="D7" s="12">
        <f t="shared" si="0"/>
        <v>2</v>
      </c>
      <c r="E7" s="13">
        <f>IFERROR(AVERAGEIFS('Raw Data'!O:O,'Raw Data'!AC:AC,$A7,'Raw Data'!AD:AD,"Operational",'Raw Data'!AE:AE,"Individual"),0)</f>
        <v>0.60892491489466638</v>
      </c>
      <c r="F7" s="13">
        <f>IFERROR(AVERAGEIFS('Raw Data'!P:P,'Raw Data'!AC:AC,$A7,'Raw Data'!AD:AD,"Operational",'Raw Data'!AE:AE,"Individual"),0)</f>
        <v>0.81832106471066657</v>
      </c>
      <c r="G7" s="12">
        <f>SUMIFS('Raw Data'!W:W,'Raw Data'!AC:AC,$A7,'Raw Data'!AE:AE,"Individual")</f>
        <v>561685.82999999961</v>
      </c>
      <c r="H7" s="12">
        <f>SUMIFS('Raw Data'!U:U,'Raw Data'!AC:AC,$A7,'Raw Data'!AE:AE,"Individual")</f>
        <v>1469194</v>
      </c>
      <c r="I7" s="12">
        <f>SUMIFS('Raw Data'!R:R,'Raw Data'!AC:AC,$A7,'Raw Data'!AE:AE,"Individual")</f>
        <v>1935.3000000000002</v>
      </c>
      <c r="J7" s="14">
        <f>IFERROR(AVERAGEIFS('Raw Data'!J:J,'Raw Data'!AC:AC,$A7,'Raw Data'!AE:AE,"Individual"),0)</f>
        <v>65.605114285714208</v>
      </c>
      <c r="K7" s="14">
        <f>IFERROR(AVERAGEIFS('Raw Data'!H:H,'Raw Data'!AC:AC,$A7,'Raw Data'!AE:AE,"Individual"),0)</f>
        <v>292.92407532467496</v>
      </c>
    </row>
    <row r="8" spans="1:11" ht="16" customHeight="1" x14ac:dyDescent="0.35">
      <c r="A8" s="7" t="s">
        <v>199</v>
      </c>
      <c r="B8" s="8">
        <f>COUNTIFS('Raw Data'!AC:AC,$A8,'Raw Data'!AE:AE,"Individual")</f>
        <v>28</v>
      </c>
      <c r="C8" s="8">
        <f>COUNTIFS('Raw Data'!AC:AC,$A8,'Raw Data'!AD:AD,"Operational",'Raw Data'!AE:AE,"Individual")</f>
        <v>27</v>
      </c>
      <c r="D8" s="8">
        <f t="shared" si="0"/>
        <v>1</v>
      </c>
      <c r="E8" s="9">
        <f>IFERROR(AVERAGEIFS('Raw Data'!O:O,'Raw Data'!AC:AC,$A8,'Raw Data'!AD:AD,"Operational",'Raw Data'!AE:AE,"Individual"),0)</f>
        <v>0.57197431885185168</v>
      </c>
      <c r="F8" s="9">
        <f>IFERROR(AVERAGEIFS('Raw Data'!P:P,'Raw Data'!AC:AC,$A8,'Raw Data'!AD:AD,"Operational",'Raw Data'!AE:AE,"Individual"),0)</f>
        <v>0.82977057571111101</v>
      </c>
      <c r="G8" s="8">
        <f>SUMIFS('Raw Data'!W:W,'Raw Data'!AC:AC,$A8,'Raw Data'!AE:AE,"Individual")</f>
        <v>526973.99999999884</v>
      </c>
      <c r="H8" s="8">
        <f>SUMIFS('Raw Data'!U:U,'Raw Data'!AC:AC,$A8,'Raw Data'!AE:AE,"Individual")</f>
        <v>0</v>
      </c>
      <c r="I8" s="8">
        <f>SUMIFS('Raw Data'!R:R,'Raw Data'!AC:AC,$A8,'Raw Data'!AE:AE,"Individual")</f>
        <v>0</v>
      </c>
      <c r="J8" s="10">
        <f>IFERROR(AVERAGEIFS('Raw Data'!J:J,'Raw Data'!AC:AC,$A8,'Raw Data'!AE:AE,"Individual"),0)</f>
        <v>48.545346428571413</v>
      </c>
      <c r="K8" s="10">
        <f>IFERROR(AVERAGEIFS('Raw Data'!H:H,'Raw Data'!AC:AC,$A8,'Raw Data'!AE:AE,"Individual"),0)</f>
        <v>322.43540357142837</v>
      </c>
    </row>
    <row r="9" spans="1:11" ht="16" customHeight="1" x14ac:dyDescent="0.35">
      <c r="A9" s="11" t="s">
        <v>181</v>
      </c>
      <c r="B9" s="12">
        <f>COUNTIFS('Raw Data'!AC:AC,$A9,'Raw Data'!AE:AE,"Individual")</f>
        <v>16</v>
      </c>
      <c r="C9" s="12">
        <f>COUNTIFS('Raw Data'!AC:AC,$A9,'Raw Data'!AD:AD,"Operational",'Raw Data'!AE:AE,"Individual")</f>
        <v>15</v>
      </c>
      <c r="D9" s="12">
        <f t="shared" si="0"/>
        <v>1</v>
      </c>
      <c r="E9" s="13">
        <f>IFERROR(AVERAGEIFS('Raw Data'!O:O,'Raw Data'!AC:AC,$A9,'Raw Data'!AD:AD,"Operational",'Raw Data'!AE:AE,"Individual"),0)</f>
        <v>0.69993884588666677</v>
      </c>
      <c r="F9" s="13">
        <f>IFERROR(AVERAGEIFS('Raw Data'!P:P,'Raw Data'!AC:AC,$A9,'Raw Data'!AD:AD,"Operational",'Raw Data'!AE:AE,"Individual"),0)</f>
        <v>0.49329136056000006</v>
      </c>
      <c r="G9" s="12">
        <f>SUMIFS('Raw Data'!W:W,'Raw Data'!AC:AC,$A9,'Raw Data'!AE:AE,"Individual")</f>
        <v>104808.77999999985</v>
      </c>
      <c r="H9" s="12">
        <f>SUMIFS('Raw Data'!U:U,'Raw Data'!AC:AC,$A9,'Raw Data'!AE:AE,"Individual")</f>
        <v>0</v>
      </c>
      <c r="I9" s="12">
        <f>SUMIFS('Raw Data'!R:R,'Raw Data'!AC:AC,$A9,'Raw Data'!AE:AE,"Individual")</f>
        <v>0</v>
      </c>
      <c r="J9" s="14">
        <f>IFERROR(AVERAGEIFS('Raw Data'!J:J,'Raw Data'!AC:AC,$A9,'Raw Data'!AE:AE,"Individual"),0)</f>
        <v>238.82704999999947</v>
      </c>
      <c r="K9" s="14">
        <f>IFERROR(AVERAGEIFS('Raw Data'!H:H,'Raw Data'!AC:AC,$A9,'Raw Data'!AE:AE,"Individual"),0)</f>
        <v>246.83225624999983</v>
      </c>
    </row>
    <row r="10" spans="1:11" ht="16" customHeight="1" x14ac:dyDescent="0.35">
      <c r="A10" s="7" t="s">
        <v>228</v>
      </c>
      <c r="B10" s="8">
        <f>COUNTIFS('Raw Data'!AC:AC,$A10,'Raw Data'!AE:AE,"Individual")</f>
        <v>6</v>
      </c>
      <c r="C10" s="8">
        <f>COUNTIFS('Raw Data'!AC:AC,$A10,'Raw Data'!AD:AD,"Operational",'Raw Data'!AE:AE,"Individual")</f>
        <v>5</v>
      </c>
      <c r="D10" s="8">
        <f t="shared" si="0"/>
        <v>1</v>
      </c>
      <c r="E10" s="9">
        <f>IFERROR(AVERAGEIFS('Raw Data'!O:O,'Raw Data'!AC:AC,$A10,'Raw Data'!AD:AD,"Operational",'Raw Data'!AE:AE,"Individual"),0)</f>
        <v>0.52831483909999999</v>
      </c>
      <c r="F10" s="9">
        <f>IFERROR(AVERAGEIFS('Raw Data'!P:P,'Raw Data'!AC:AC,$A10,'Raw Data'!AD:AD,"Operational",'Raw Data'!AE:AE,"Individual"),0)</f>
        <v>0.88939929016000008</v>
      </c>
      <c r="G10" s="8">
        <f>SUMIFS('Raw Data'!W:W,'Raw Data'!AC:AC,$A10,'Raw Data'!AE:AE,"Individual")</f>
        <v>131057.09999999989</v>
      </c>
      <c r="H10" s="8">
        <f>SUMIFS('Raw Data'!U:U,'Raw Data'!AC:AC,$A10,'Raw Data'!AE:AE,"Individual")</f>
        <v>0</v>
      </c>
      <c r="I10" s="8">
        <f>SUMIFS('Raw Data'!R:R,'Raw Data'!AC:AC,$A10,'Raw Data'!AE:AE,"Individual")</f>
        <v>0</v>
      </c>
      <c r="J10" s="10">
        <f>IFERROR(AVERAGEIFS('Raw Data'!J:J,'Raw Data'!AC:AC,$A10,'Raw Data'!AE:AE,"Individual"),0)</f>
        <v>25.595800000000001</v>
      </c>
      <c r="K10" s="10">
        <f>IFERROR(AVERAGEIFS('Raw Data'!H:H,'Raw Data'!AC:AC,$A10,'Raw Data'!AE:AE,"Individual"),0)</f>
        <v>400.21868333333322</v>
      </c>
    </row>
    <row r="11" spans="1:11" ht="16" customHeight="1" x14ac:dyDescent="0.35">
      <c r="A11" s="11" t="s">
        <v>236</v>
      </c>
      <c r="B11" s="12">
        <f>COUNTIFS('Raw Data'!AC:AC,$A11,'Raw Data'!AE:AE,"Individual")</f>
        <v>6</v>
      </c>
      <c r="C11" s="12">
        <f>COUNTIFS('Raw Data'!AC:AC,$A11,'Raw Data'!AD:AD,"Operational",'Raw Data'!AE:AE,"Individual")</f>
        <v>6</v>
      </c>
      <c r="D11" s="12">
        <f t="shared" si="0"/>
        <v>0</v>
      </c>
      <c r="E11" s="13">
        <f>IFERROR(AVERAGEIFS('Raw Data'!O:O,'Raw Data'!AC:AC,$A11,'Raw Data'!AD:AD,"Operational",'Raw Data'!AE:AE,"Individual"),0)</f>
        <v>0.67771641496666657</v>
      </c>
      <c r="F11" s="13">
        <f>IFERROR(AVERAGEIFS('Raw Data'!P:P,'Raw Data'!AC:AC,$A11,'Raw Data'!AD:AD,"Operational",'Raw Data'!AE:AE,"Individual"),0)</f>
        <v>0.16805613083333334</v>
      </c>
      <c r="G11" s="12">
        <f>SUMIFS('Raw Data'!W:W,'Raw Data'!AC:AC,$A11,'Raw Data'!AE:AE,"Individual")</f>
        <v>4386.17</v>
      </c>
      <c r="H11" s="12">
        <f>SUMIFS('Raw Data'!U:U,'Raw Data'!AC:AC,$A11,'Raw Data'!AE:AE,"Individual")</f>
        <v>0</v>
      </c>
      <c r="I11" s="12">
        <f>SUMIFS('Raw Data'!R:R,'Raw Data'!AC:AC,$A11,'Raw Data'!AE:AE,"Individual")</f>
        <v>0</v>
      </c>
      <c r="J11" s="14">
        <f>IFERROR(AVERAGEIFS('Raw Data'!J:J,'Raw Data'!AC:AC,$A11,'Raw Data'!AE:AE,"Individual"),0)</f>
        <v>291.48468333333318</v>
      </c>
      <c r="K11" s="14">
        <f>IFERROR(AVERAGEIFS('Raw Data'!H:H,'Raw Data'!AC:AC,$A11,'Raw Data'!AE:AE,"Individual"),0)</f>
        <v>232.04446666666615</v>
      </c>
    </row>
    <row r="13" spans="1:11" ht="18" customHeight="1" x14ac:dyDescent="0.35">
      <c r="A13" s="70" t="s">
        <v>257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</row>
    <row r="14" spans="1:11" ht="14" customHeight="1" x14ac:dyDescent="0.35">
      <c r="A14" s="69" t="s">
        <v>258</v>
      </c>
      <c r="B14" s="62"/>
      <c r="C14" s="69" t="s">
        <v>248</v>
      </c>
      <c r="D14" s="62"/>
      <c r="E14" s="69" t="s">
        <v>259</v>
      </c>
      <c r="F14" s="62"/>
      <c r="G14" s="69" t="s">
        <v>260</v>
      </c>
      <c r="H14" s="62"/>
      <c r="I14" s="69" t="s">
        <v>252</v>
      </c>
      <c r="J14" s="62"/>
    </row>
    <row r="15" spans="1:11" ht="26" customHeight="1" x14ac:dyDescent="0.35">
      <c r="A15" s="72">
        <f>COUNTIFS('Raw Data'!AE:AE,"Individual")</f>
        <v>199</v>
      </c>
      <c r="B15" s="62"/>
      <c r="C15" s="73">
        <f>COUNTIFS('Raw Data'!AD:AD,"Operational",'Raw Data'!AE:AE,"Individual")</f>
        <v>190</v>
      </c>
      <c r="D15" s="62"/>
      <c r="E15" s="67">
        <f>IFERROR(AVERAGEIFS('Raw Data'!O:O,'Raw Data'!AD:AD,"Operational",'Raw Data'!AE:AE,"Individual"),0)</f>
        <v>0.61895006361578908</v>
      </c>
      <c r="F15" s="62"/>
      <c r="G15" s="67">
        <f>IFERROR(AVERAGEIFS('Raw Data'!P:P,'Raw Data'!AD:AD,"Operational",'Raw Data'!AE:AE,"Individual"),0)</f>
        <v>0.65723412118789493</v>
      </c>
      <c r="H15" s="62"/>
      <c r="I15" s="71">
        <f>SUMIFS('Raw Data'!W:W,'Raw Data'!AE:AE,"Individual")</f>
        <v>1518906.2999999989</v>
      </c>
      <c r="J15" s="62"/>
    </row>
    <row r="17" spans="1:11" ht="14" customHeight="1" x14ac:dyDescent="0.35">
      <c r="A17" s="69" t="s">
        <v>261</v>
      </c>
      <c r="B17" s="62"/>
      <c r="C17" s="69" t="s">
        <v>262</v>
      </c>
      <c r="D17" s="62"/>
      <c r="E17" s="69" t="s">
        <v>263</v>
      </c>
      <c r="F17" s="62"/>
      <c r="G17" s="69" t="s">
        <v>264</v>
      </c>
      <c r="H17" s="62"/>
      <c r="I17" s="69" t="s">
        <v>265</v>
      </c>
      <c r="J17" s="62"/>
    </row>
    <row r="18" spans="1:11" ht="26" customHeight="1" x14ac:dyDescent="0.35">
      <c r="A18" s="72">
        <f>SUMIFS('Raw Data'!U:U,'Raw Data'!AE:AE,"Individual")</f>
        <v>1480829</v>
      </c>
      <c r="B18" s="62"/>
      <c r="C18" s="72">
        <f>SUMIFS('Raw Data'!R:R,'Raw Data'!AE:AE,"Individual")</f>
        <v>1009239.6</v>
      </c>
      <c r="D18" s="62"/>
      <c r="E18" s="71">
        <f>SUMIFS('Raw Data'!J:J,'Raw Data'!AE:AE,"Individual")</f>
        <v>26582.737899999946</v>
      </c>
      <c r="F18" s="62"/>
      <c r="G18" s="71">
        <f>COUNTIFS('Raw Data'!AD:AD,"Non-Operational",'Raw Data'!AE:AE,"Individual")</f>
        <v>9</v>
      </c>
      <c r="H18" s="62"/>
      <c r="I18" s="71">
        <f>SUMIFS('Raw Data'!H:H,'Raw Data'!AE:AE,"Individual")</f>
        <v>58553.067300000002</v>
      </c>
      <c r="J18" s="62"/>
    </row>
    <row r="23" spans="1:11" ht="18" customHeight="1" x14ac:dyDescent="0.35">
      <c r="A23" s="61" t="s">
        <v>266</v>
      </c>
      <c r="B23" s="62"/>
      <c r="C23" s="62"/>
      <c r="D23" s="62"/>
      <c r="E23" s="62"/>
      <c r="F23" s="62"/>
      <c r="G23" s="62"/>
      <c r="H23" s="62"/>
      <c r="I23" s="62"/>
      <c r="J23" s="62"/>
      <c r="K23" s="62"/>
    </row>
    <row r="24" spans="1:11" ht="16" customHeight="1" x14ac:dyDescent="0.35">
      <c r="A24" s="66" t="s">
        <v>267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</row>
    <row r="25" spans="1:11" ht="16" customHeight="1" x14ac:dyDescent="0.35">
      <c r="A25" s="66" t="s">
        <v>268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</row>
    <row r="26" spans="1:11" ht="16" customHeight="1" x14ac:dyDescent="0.35">
      <c r="A26" s="66" t="s">
        <v>269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</row>
  </sheetData>
  <mergeCells count="28">
    <mergeCell ref="A1:K1"/>
    <mergeCell ref="G17:H17"/>
    <mergeCell ref="A25:K25"/>
    <mergeCell ref="A18:B18"/>
    <mergeCell ref="G18:H18"/>
    <mergeCell ref="I18:J18"/>
    <mergeCell ref="A15:B15"/>
    <mergeCell ref="C15:D15"/>
    <mergeCell ref="I15:J15"/>
    <mergeCell ref="A24:K24"/>
    <mergeCell ref="C14:D14"/>
    <mergeCell ref="E14:F14"/>
    <mergeCell ref="E17:F17"/>
    <mergeCell ref="C18:D18"/>
    <mergeCell ref="A26:K26"/>
    <mergeCell ref="E15:F15"/>
    <mergeCell ref="G15:H15"/>
    <mergeCell ref="A2:K2"/>
    <mergeCell ref="A14:B14"/>
    <mergeCell ref="G14:H14"/>
    <mergeCell ref="I14:J14"/>
    <mergeCell ref="A17:B17"/>
    <mergeCell ref="C17:D17"/>
    <mergeCell ref="I17:J17"/>
    <mergeCell ref="A23:K23"/>
    <mergeCell ref="A4:K4"/>
    <mergeCell ref="A13:K13"/>
    <mergeCell ref="E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6"/>
  <sheetViews>
    <sheetView showGridLines="0" workbookViewId="0">
      <pane ySplit="2" topLeftCell="A190" activePane="bottomLeft" state="frozen"/>
      <selection pane="bottomLeft" activeCell="B197" sqref="B197"/>
    </sheetView>
  </sheetViews>
  <sheetFormatPr defaultRowHeight="14.5" x14ac:dyDescent="0.35"/>
  <cols>
    <col min="1" max="1" width="20" customWidth="1"/>
    <col min="2" max="2" width="14" customWidth="1"/>
    <col min="3" max="3" width="10" customWidth="1"/>
    <col min="4" max="4" width="12" customWidth="1"/>
    <col min="5" max="5" width="14" customWidth="1"/>
    <col min="6" max="6" width="12" customWidth="1"/>
    <col min="7" max="8" width="14" customWidth="1"/>
    <col min="9" max="9" width="18" customWidth="1"/>
  </cols>
  <sheetData>
    <row r="1" spans="1:9" ht="28" customHeight="1" x14ac:dyDescent="0.35">
      <c r="A1" s="63" t="s">
        <v>270</v>
      </c>
      <c r="B1" s="62"/>
      <c r="C1" s="62"/>
      <c r="D1" s="62"/>
      <c r="E1" s="62"/>
      <c r="F1" s="62"/>
      <c r="G1" s="62"/>
      <c r="H1" s="62"/>
      <c r="I1" s="62"/>
    </row>
    <row r="3" spans="1:9" ht="18" customHeight="1" x14ac:dyDescent="0.35">
      <c r="A3" s="70" t="s">
        <v>271</v>
      </c>
      <c r="B3" s="62"/>
      <c r="C3" s="62"/>
      <c r="D3" s="62"/>
      <c r="E3" s="62"/>
      <c r="F3" s="62"/>
      <c r="G3" s="62"/>
      <c r="H3" s="62"/>
      <c r="I3" s="62"/>
    </row>
    <row r="4" spans="1:9" ht="26" customHeight="1" x14ac:dyDescent="0.35">
      <c r="A4" s="6" t="s">
        <v>29</v>
      </c>
      <c r="B4" s="6" t="s">
        <v>3</v>
      </c>
      <c r="C4" s="6" t="s">
        <v>272</v>
      </c>
      <c r="D4" s="6" t="s">
        <v>273</v>
      </c>
      <c r="E4" s="6" t="s">
        <v>274</v>
      </c>
      <c r="F4" s="6" t="s">
        <v>275</v>
      </c>
      <c r="G4" s="6" t="s">
        <v>276</v>
      </c>
      <c r="H4" s="6" t="s">
        <v>16</v>
      </c>
      <c r="I4" s="6" t="s">
        <v>30</v>
      </c>
    </row>
    <row r="5" spans="1:9" ht="18" customHeight="1" x14ac:dyDescent="0.35">
      <c r="A5" s="75" t="s">
        <v>277</v>
      </c>
      <c r="B5" s="62"/>
      <c r="C5" s="62"/>
      <c r="D5" s="62"/>
      <c r="E5" s="62"/>
      <c r="F5" s="62"/>
      <c r="G5" s="62"/>
      <c r="H5" s="62"/>
      <c r="I5" s="62"/>
    </row>
    <row r="6" spans="1:9" ht="15" customHeight="1" x14ac:dyDescent="0.35">
      <c r="A6" s="15" t="str">
        <f>IFERROR(INDEX('Raw Data'!AC:AC,MATCH($B6,'Raw Data'!$C:$C,0)),"")</f>
        <v>Dumper</v>
      </c>
      <c r="B6" s="7" t="s">
        <v>164</v>
      </c>
      <c r="C6" s="10">
        <f>IFERROR(INDEX('Raw Data'!D:D,MATCH($B6,'Raw Data'!$C:$C,0)),"-")</f>
        <v>720.00019999999995</v>
      </c>
      <c r="D6" s="10">
        <f>IFERROR(INDEX('Raw Data'!E:E,MATCH($B6,'Raw Data'!$C:$C,0)),"-")</f>
        <v>660.56910000000005</v>
      </c>
      <c r="E6" s="10">
        <f>IFERROR(INDEX('Raw Data'!H:H,MATCH($B6,'Raw Data'!$C:$C,0)),"-")</f>
        <v>59.431100000000001</v>
      </c>
      <c r="F6" s="10">
        <f>IFERROR(INDEX('Raw Data'!J:J,MATCH($B6,'Raw Data'!$C:$C,0)),"-")</f>
        <v>76.067599999999999</v>
      </c>
      <c r="G6" s="9">
        <f>IFERROR(INDEX('Raw Data'!O:O,MATCH($B6,'Raw Data'!$C:$C,0)),"-")</f>
        <v>0.91745682849999999</v>
      </c>
      <c r="H6" s="9">
        <f>IFERROR(INDEX('Raw Data'!P:P,MATCH($B6,'Raw Data'!$C:$C,0)),"-")</f>
        <v>0.86978061799999995</v>
      </c>
      <c r="I6" s="15" t="str">
        <f>IFERROR(INDEX('Raw Data'!AD:AD,MATCH($B6,'Raw Data'!$C:$C,0)),"-")</f>
        <v>Operational</v>
      </c>
    </row>
    <row r="7" spans="1:9" ht="15" customHeight="1" x14ac:dyDescent="0.35">
      <c r="A7" s="16" t="str">
        <f>IFERROR(INDEX('Raw Data'!AC:AC,MATCH($B7,'Raw Data'!$C:$C,0)),"")</f>
        <v>Dumper</v>
      </c>
      <c r="B7" s="11" t="s">
        <v>159</v>
      </c>
      <c r="C7" s="14">
        <f>IFERROR(INDEX('Raw Data'!D:D,MATCH($B7,'Raw Data'!$C:$C,0)),"-")</f>
        <v>720.00019999999995</v>
      </c>
      <c r="D7" s="14">
        <f>IFERROR(INDEX('Raw Data'!E:E,MATCH($B7,'Raw Data'!$C:$C,0)),"-")</f>
        <v>656.97040000000004</v>
      </c>
      <c r="E7" s="14">
        <f>IFERROR(INDEX('Raw Data'!H:H,MATCH($B7,'Raw Data'!$C:$C,0)),"-")</f>
        <v>63.029799999999902</v>
      </c>
      <c r="F7" s="14">
        <f>IFERROR(INDEX('Raw Data'!J:J,MATCH($B7,'Raw Data'!$C:$C,0)),"-")</f>
        <v>77.246099999999998</v>
      </c>
      <c r="G7" s="13">
        <f>IFERROR(INDEX('Raw Data'!O:O,MATCH($B7,'Raw Data'!$C:$C,0)),"-")</f>
        <v>0.91245863540000005</v>
      </c>
      <c r="H7" s="13">
        <f>IFERROR(INDEX('Raw Data'!P:P,MATCH($B7,'Raw Data'!$C:$C,0)),"-")</f>
        <v>0.86720984690000003</v>
      </c>
      <c r="I7" s="16" t="str">
        <f>IFERROR(INDEX('Raw Data'!AD:AD,MATCH($B7,'Raw Data'!$C:$C,0)),"-")</f>
        <v>Operational</v>
      </c>
    </row>
    <row r="8" spans="1:9" ht="15" customHeight="1" x14ac:dyDescent="0.35">
      <c r="A8" s="15" t="str">
        <f>IFERROR(INDEX('Raw Data'!AC:AC,MATCH($B8,'Raw Data'!$C:$C,0)),"")</f>
        <v>Dumper</v>
      </c>
      <c r="B8" s="7" t="s">
        <v>173</v>
      </c>
      <c r="C8" s="10">
        <f>IFERROR(INDEX('Raw Data'!D:D,MATCH($B8,'Raw Data'!$C:$C,0)),"-")</f>
        <v>720.00029999999902</v>
      </c>
      <c r="D8" s="10">
        <f>IFERROR(INDEX('Raw Data'!E:E,MATCH($B8,'Raw Data'!$C:$C,0)),"-")</f>
        <v>654.66919999999902</v>
      </c>
      <c r="E8" s="10">
        <f>IFERROR(INDEX('Raw Data'!H:H,MATCH($B8,'Raw Data'!$C:$C,0)),"-")</f>
        <v>65.331100000000006</v>
      </c>
      <c r="F8" s="10">
        <f>IFERROR(INDEX('Raw Data'!J:J,MATCH($B8,'Raw Data'!$C:$C,0)),"-")</f>
        <v>572.90359999999998</v>
      </c>
      <c r="G8" s="9">
        <f>IFERROR(INDEX('Raw Data'!O:O,MATCH($B8,'Raw Data'!$C:$C,0)),"-")</f>
        <v>0.90926239890000005</v>
      </c>
      <c r="H8" s="9">
        <f>IFERROR(INDEX('Raw Data'!P:P,MATCH($B8,'Raw Data'!$C:$C,0)),"-")</f>
        <v>0.1242815456</v>
      </c>
      <c r="I8" s="15" t="str">
        <f>IFERROR(INDEX('Raw Data'!AD:AD,MATCH($B8,'Raw Data'!$C:$C,0)),"-")</f>
        <v>Operational</v>
      </c>
    </row>
    <row r="9" spans="1:9" ht="15" customHeight="1" x14ac:dyDescent="0.35">
      <c r="A9" s="16" t="str">
        <f>IFERROR(INDEX('Raw Data'!AC:AC,MATCH($B9,'Raw Data'!$C:$C,0)),"")</f>
        <v>Dumper</v>
      </c>
      <c r="B9" s="11" t="s">
        <v>166</v>
      </c>
      <c r="C9" s="14">
        <f>IFERROR(INDEX('Raw Data'!D:D,MATCH($B9,'Raw Data'!$C:$C,0)),"-")</f>
        <v>719.99919999999997</v>
      </c>
      <c r="D9" s="14">
        <f>IFERROR(INDEX('Raw Data'!E:E,MATCH($B9,'Raw Data'!$C:$C,0)),"-")</f>
        <v>651.47829999999999</v>
      </c>
      <c r="E9" s="14">
        <f>IFERROR(INDEX('Raw Data'!H:H,MATCH($B9,'Raw Data'!$C:$C,0)),"-")</f>
        <v>68.520899999999997</v>
      </c>
      <c r="F9" s="14">
        <f>IFERROR(INDEX('Raw Data'!J:J,MATCH($B9,'Raw Data'!$C:$C,0)),"-")</f>
        <v>76.279799999999895</v>
      </c>
      <c r="G9" s="13">
        <f>IFERROR(INDEX('Raw Data'!O:O,MATCH($B9,'Raw Data'!$C:$C,0)),"-")</f>
        <v>0.9048319776</v>
      </c>
      <c r="H9" s="13">
        <f>IFERROR(INDEX('Raw Data'!P:P,MATCH($B9,'Raw Data'!$C:$C,0)),"-")</f>
        <v>0.86610498000000002</v>
      </c>
      <c r="I9" s="16" t="str">
        <f>IFERROR(INDEX('Raw Data'!AD:AD,MATCH($B9,'Raw Data'!$C:$C,0)),"-")</f>
        <v>Operational</v>
      </c>
    </row>
    <row r="10" spans="1:9" ht="15" customHeight="1" x14ac:dyDescent="0.35">
      <c r="A10" s="15" t="str">
        <f>IFERROR(INDEX('Raw Data'!AC:AC,MATCH($B10,'Raw Data'!$C:$C,0)),"")</f>
        <v>Dumper</v>
      </c>
      <c r="B10" s="7" t="s">
        <v>168</v>
      </c>
      <c r="C10" s="10">
        <f>IFERROR(INDEX('Raw Data'!D:D,MATCH($B10,'Raw Data'!$C:$C,0)),"-")</f>
        <v>720.00119999999902</v>
      </c>
      <c r="D10" s="10">
        <f>IFERROR(INDEX('Raw Data'!E:E,MATCH($B10,'Raw Data'!$C:$C,0)),"-")</f>
        <v>650.24389999999903</v>
      </c>
      <c r="E10" s="10">
        <f>IFERROR(INDEX('Raw Data'!H:H,MATCH($B10,'Raw Data'!$C:$C,0)),"-")</f>
        <v>69.757300000000001</v>
      </c>
      <c r="F10" s="10">
        <f>IFERROR(INDEX('Raw Data'!J:J,MATCH($B10,'Raw Data'!$C:$C,0)),"-")</f>
        <v>359.05689999999902</v>
      </c>
      <c r="G10" s="9">
        <f>IFERROR(INDEX('Raw Data'!O:O,MATCH($B10,'Raw Data'!$C:$C,0)),"-")</f>
        <v>0.90311502259999998</v>
      </c>
      <c r="H10" s="9">
        <f>IFERROR(INDEX('Raw Data'!P:P,MATCH($B10,'Raw Data'!$C:$C,0)),"-")</f>
        <v>0.4441587226</v>
      </c>
      <c r="I10" s="15" t="str">
        <f>IFERROR(INDEX('Raw Data'!AD:AD,MATCH($B10,'Raw Data'!$C:$C,0)),"-")</f>
        <v>Operational</v>
      </c>
    </row>
    <row r="11" spans="1:9" ht="15" customHeight="1" x14ac:dyDescent="0.35">
      <c r="A11" s="16" t="str">
        <f>IFERROR(INDEX('Raw Data'!AC:AC,MATCH($B11,'Raw Data'!$C:$C,0)),"")</f>
        <v>Dumper</v>
      </c>
      <c r="B11" s="11" t="s">
        <v>150</v>
      </c>
      <c r="C11" s="14">
        <f>IFERROR(INDEX('Raw Data'!D:D,MATCH($B11,'Raw Data'!$C:$C,0)),"-")</f>
        <v>720.00070000000005</v>
      </c>
      <c r="D11" s="14">
        <f>IFERROR(INDEX('Raw Data'!E:E,MATCH($B11,'Raw Data'!$C:$C,0)),"-")</f>
        <v>638.34690000000001</v>
      </c>
      <c r="E11" s="14">
        <f>IFERROR(INDEX('Raw Data'!H:H,MATCH($B11,'Raw Data'!$C:$C,0)),"-")</f>
        <v>81.653800000000004</v>
      </c>
      <c r="F11" s="14">
        <f>IFERROR(INDEX('Raw Data'!J:J,MATCH($B11,'Raw Data'!$C:$C,0)),"-")</f>
        <v>76.530600000000007</v>
      </c>
      <c r="G11" s="13">
        <f>IFERROR(INDEX('Raw Data'!O:O,MATCH($B11,'Raw Data'!$C:$C,0)),"-")</f>
        <v>0.88659205470000002</v>
      </c>
      <c r="H11" s="13">
        <f>IFERROR(INDEX('Raw Data'!P:P,MATCH($B11,'Raw Data'!$C:$C,0)),"-")</f>
        <v>0.86366754499999998</v>
      </c>
      <c r="I11" s="16" t="str">
        <f>IFERROR(INDEX('Raw Data'!AD:AD,MATCH($B11,'Raw Data'!$C:$C,0)),"-")</f>
        <v>Operational</v>
      </c>
    </row>
    <row r="12" spans="1:9" ht="15" customHeight="1" x14ac:dyDescent="0.35">
      <c r="A12" s="15" t="str">
        <f>IFERROR(INDEX('Raw Data'!AC:AC,MATCH($B12,'Raw Data'!$C:$C,0)),"")</f>
        <v>Dumper</v>
      </c>
      <c r="B12" s="7" t="s">
        <v>171</v>
      </c>
      <c r="C12" s="10">
        <f>IFERROR(INDEX('Raw Data'!D:D,MATCH($B12,'Raw Data'!$C:$C,0)),"-")</f>
        <v>720.00019999999995</v>
      </c>
      <c r="D12" s="10">
        <f>IFERROR(INDEX('Raw Data'!E:E,MATCH($B12,'Raw Data'!$C:$C,0)),"-")</f>
        <v>635.91199999999901</v>
      </c>
      <c r="E12" s="10">
        <f>IFERROR(INDEX('Raw Data'!H:H,MATCH($B12,'Raw Data'!$C:$C,0)),"-")</f>
        <v>84.088199999999901</v>
      </c>
      <c r="F12" s="10">
        <f>IFERROR(INDEX('Raw Data'!J:J,MATCH($B12,'Raw Data'!$C:$C,0)),"-")</f>
        <v>75.2486999999999</v>
      </c>
      <c r="G12" s="9">
        <f>IFERROR(INDEX('Raw Data'!O:O,MATCH($B12,'Raw Data'!$C:$C,0)),"-")</f>
        <v>0.88321086579999997</v>
      </c>
      <c r="H12" s="9">
        <f>IFERROR(INDEX('Raw Data'!P:P,MATCH($B12,'Raw Data'!$C:$C,0)),"-")</f>
        <v>0.87145249660000002</v>
      </c>
      <c r="I12" s="15" t="str">
        <f>IFERROR(INDEX('Raw Data'!AD:AD,MATCH($B12,'Raw Data'!$C:$C,0)),"-")</f>
        <v>Operational</v>
      </c>
    </row>
    <row r="13" spans="1:9" ht="15" customHeight="1" x14ac:dyDescent="0.35">
      <c r="A13" s="16" t="str">
        <f>IFERROR(INDEX('Raw Data'!AC:AC,MATCH($B13,'Raw Data'!$C:$C,0)),"")</f>
        <v>Dumper</v>
      </c>
      <c r="B13" s="11" t="s">
        <v>152</v>
      </c>
      <c r="C13" s="14">
        <f>IFERROR(INDEX('Raw Data'!D:D,MATCH($B13,'Raw Data'!$C:$C,0)),"-")</f>
        <v>720</v>
      </c>
      <c r="D13" s="14">
        <f>IFERROR(INDEX('Raw Data'!E:E,MATCH($B13,'Raw Data'!$C:$C,0)),"-")</f>
        <v>630.86950000000002</v>
      </c>
      <c r="E13" s="14">
        <f>IFERROR(INDEX('Raw Data'!H:H,MATCH($B13,'Raw Data'!$C:$C,0)),"-")</f>
        <v>89.130499999999898</v>
      </c>
      <c r="F13" s="14">
        <f>IFERROR(INDEX('Raw Data'!J:J,MATCH($B13,'Raw Data'!$C:$C,0)),"-")</f>
        <v>73.276899999999898</v>
      </c>
      <c r="G13" s="13">
        <f>IFERROR(INDEX('Raw Data'!O:O,MATCH($B13,'Raw Data'!$C:$C,0)),"-")</f>
        <v>0.87620763889999997</v>
      </c>
      <c r="H13" s="13">
        <f>IFERROR(INDEX('Raw Data'!P:P,MATCH($B13,'Raw Data'!$C:$C,0)),"-")</f>
        <v>0.86799821519999998</v>
      </c>
      <c r="I13" s="16" t="str">
        <f>IFERROR(INDEX('Raw Data'!AD:AD,MATCH($B13,'Raw Data'!$C:$C,0)),"-")</f>
        <v>Operational</v>
      </c>
    </row>
    <row r="14" spans="1:9" ht="15" customHeight="1" x14ac:dyDescent="0.35">
      <c r="A14" s="15" t="str">
        <f>IFERROR(INDEX('Raw Data'!AC:AC,MATCH($B14,'Raw Data'!$C:$C,0)),"")</f>
        <v>Dumper</v>
      </c>
      <c r="B14" s="7" t="s">
        <v>167</v>
      </c>
      <c r="C14" s="10">
        <f>IFERROR(INDEX('Raw Data'!D:D,MATCH($B14,'Raw Data'!$C:$C,0)),"-")</f>
        <v>719.9991</v>
      </c>
      <c r="D14" s="10">
        <f>IFERROR(INDEX('Raw Data'!E:E,MATCH($B14,'Raw Data'!$C:$C,0)),"-")</f>
        <v>628.7337</v>
      </c>
      <c r="E14" s="10">
        <f>IFERROR(INDEX('Raw Data'!H:H,MATCH($B14,'Raw Data'!$C:$C,0)),"-")</f>
        <v>91.2654</v>
      </c>
      <c r="F14" s="10">
        <f>IFERROR(INDEX('Raw Data'!J:J,MATCH($B14,'Raw Data'!$C:$C,0)),"-")</f>
        <v>77.365699999999904</v>
      </c>
      <c r="G14" s="9">
        <f>IFERROR(INDEX('Raw Data'!O:O,MATCH($B14,'Raw Data'!$C:$C,0)),"-")</f>
        <v>0.87324234160000003</v>
      </c>
      <c r="H14" s="9">
        <f>IFERROR(INDEX('Raw Data'!P:P,MATCH($B14,'Raw Data'!$C:$C,0)),"-")</f>
        <v>0.856861498</v>
      </c>
      <c r="I14" s="15" t="str">
        <f>IFERROR(INDEX('Raw Data'!AD:AD,MATCH($B14,'Raw Data'!$C:$C,0)),"-")</f>
        <v>Operational</v>
      </c>
    </row>
    <row r="15" spans="1:9" ht="15" customHeight="1" x14ac:dyDescent="0.35">
      <c r="A15" s="16" t="str">
        <f>IFERROR(INDEX('Raw Data'!AC:AC,MATCH($B15,'Raw Data'!$C:$C,0)),"")</f>
        <v>Dumper</v>
      </c>
      <c r="B15" s="11" t="s">
        <v>149</v>
      </c>
      <c r="C15" s="14">
        <f>IFERROR(INDEX('Raw Data'!D:D,MATCH($B15,'Raw Data'!$C:$C,0)),"-")</f>
        <v>720</v>
      </c>
      <c r="D15" s="14">
        <f>IFERROR(INDEX('Raw Data'!E:E,MATCH($B15,'Raw Data'!$C:$C,0)),"-")</f>
        <v>627.50580000000002</v>
      </c>
      <c r="E15" s="14">
        <f>IFERROR(INDEX('Raw Data'!H:H,MATCH($B15,'Raw Data'!$C:$C,0)),"-")</f>
        <v>92.494200000000006</v>
      </c>
      <c r="F15" s="14">
        <f>IFERROR(INDEX('Raw Data'!J:J,MATCH($B15,'Raw Data'!$C:$C,0)),"-")</f>
        <v>73.1540999999999</v>
      </c>
      <c r="G15" s="13">
        <f>IFERROR(INDEX('Raw Data'!O:O,MATCH($B15,'Raw Data'!$C:$C,0)),"-")</f>
        <v>0.87153583329999995</v>
      </c>
      <c r="H15" s="13">
        <f>IFERROR(INDEX('Raw Data'!P:P,MATCH($B15,'Raw Data'!$C:$C,0)),"-")</f>
        <v>0.87258237289999996</v>
      </c>
      <c r="I15" s="16" t="str">
        <f>IFERROR(INDEX('Raw Data'!AD:AD,MATCH($B15,'Raw Data'!$C:$C,0)),"-")</f>
        <v>Operational</v>
      </c>
    </row>
    <row r="16" spans="1:9" ht="15" customHeight="1" x14ac:dyDescent="0.35">
      <c r="A16" s="15" t="str">
        <f>IFERROR(INDEX('Raw Data'!AC:AC,MATCH($B16,'Raw Data'!$C:$C,0)),"")</f>
        <v>Dumper</v>
      </c>
      <c r="B16" s="7" t="s">
        <v>146</v>
      </c>
      <c r="C16" s="10">
        <f>IFERROR(INDEX('Raw Data'!D:D,MATCH($B16,'Raw Data'!$C:$C,0)),"-")</f>
        <v>720.00129999999899</v>
      </c>
      <c r="D16" s="10">
        <f>IFERROR(INDEX('Raw Data'!E:E,MATCH($B16,'Raw Data'!$C:$C,0)),"-")</f>
        <v>625.10469999999896</v>
      </c>
      <c r="E16" s="10">
        <f>IFERROR(INDEX('Raw Data'!H:H,MATCH($B16,'Raw Data'!$C:$C,0)),"-")</f>
        <v>94.896600000000007</v>
      </c>
      <c r="F16" s="10">
        <f>IFERROR(INDEX('Raw Data'!J:J,MATCH($B16,'Raw Data'!$C:$C,0)),"-")</f>
        <v>77.448499999999996</v>
      </c>
      <c r="G16" s="9">
        <f>IFERROR(INDEX('Raw Data'!O:O,MATCH($B16,'Raw Data'!$C:$C,0)),"-")</f>
        <v>0.8681994046</v>
      </c>
      <c r="H16" s="9">
        <f>IFERROR(INDEX('Raw Data'!P:P,MATCH($B16,'Raw Data'!$C:$C,0)),"-")</f>
        <v>0.86210390039999996</v>
      </c>
      <c r="I16" s="15" t="str">
        <f>IFERROR(INDEX('Raw Data'!AD:AD,MATCH($B16,'Raw Data'!$C:$C,0)),"-")</f>
        <v>Operational</v>
      </c>
    </row>
    <row r="17" spans="1:9" ht="15" customHeight="1" x14ac:dyDescent="0.35">
      <c r="A17" s="16" t="str">
        <f>IFERROR(INDEX('Raw Data'!AC:AC,MATCH($B17,'Raw Data'!$C:$C,0)),"")</f>
        <v>Dumper</v>
      </c>
      <c r="B17" s="11" t="s">
        <v>145</v>
      </c>
      <c r="C17" s="14">
        <f>IFERROR(INDEX('Raw Data'!D:D,MATCH($B17,'Raw Data'!$C:$C,0)),"-")</f>
        <v>720</v>
      </c>
      <c r="D17" s="14">
        <f>IFERROR(INDEX('Raw Data'!E:E,MATCH($B17,'Raw Data'!$C:$C,0)),"-")</f>
        <v>623.45270000000005</v>
      </c>
      <c r="E17" s="14">
        <f>IFERROR(INDEX('Raw Data'!H:H,MATCH($B17,'Raw Data'!$C:$C,0)),"-")</f>
        <v>96.547299999999893</v>
      </c>
      <c r="F17" s="14">
        <f>IFERROR(INDEX('Raw Data'!J:J,MATCH($B17,'Raw Data'!$C:$C,0)),"-")</f>
        <v>126.03339999999901</v>
      </c>
      <c r="G17" s="13">
        <f>IFERROR(INDEX('Raw Data'!O:O,MATCH($B17,'Raw Data'!$C:$C,0)),"-")</f>
        <v>0.86590652779999999</v>
      </c>
      <c r="H17" s="13">
        <f>IFERROR(INDEX('Raw Data'!P:P,MATCH($B17,'Raw Data'!$C:$C,0)),"-")</f>
        <v>0.78502827880000003</v>
      </c>
      <c r="I17" s="16" t="str">
        <f>IFERROR(INDEX('Raw Data'!AD:AD,MATCH($B17,'Raw Data'!$C:$C,0)),"-")</f>
        <v>Operational</v>
      </c>
    </row>
    <row r="18" spans="1:9" ht="15" customHeight="1" x14ac:dyDescent="0.35">
      <c r="A18" s="15" t="str">
        <f>IFERROR(INDEX('Raw Data'!AC:AC,MATCH($B18,'Raw Data'!$C:$C,0)),"")</f>
        <v>Dumper</v>
      </c>
      <c r="B18" s="7" t="s">
        <v>163</v>
      </c>
      <c r="C18" s="10">
        <f>IFERROR(INDEX('Raw Data'!D:D,MATCH($B18,'Raw Data'!$C:$C,0)),"-")</f>
        <v>720.00040000000001</v>
      </c>
      <c r="D18" s="10">
        <f>IFERROR(INDEX('Raw Data'!E:E,MATCH($B18,'Raw Data'!$C:$C,0)),"-")</f>
        <v>614.6875</v>
      </c>
      <c r="E18" s="10">
        <f>IFERROR(INDEX('Raw Data'!H:H,MATCH($B18,'Raw Data'!$C:$C,0)),"-")</f>
        <v>105.312899999999</v>
      </c>
      <c r="F18" s="10">
        <f>IFERROR(INDEX('Raw Data'!J:J,MATCH($B18,'Raw Data'!$C:$C,0)),"-")</f>
        <v>74.075400000000002</v>
      </c>
      <c r="G18" s="9">
        <f>IFERROR(INDEX('Raw Data'!O:O,MATCH($B18,'Raw Data'!$C:$C,0)),"-")</f>
        <v>0.85373216460000001</v>
      </c>
      <c r="H18" s="9">
        <f>IFERROR(INDEX('Raw Data'!P:P,MATCH($B18,'Raw Data'!$C:$C,0)),"-")</f>
        <v>0.8619363498</v>
      </c>
      <c r="I18" s="15" t="str">
        <f>IFERROR(INDEX('Raw Data'!AD:AD,MATCH($B18,'Raw Data'!$C:$C,0)),"-")</f>
        <v>Operational</v>
      </c>
    </row>
    <row r="19" spans="1:9" ht="15" customHeight="1" x14ac:dyDescent="0.35">
      <c r="A19" s="16" t="str">
        <f>IFERROR(INDEX('Raw Data'!AC:AC,MATCH($B19,'Raw Data'!$C:$C,0)),"")</f>
        <v>Dumper</v>
      </c>
      <c r="B19" s="11" t="s">
        <v>143</v>
      </c>
      <c r="C19" s="14">
        <f>IFERROR(INDEX('Raw Data'!D:D,MATCH($B19,'Raw Data'!$C:$C,0)),"-")</f>
        <v>719.99990000000003</v>
      </c>
      <c r="D19" s="14">
        <f>IFERROR(INDEX('Raw Data'!E:E,MATCH($B19,'Raw Data'!$C:$C,0)),"-")</f>
        <v>612.57500000000005</v>
      </c>
      <c r="E19" s="14">
        <f>IFERROR(INDEX('Raw Data'!H:H,MATCH($B19,'Raw Data'!$C:$C,0)),"-")</f>
        <v>107.424899999999</v>
      </c>
      <c r="F19" s="14">
        <f>IFERROR(INDEX('Raw Data'!J:J,MATCH($B19,'Raw Data'!$C:$C,0)),"-")</f>
        <v>72.405299999999897</v>
      </c>
      <c r="G19" s="13">
        <f>IFERROR(INDEX('Raw Data'!O:O,MATCH($B19,'Raw Data'!$C:$C,0)),"-")</f>
        <v>0.8507987293</v>
      </c>
      <c r="H19" s="13">
        <f>IFERROR(INDEX('Raw Data'!P:P,MATCH($B19,'Raw Data'!$C:$C,0)),"-")</f>
        <v>0.86732759250000002</v>
      </c>
      <c r="I19" s="16" t="str">
        <f>IFERROR(INDEX('Raw Data'!AD:AD,MATCH($B19,'Raw Data'!$C:$C,0)),"-")</f>
        <v>Operational</v>
      </c>
    </row>
    <row r="20" spans="1:9" ht="15" customHeight="1" x14ac:dyDescent="0.35">
      <c r="A20" s="15" t="str">
        <f>IFERROR(INDEX('Raw Data'!AC:AC,MATCH($B20,'Raw Data'!$C:$C,0)),"")</f>
        <v>Dumper</v>
      </c>
      <c r="B20" s="7" t="s">
        <v>136</v>
      </c>
      <c r="C20" s="10">
        <f>IFERROR(INDEX('Raw Data'!D:D,MATCH($B20,'Raw Data'!$C:$C,0)),"-")</f>
        <v>719.99929999999995</v>
      </c>
      <c r="D20" s="10">
        <f>IFERROR(INDEX('Raw Data'!E:E,MATCH($B20,'Raw Data'!$C:$C,0)),"-")</f>
        <v>609.70630000000006</v>
      </c>
      <c r="E20" s="10">
        <f>IFERROR(INDEX('Raw Data'!H:H,MATCH($B20,'Raw Data'!$C:$C,0)),"-")</f>
        <v>110.292999999999</v>
      </c>
      <c r="F20" s="10">
        <f>IFERROR(INDEX('Raw Data'!J:J,MATCH($B20,'Raw Data'!$C:$C,0)),"-")</f>
        <v>78.436899999999994</v>
      </c>
      <c r="G20" s="9">
        <f>IFERROR(INDEX('Raw Data'!O:O,MATCH($B20,'Raw Data'!$C:$C,0)),"-")</f>
        <v>0.84681512879999998</v>
      </c>
      <c r="H20" s="9">
        <f>IFERROR(INDEX('Raw Data'!P:P,MATCH($B20,'Raw Data'!$C:$C,0)),"-")</f>
        <v>0.85235809439999999</v>
      </c>
      <c r="I20" s="15" t="str">
        <f>IFERROR(INDEX('Raw Data'!AD:AD,MATCH($B20,'Raw Data'!$C:$C,0)),"-")</f>
        <v>Operational</v>
      </c>
    </row>
    <row r="21" spans="1:9" ht="15" customHeight="1" x14ac:dyDescent="0.35">
      <c r="A21" s="16" t="str">
        <f>IFERROR(INDEX('Raw Data'!AC:AC,MATCH($B21,'Raw Data'!$C:$C,0)),"")</f>
        <v>Dumper</v>
      </c>
      <c r="B21" s="11" t="s">
        <v>165</v>
      </c>
      <c r="C21" s="14">
        <f>IFERROR(INDEX('Raw Data'!D:D,MATCH($B21,'Raw Data'!$C:$C,0)),"-")</f>
        <v>719.999899999999</v>
      </c>
      <c r="D21" s="14">
        <f>IFERROR(INDEX('Raw Data'!E:E,MATCH($B21,'Raw Data'!$C:$C,0)),"-")</f>
        <v>607.36089999999899</v>
      </c>
      <c r="E21" s="14">
        <f>IFERROR(INDEX('Raw Data'!H:H,MATCH($B21,'Raw Data'!$C:$C,0)),"-")</f>
        <v>112.639</v>
      </c>
      <c r="F21" s="14">
        <f>IFERROR(INDEX('Raw Data'!J:J,MATCH($B21,'Raw Data'!$C:$C,0)),"-")</f>
        <v>81.090900000000005</v>
      </c>
      <c r="G21" s="13">
        <f>IFERROR(INDEX('Raw Data'!O:O,MATCH($B21,'Raw Data'!$C:$C,0)),"-")</f>
        <v>0.84355692270000004</v>
      </c>
      <c r="H21" s="13">
        <f>IFERROR(INDEX('Raw Data'!P:P,MATCH($B21,'Raw Data'!$C:$C,0)),"-")</f>
        <v>0.84902287909999996</v>
      </c>
      <c r="I21" s="16" t="str">
        <f>IFERROR(INDEX('Raw Data'!AD:AD,MATCH($B21,'Raw Data'!$C:$C,0)),"-")</f>
        <v>Operational</v>
      </c>
    </row>
    <row r="22" spans="1:9" ht="15" customHeight="1" x14ac:dyDescent="0.35">
      <c r="A22" s="15" t="str">
        <f>IFERROR(INDEX('Raw Data'!AC:AC,MATCH($B22,'Raw Data'!$C:$C,0)),"")</f>
        <v>Dumper</v>
      </c>
      <c r="B22" s="7" t="s">
        <v>153</v>
      </c>
      <c r="C22" s="10">
        <f>IFERROR(INDEX('Raw Data'!D:D,MATCH($B22,'Raw Data'!$C:$C,0)),"-")</f>
        <v>720.00019999999904</v>
      </c>
      <c r="D22" s="10">
        <f>IFERROR(INDEX('Raw Data'!E:E,MATCH($B22,'Raw Data'!$C:$C,0)),"-")</f>
        <v>607.140299999999</v>
      </c>
      <c r="E22" s="10">
        <f>IFERROR(INDEX('Raw Data'!H:H,MATCH($B22,'Raw Data'!$C:$C,0)),"-")</f>
        <v>112.8599</v>
      </c>
      <c r="F22" s="10">
        <f>IFERROR(INDEX('Raw Data'!J:J,MATCH($B22,'Raw Data'!$C:$C,0)),"-")</f>
        <v>81.938500000000005</v>
      </c>
      <c r="G22" s="9">
        <f>IFERROR(INDEX('Raw Data'!O:O,MATCH($B22,'Raw Data'!$C:$C,0)),"-")</f>
        <v>0.84325018240000005</v>
      </c>
      <c r="H22" s="9">
        <f>IFERROR(INDEX('Raw Data'!P:P,MATCH($B22,'Raw Data'!$C:$C,0)),"-")</f>
        <v>0.84954202509999999</v>
      </c>
      <c r="I22" s="15" t="str">
        <f>IFERROR(INDEX('Raw Data'!AD:AD,MATCH($B22,'Raw Data'!$C:$C,0)),"-")</f>
        <v>Operational</v>
      </c>
    </row>
    <row r="23" spans="1:9" ht="15" customHeight="1" x14ac:dyDescent="0.35">
      <c r="A23" s="16" t="str">
        <f>IFERROR(INDEX('Raw Data'!AC:AC,MATCH($B23,'Raw Data'!$C:$C,0)),"")</f>
        <v>Dumper</v>
      </c>
      <c r="B23" s="11" t="s">
        <v>140</v>
      </c>
      <c r="C23" s="14">
        <f>IFERROR(INDEX('Raw Data'!D:D,MATCH($B23,'Raw Data'!$C:$C,0)),"-")</f>
        <v>720.00070000000005</v>
      </c>
      <c r="D23" s="14">
        <f>IFERROR(INDEX('Raw Data'!E:E,MATCH($B23,'Raw Data'!$C:$C,0)),"-")</f>
        <v>596.68960000000004</v>
      </c>
      <c r="E23" s="14">
        <f>IFERROR(INDEX('Raw Data'!H:H,MATCH($B23,'Raw Data'!$C:$C,0)),"-")</f>
        <v>123.3111</v>
      </c>
      <c r="F23" s="14">
        <f>IFERROR(INDEX('Raw Data'!J:J,MATCH($B23,'Raw Data'!$C:$C,0)),"-")</f>
        <v>79.560900000000004</v>
      </c>
      <c r="G23" s="13">
        <f>IFERROR(INDEX('Raw Data'!O:O,MATCH($B23,'Raw Data'!$C:$C,0)),"-")</f>
        <v>0.82873474979999995</v>
      </c>
      <c r="H23" s="13">
        <f>IFERROR(INDEX('Raw Data'!P:P,MATCH($B23,'Raw Data'!$C:$C,0)),"-")</f>
        <v>0.85064613160000002</v>
      </c>
      <c r="I23" s="16" t="str">
        <f>IFERROR(INDEX('Raw Data'!AD:AD,MATCH($B23,'Raw Data'!$C:$C,0)),"-")</f>
        <v>Operational</v>
      </c>
    </row>
    <row r="24" spans="1:9" ht="15" customHeight="1" x14ac:dyDescent="0.35">
      <c r="A24" s="15" t="str">
        <f>IFERROR(INDEX('Raw Data'!AC:AC,MATCH($B24,'Raw Data'!$C:$C,0)),"")</f>
        <v>Dumper</v>
      </c>
      <c r="B24" s="7" t="s">
        <v>158</v>
      </c>
      <c r="C24" s="10">
        <f>IFERROR(INDEX('Raw Data'!D:D,MATCH($B24,'Raw Data'!$C:$C,0)),"-")</f>
        <v>720.00159999999903</v>
      </c>
      <c r="D24" s="10">
        <f>IFERROR(INDEX('Raw Data'!E:E,MATCH($B24,'Raw Data'!$C:$C,0)),"-")</f>
        <v>596.13519999999903</v>
      </c>
      <c r="E24" s="10">
        <f>IFERROR(INDEX('Raw Data'!H:H,MATCH($B24,'Raw Data'!$C:$C,0)),"-")</f>
        <v>123.8664</v>
      </c>
      <c r="F24" s="10">
        <f>IFERROR(INDEX('Raw Data'!J:J,MATCH($B24,'Raw Data'!$C:$C,0)),"-")</f>
        <v>68.137099999999904</v>
      </c>
      <c r="G24" s="9">
        <f>IFERROR(INDEX('Raw Data'!O:O,MATCH($B24,'Raw Data'!$C:$C,0)),"-")</f>
        <v>0.82796371560000004</v>
      </c>
      <c r="H24" s="9">
        <f>IFERROR(INDEX('Raw Data'!P:P,MATCH($B24,'Raw Data'!$C:$C,0)),"-")</f>
        <v>0.87028848489999999</v>
      </c>
      <c r="I24" s="15" t="str">
        <f>IFERROR(INDEX('Raw Data'!AD:AD,MATCH($B24,'Raw Data'!$C:$C,0)),"-")</f>
        <v>Operational</v>
      </c>
    </row>
    <row r="25" spans="1:9" ht="15" customHeight="1" x14ac:dyDescent="0.35">
      <c r="A25" s="16" t="str">
        <f>IFERROR(INDEX('Raw Data'!AC:AC,MATCH($B25,'Raw Data'!$C:$C,0)),"")</f>
        <v>Dumper</v>
      </c>
      <c r="B25" s="11" t="s">
        <v>154</v>
      </c>
      <c r="C25" s="14">
        <f>IFERROR(INDEX('Raw Data'!D:D,MATCH($B25,'Raw Data'!$C:$C,0)),"-")</f>
        <v>719.99919999999997</v>
      </c>
      <c r="D25" s="14">
        <f>IFERROR(INDEX('Raw Data'!E:E,MATCH($B25,'Raw Data'!$C:$C,0)),"-")</f>
        <v>580.16309999999999</v>
      </c>
      <c r="E25" s="14">
        <f>IFERROR(INDEX('Raw Data'!H:H,MATCH($B25,'Raw Data'!$C:$C,0)),"-")</f>
        <v>139.83609999999999</v>
      </c>
      <c r="F25" s="14">
        <f>IFERROR(INDEX('Raw Data'!J:J,MATCH($B25,'Raw Data'!$C:$C,0)),"-")</f>
        <v>70.212999999999994</v>
      </c>
      <c r="G25" s="13">
        <f>IFERROR(INDEX('Raw Data'!O:O,MATCH($B25,'Raw Data'!$C:$C,0)),"-")</f>
        <v>0.80578297860000003</v>
      </c>
      <c r="H25" s="13">
        <f>IFERROR(INDEX('Raw Data'!P:P,MATCH($B25,'Raw Data'!$C:$C,0)),"-")</f>
        <v>0.86502192229999997</v>
      </c>
      <c r="I25" s="16" t="str">
        <f>IFERROR(INDEX('Raw Data'!AD:AD,MATCH($B25,'Raw Data'!$C:$C,0)),"-")</f>
        <v>Operational</v>
      </c>
    </row>
    <row r="26" spans="1:9" ht="15" customHeight="1" x14ac:dyDescent="0.35">
      <c r="A26" s="15" t="str">
        <f>IFERROR(INDEX('Raw Data'!AC:AC,MATCH($B26,'Raw Data'!$C:$C,0)),"")</f>
        <v>Dumper</v>
      </c>
      <c r="B26" s="7" t="s">
        <v>172</v>
      </c>
      <c r="C26" s="10">
        <f>IFERROR(INDEX('Raw Data'!D:D,MATCH($B26,'Raw Data'!$C:$C,0)),"-")</f>
        <v>719.999899999999</v>
      </c>
      <c r="D26" s="10">
        <f>IFERROR(INDEX('Raw Data'!E:E,MATCH($B26,'Raw Data'!$C:$C,0)),"-")</f>
        <v>578.69089999999903</v>
      </c>
      <c r="E26" s="10">
        <f>IFERROR(INDEX('Raw Data'!H:H,MATCH($B26,'Raw Data'!$C:$C,0)),"-")</f>
        <v>141.309</v>
      </c>
      <c r="F26" s="10">
        <f>IFERROR(INDEX('Raw Data'!J:J,MATCH($B26,'Raw Data'!$C:$C,0)),"-")</f>
        <v>70.179699999999997</v>
      </c>
      <c r="G26" s="9">
        <f>IFERROR(INDEX('Raw Data'!O:O,MATCH($B26,'Raw Data'!$C:$C,0)),"-")</f>
        <v>0.80373747269999996</v>
      </c>
      <c r="H26" s="9">
        <f>IFERROR(INDEX('Raw Data'!P:P,MATCH($B26,'Raw Data'!$C:$C,0)),"-")</f>
        <v>0.86617467110000002</v>
      </c>
      <c r="I26" s="15" t="str">
        <f>IFERROR(INDEX('Raw Data'!AD:AD,MATCH($B26,'Raw Data'!$C:$C,0)),"-")</f>
        <v>Operational</v>
      </c>
    </row>
    <row r="27" spans="1:9" ht="15" customHeight="1" x14ac:dyDescent="0.35">
      <c r="A27" s="16" t="str">
        <f>IFERROR(INDEX('Raw Data'!AC:AC,MATCH($B27,'Raw Data'!$C:$C,0)),"")</f>
        <v>Dumper</v>
      </c>
      <c r="B27" s="11" t="s">
        <v>110</v>
      </c>
      <c r="C27" s="14">
        <f>IFERROR(INDEX('Raw Data'!D:D,MATCH($B27,'Raw Data'!$C:$C,0)),"-")</f>
        <v>719.999899999999</v>
      </c>
      <c r="D27" s="14">
        <f>IFERROR(INDEX('Raw Data'!E:E,MATCH($B27,'Raw Data'!$C:$C,0)),"-")</f>
        <v>578.24609999999905</v>
      </c>
      <c r="E27" s="14">
        <f>IFERROR(INDEX('Raw Data'!H:H,MATCH($B27,'Raw Data'!$C:$C,0)),"-")</f>
        <v>141.75380000000001</v>
      </c>
      <c r="F27" s="14">
        <f>IFERROR(INDEX('Raw Data'!J:J,MATCH($B27,'Raw Data'!$C:$C,0)),"-")</f>
        <v>65.757499999999993</v>
      </c>
      <c r="G27" s="13">
        <f>IFERROR(INDEX('Raw Data'!O:O,MATCH($B27,'Raw Data'!$C:$C,0)),"-")</f>
        <v>0.80311969490000001</v>
      </c>
      <c r="H27" s="13">
        <f>IFERROR(INDEX('Raw Data'!P:P,MATCH($B27,'Raw Data'!$C:$C,0)),"-")</f>
        <v>0.86896893900000005</v>
      </c>
      <c r="I27" s="16" t="str">
        <f>IFERROR(INDEX('Raw Data'!AD:AD,MATCH($B27,'Raw Data'!$C:$C,0)),"-")</f>
        <v>Operational</v>
      </c>
    </row>
    <row r="28" spans="1:9" ht="15" customHeight="1" x14ac:dyDescent="0.35">
      <c r="A28" s="15" t="str">
        <f>IFERROR(INDEX('Raw Data'!AC:AC,MATCH($B28,'Raw Data'!$C:$C,0)),"")</f>
        <v>Dumper</v>
      </c>
      <c r="B28" s="7" t="s">
        <v>129</v>
      </c>
      <c r="C28" s="10">
        <f>IFERROR(INDEX('Raw Data'!D:D,MATCH($B28,'Raw Data'!$C:$C,0)),"-")</f>
        <v>719.999899999999</v>
      </c>
      <c r="D28" s="10">
        <f>IFERROR(INDEX('Raw Data'!E:E,MATCH($B28,'Raw Data'!$C:$C,0)),"-")</f>
        <v>572.72699999999895</v>
      </c>
      <c r="E28" s="10">
        <f>IFERROR(INDEX('Raw Data'!H:H,MATCH($B28,'Raw Data'!$C:$C,0)),"-")</f>
        <v>147.27289999999999</v>
      </c>
      <c r="F28" s="10">
        <f>IFERROR(INDEX('Raw Data'!J:J,MATCH($B28,'Raw Data'!$C:$C,0)),"-")</f>
        <v>68.37</v>
      </c>
      <c r="G28" s="9">
        <f>IFERROR(INDEX('Raw Data'!O:O,MATCH($B28,'Raw Data'!$C:$C,0)),"-")</f>
        <v>0.79545427710000005</v>
      </c>
      <c r="H28" s="9">
        <f>IFERROR(INDEX('Raw Data'!P:P,MATCH($B28,'Raw Data'!$C:$C,0)),"-")</f>
        <v>0.86940654100000003</v>
      </c>
      <c r="I28" s="15" t="str">
        <f>IFERROR(INDEX('Raw Data'!AD:AD,MATCH($B28,'Raw Data'!$C:$C,0)),"-")</f>
        <v>Operational</v>
      </c>
    </row>
    <row r="29" spans="1:9" ht="15" customHeight="1" x14ac:dyDescent="0.35">
      <c r="A29" s="16" t="str">
        <f>IFERROR(INDEX('Raw Data'!AC:AC,MATCH($B29,'Raw Data'!$C:$C,0)),"")</f>
        <v>Dumper</v>
      </c>
      <c r="B29" s="11" t="s">
        <v>175</v>
      </c>
      <c r="C29" s="14">
        <f>IFERROR(INDEX('Raw Data'!D:D,MATCH($B29,'Raw Data'!$C:$C,0)),"-")</f>
        <v>719.99980000000005</v>
      </c>
      <c r="D29" s="14">
        <f>IFERROR(INDEX('Raw Data'!E:E,MATCH($B29,'Raw Data'!$C:$C,0)),"-")</f>
        <v>566.44370000000004</v>
      </c>
      <c r="E29" s="14">
        <f>IFERROR(INDEX('Raw Data'!H:H,MATCH($B29,'Raw Data'!$C:$C,0)),"-")</f>
        <v>153.55609999999899</v>
      </c>
      <c r="F29" s="14">
        <f>IFERROR(INDEX('Raw Data'!J:J,MATCH($B29,'Raw Data'!$C:$C,0)),"-")</f>
        <v>66.521199999999993</v>
      </c>
      <c r="G29" s="13">
        <f>IFERROR(INDEX('Raw Data'!O:O,MATCH($B29,'Raw Data'!$C:$C,0)),"-")</f>
        <v>0.78672757959999995</v>
      </c>
      <c r="H29" s="13">
        <f>IFERROR(INDEX('Raw Data'!P:P,MATCH($B29,'Raw Data'!$C:$C,0)),"-")</f>
        <v>0.87215869820000003</v>
      </c>
      <c r="I29" s="16" t="str">
        <f>IFERROR(INDEX('Raw Data'!AD:AD,MATCH($B29,'Raw Data'!$C:$C,0)),"-")</f>
        <v>Operational</v>
      </c>
    </row>
    <row r="30" spans="1:9" ht="15" customHeight="1" x14ac:dyDescent="0.35">
      <c r="A30" s="15" t="str">
        <f>IFERROR(INDEX('Raw Data'!AC:AC,MATCH($B30,'Raw Data'!$C:$C,0)),"")</f>
        <v>Dumper</v>
      </c>
      <c r="B30" s="7" t="s">
        <v>162</v>
      </c>
      <c r="C30" s="10">
        <f>IFERROR(INDEX('Raw Data'!D:D,MATCH($B30,'Raw Data'!$C:$C,0)),"-")</f>
        <v>719.99969999999905</v>
      </c>
      <c r="D30" s="10">
        <f>IFERROR(INDEX('Raw Data'!E:E,MATCH($B30,'Raw Data'!$C:$C,0)),"-")</f>
        <v>548.77649999999903</v>
      </c>
      <c r="E30" s="10">
        <f>IFERROR(INDEX('Raw Data'!H:H,MATCH($B30,'Raw Data'!$C:$C,0)),"-")</f>
        <v>171.22319999999999</v>
      </c>
      <c r="F30" s="10">
        <f>IFERROR(INDEX('Raw Data'!J:J,MATCH($B30,'Raw Data'!$C:$C,0)),"-")</f>
        <v>61.351699999999902</v>
      </c>
      <c r="G30" s="9">
        <f>IFERROR(INDEX('Raw Data'!O:O,MATCH($B30,'Raw Data'!$C:$C,0)),"-")</f>
        <v>0.76218990090000005</v>
      </c>
      <c r="H30" s="9">
        <f>IFERROR(INDEX('Raw Data'!P:P,MATCH($B30,'Raw Data'!$C:$C,0)),"-")</f>
        <v>0.88050800279999997</v>
      </c>
      <c r="I30" s="15" t="str">
        <f>IFERROR(INDEX('Raw Data'!AD:AD,MATCH($B30,'Raw Data'!$C:$C,0)),"-")</f>
        <v>Operational</v>
      </c>
    </row>
    <row r="31" spans="1:9" ht="15" customHeight="1" x14ac:dyDescent="0.35">
      <c r="A31" s="16" t="str">
        <f>IFERROR(INDEX('Raw Data'!AC:AC,MATCH($B31,'Raw Data'!$C:$C,0)),"")</f>
        <v>Dumper</v>
      </c>
      <c r="B31" s="11" t="s">
        <v>142</v>
      </c>
      <c r="C31" s="14">
        <f>IFERROR(INDEX('Raw Data'!D:D,MATCH($B31,'Raw Data'!$C:$C,0)),"-")</f>
        <v>719.99940000000004</v>
      </c>
      <c r="D31" s="14">
        <f>IFERROR(INDEX('Raw Data'!E:E,MATCH($B31,'Raw Data'!$C:$C,0)),"-")</f>
        <v>541.77809999999999</v>
      </c>
      <c r="E31" s="14">
        <f>IFERROR(INDEX('Raw Data'!H:H,MATCH($B31,'Raw Data'!$C:$C,0)),"-")</f>
        <v>178.22129999999899</v>
      </c>
      <c r="F31" s="14">
        <f>IFERROR(INDEX('Raw Data'!J:J,MATCH($B31,'Raw Data'!$C:$C,0)),"-")</f>
        <v>67.108699999999999</v>
      </c>
      <c r="G31" s="13">
        <f>IFERROR(INDEX('Raw Data'!O:O,MATCH($B31,'Raw Data'!$C:$C,0)),"-")</f>
        <v>0.75247021039999995</v>
      </c>
      <c r="H31" s="13">
        <f>IFERROR(INDEX('Raw Data'!P:P,MATCH($B31,'Raw Data'!$C:$C,0)),"-")</f>
        <v>0.87159613869999997</v>
      </c>
      <c r="I31" s="16" t="str">
        <f>IFERROR(INDEX('Raw Data'!AD:AD,MATCH($B31,'Raw Data'!$C:$C,0)),"-")</f>
        <v>Operational</v>
      </c>
    </row>
    <row r="32" spans="1:9" ht="15" customHeight="1" x14ac:dyDescent="0.35">
      <c r="A32" s="15" t="str">
        <f>IFERROR(INDEX('Raw Data'!AC:AC,MATCH($B32,'Raw Data'!$C:$C,0)),"")</f>
        <v>Dumper</v>
      </c>
      <c r="B32" s="7" t="s">
        <v>138</v>
      </c>
      <c r="C32" s="10">
        <f>IFERROR(INDEX('Raw Data'!D:D,MATCH($B32,'Raw Data'!$C:$C,0)),"-")</f>
        <v>720.00009999999997</v>
      </c>
      <c r="D32" s="10">
        <f>IFERROR(INDEX('Raw Data'!E:E,MATCH($B32,'Raw Data'!$C:$C,0)),"-")</f>
        <v>514.69110000000001</v>
      </c>
      <c r="E32" s="10">
        <f>IFERROR(INDEX('Raw Data'!H:H,MATCH($B32,'Raw Data'!$C:$C,0)),"-")</f>
        <v>205.309</v>
      </c>
      <c r="F32" s="10">
        <f>IFERROR(INDEX('Raw Data'!J:J,MATCH($B32,'Raw Data'!$C:$C,0)),"-")</f>
        <v>59.798899999999897</v>
      </c>
      <c r="G32" s="9">
        <f>IFERROR(INDEX('Raw Data'!O:O,MATCH($B32,'Raw Data'!$C:$C,0)),"-")</f>
        <v>0.71484865070000003</v>
      </c>
      <c r="H32" s="9">
        <f>IFERROR(INDEX('Raw Data'!P:P,MATCH($B32,'Raw Data'!$C:$C,0)),"-")</f>
        <v>0.86473148649999998</v>
      </c>
      <c r="I32" s="15" t="str">
        <f>IFERROR(INDEX('Raw Data'!AD:AD,MATCH($B32,'Raw Data'!$C:$C,0)),"-")</f>
        <v>Operational</v>
      </c>
    </row>
    <row r="33" spans="1:9" ht="15" customHeight="1" x14ac:dyDescent="0.35">
      <c r="A33" s="16" t="str">
        <f>IFERROR(INDEX('Raw Data'!AC:AC,MATCH($B33,'Raw Data'!$C:$C,0)),"")</f>
        <v>Dumper</v>
      </c>
      <c r="B33" s="11" t="s">
        <v>157</v>
      </c>
      <c r="C33" s="14">
        <f>IFERROR(INDEX('Raw Data'!D:D,MATCH($B33,'Raw Data'!$C:$C,0)),"-")</f>
        <v>720.00119999999902</v>
      </c>
      <c r="D33" s="14">
        <f>IFERROR(INDEX('Raw Data'!E:E,MATCH($B33,'Raw Data'!$C:$C,0)),"-")</f>
        <v>509.06929999999898</v>
      </c>
      <c r="E33" s="14">
        <f>IFERROR(INDEX('Raw Data'!H:H,MATCH($B33,'Raw Data'!$C:$C,0)),"-")</f>
        <v>210.93189999999899</v>
      </c>
      <c r="F33" s="14">
        <f>IFERROR(INDEX('Raw Data'!J:J,MATCH($B33,'Raw Data'!$C:$C,0)),"-")</f>
        <v>65.811499999999896</v>
      </c>
      <c r="G33" s="13">
        <f>IFERROR(INDEX('Raw Data'!O:O,MATCH($B33,'Raw Data'!$C:$C,0)),"-")</f>
        <v>0.70703951600000003</v>
      </c>
      <c r="H33" s="13">
        <f>IFERROR(INDEX('Raw Data'!P:P,MATCH($B33,'Raw Data'!$C:$C,0)),"-")</f>
        <v>0.86053902680000005</v>
      </c>
      <c r="I33" s="16" t="str">
        <f>IFERROR(INDEX('Raw Data'!AD:AD,MATCH($B33,'Raw Data'!$C:$C,0)),"-")</f>
        <v>Operational</v>
      </c>
    </row>
    <row r="34" spans="1:9" ht="15" customHeight="1" x14ac:dyDescent="0.35">
      <c r="A34" s="15" t="str">
        <f>IFERROR(INDEX('Raw Data'!AC:AC,MATCH($B34,'Raw Data'!$C:$C,0)),"")</f>
        <v>Dumper</v>
      </c>
      <c r="B34" s="7" t="s">
        <v>148</v>
      </c>
      <c r="C34" s="10">
        <f>IFERROR(INDEX('Raw Data'!D:D,MATCH($B34,'Raw Data'!$C:$C,0)),"-")</f>
        <v>719.99979999999903</v>
      </c>
      <c r="D34" s="10">
        <f>IFERROR(INDEX('Raw Data'!E:E,MATCH($B34,'Raw Data'!$C:$C,0)),"-")</f>
        <v>506.61489999999901</v>
      </c>
      <c r="E34" s="10">
        <f>IFERROR(INDEX('Raw Data'!H:H,MATCH($B34,'Raw Data'!$C:$C,0)),"-")</f>
        <v>213.38489999999899</v>
      </c>
      <c r="F34" s="10">
        <f>IFERROR(INDEX('Raw Data'!J:J,MATCH($B34,'Raw Data'!$C:$C,0)),"-")</f>
        <v>59.601399999999899</v>
      </c>
      <c r="G34" s="9">
        <f>IFERROR(INDEX('Raw Data'!O:O,MATCH($B34,'Raw Data'!$C:$C,0)),"-")</f>
        <v>0.70363200100000001</v>
      </c>
      <c r="H34" s="9">
        <f>IFERROR(INDEX('Raw Data'!P:P,MATCH($B34,'Raw Data'!$C:$C,0)),"-")</f>
        <v>0.87000263909999997</v>
      </c>
      <c r="I34" s="15" t="str">
        <f>IFERROR(INDEX('Raw Data'!AD:AD,MATCH($B34,'Raw Data'!$C:$C,0)),"-")</f>
        <v>Operational</v>
      </c>
    </row>
    <row r="35" spans="1:9" ht="15" customHeight="1" x14ac:dyDescent="0.35">
      <c r="A35" s="16" t="str">
        <f>IFERROR(INDEX('Raw Data'!AC:AC,MATCH($B35,'Raw Data'!$C:$C,0)),"")</f>
        <v>Dumper</v>
      </c>
      <c r="B35" s="11" t="s">
        <v>151</v>
      </c>
      <c r="C35" s="14">
        <f>IFERROR(INDEX('Raw Data'!D:D,MATCH($B35,'Raw Data'!$C:$C,0)),"-")</f>
        <v>720.00009999999895</v>
      </c>
      <c r="D35" s="14">
        <f>IFERROR(INDEX('Raw Data'!E:E,MATCH($B35,'Raw Data'!$C:$C,0)),"-")</f>
        <v>505.84039999999902</v>
      </c>
      <c r="E35" s="14">
        <f>IFERROR(INDEX('Raw Data'!H:H,MATCH($B35,'Raw Data'!$C:$C,0)),"-")</f>
        <v>214.15969999999999</v>
      </c>
      <c r="F35" s="14">
        <f>IFERROR(INDEX('Raw Data'!J:J,MATCH($B35,'Raw Data'!$C:$C,0)),"-")</f>
        <v>63.812599999999897</v>
      </c>
      <c r="G35" s="13">
        <f>IFERROR(INDEX('Raw Data'!O:O,MATCH($B35,'Raw Data'!$C:$C,0)),"-")</f>
        <v>0.70255601349999997</v>
      </c>
      <c r="H35" s="13">
        <f>IFERROR(INDEX('Raw Data'!P:P,MATCH($B35,'Raw Data'!$C:$C,0)),"-")</f>
        <v>0.856724967</v>
      </c>
      <c r="I35" s="16" t="str">
        <f>IFERROR(INDEX('Raw Data'!AD:AD,MATCH($B35,'Raw Data'!$C:$C,0)),"-")</f>
        <v>Operational</v>
      </c>
    </row>
    <row r="36" spans="1:9" ht="15" customHeight="1" x14ac:dyDescent="0.35">
      <c r="A36" s="15" t="str">
        <f>IFERROR(INDEX('Raw Data'!AC:AC,MATCH($B36,'Raw Data'!$C:$C,0)),"")</f>
        <v>Dumper</v>
      </c>
      <c r="B36" s="7" t="s">
        <v>170</v>
      </c>
      <c r="C36" s="10">
        <f>IFERROR(INDEX('Raw Data'!D:D,MATCH($B36,'Raw Data'!$C:$C,0)),"-")</f>
        <v>719.99990000000003</v>
      </c>
      <c r="D36" s="10">
        <f>IFERROR(INDEX('Raw Data'!E:E,MATCH($B36,'Raw Data'!$C:$C,0)),"-")</f>
        <v>497.87529999999998</v>
      </c>
      <c r="E36" s="10">
        <f>IFERROR(INDEX('Raw Data'!H:H,MATCH($B36,'Raw Data'!$C:$C,0)),"-")</f>
        <v>222.12459999999999</v>
      </c>
      <c r="F36" s="10">
        <f>IFERROR(INDEX('Raw Data'!J:J,MATCH($B36,'Raw Data'!$C:$C,0)),"-")</f>
        <v>58.572299999999998</v>
      </c>
      <c r="G36" s="9">
        <f>IFERROR(INDEX('Raw Data'!O:O,MATCH($B36,'Raw Data'!$C:$C,0)),"-")</f>
        <v>0.69149356829999997</v>
      </c>
      <c r="H36" s="9">
        <f>IFERROR(INDEX('Raw Data'!P:P,MATCH($B36,'Raw Data'!$C:$C,0)),"-")</f>
        <v>0.87057803430000003</v>
      </c>
      <c r="I36" s="15" t="str">
        <f>IFERROR(INDEX('Raw Data'!AD:AD,MATCH($B36,'Raw Data'!$C:$C,0)),"-")</f>
        <v>Operational</v>
      </c>
    </row>
    <row r="37" spans="1:9" ht="15" customHeight="1" x14ac:dyDescent="0.35">
      <c r="A37" s="16" t="str">
        <f>IFERROR(INDEX('Raw Data'!AC:AC,MATCH($B37,'Raw Data'!$C:$C,0)),"")</f>
        <v>Dumper</v>
      </c>
      <c r="B37" s="11" t="s">
        <v>127</v>
      </c>
      <c r="C37" s="14">
        <f>IFERROR(INDEX('Raw Data'!D:D,MATCH($B37,'Raw Data'!$C:$C,0)),"-")</f>
        <v>719.99929999999995</v>
      </c>
      <c r="D37" s="14">
        <f>IFERROR(INDEX('Raw Data'!E:E,MATCH($B37,'Raw Data'!$C:$C,0)),"-")</f>
        <v>496.41879999999901</v>
      </c>
      <c r="E37" s="14">
        <f>IFERROR(INDEX('Raw Data'!H:H,MATCH($B37,'Raw Data'!$C:$C,0)),"-")</f>
        <v>223.58049999999901</v>
      </c>
      <c r="F37" s="14">
        <f>IFERROR(INDEX('Raw Data'!J:J,MATCH($B37,'Raw Data'!$C:$C,0)),"-")</f>
        <v>64.610699999999994</v>
      </c>
      <c r="G37" s="13">
        <f>IFERROR(INDEX('Raw Data'!O:O,MATCH($B37,'Raw Data'!$C:$C,0)),"-")</f>
        <v>0.68947122589999998</v>
      </c>
      <c r="H37" s="13">
        <f>IFERROR(INDEX('Raw Data'!P:P,MATCH($B37,'Raw Data'!$C:$C,0)),"-")</f>
        <v>0.85681364199999999</v>
      </c>
      <c r="I37" s="16" t="str">
        <f>IFERROR(INDEX('Raw Data'!AD:AD,MATCH($B37,'Raw Data'!$C:$C,0)),"-")</f>
        <v>Operational</v>
      </c>
    </row>
    <row r="38" spans="1:9" ht="15" customHeight="1" x14ac:dyDescent="0.35">
      <c r="A38" s="15" t="str">
        <f>IFERROR(INDEX('Raw Data'!AC:AC,MATCH($B38,'Raw Data'!$C:$C,0)),"")</f>
        <v>Dumper</v>
      </c>
      <c r="B38" s="7" t="s">
        <v>109</v>
      </c>
      <c r="C38" s="10">
        <f>IFERROR(INDEX('Raw Data'!D:D,MATCH($B38,'Raw Data'!$C:$C,0)),"-")</f>
        <v>719.99879999999996</v>
      </c>
      <c r="D38" s="10">
        <f>IFERROR(INDEX('Raw Data'!E:E,MATCH($B38,'Raw Data'!$C:$C,0)),"-")</f>
        <v>496.02940000000001</v>
      </c>
      <c r="E38" s="10">
        <f>IFERROR(INDEX('Raw Data'!H:H,MATCH($B38,'Raw Data'!$C:$C,0)),"-")</f>
        <v>223.96939999999901</v>
      </c>
      <c r="F38" s="10">
        <f>IFERROR(INDEX('Raw Data'!J:J,MATCH($B38,'Raw Data'!$C:$C,0)),"-")</f>
        <v>62.315999999999903</v>
      </c>
      <c r="G38" s="9">
        <f>IFERROR(INDEX('Raw Data'!O:O,MATCH($B38,'Raw Data'!$C:$C,0)),"-")</f>
        <v>0.68893087040000001</v>
      </c>
      <c r="H38" s="9">
        <f>IFERROR(INDEX('Raw Data'!P:P,MATCH($B38,'Raw Data'!$C:$C,0)),"-")</f>
        <v>0.8619154429</v>
      </c>
      <c r="I38" s="15" t="str">
        <f>IFERROR(INDEX('Raw Data'!AD:AD,MATCH($B38,'Raw Data'!$C:$C,0)),"-")</f>
        <v>Operational</v>
      </c>
    </row>
    <row r="39" spans="1:9" ht="15" customHeight="1" x14ac:dyDescent="0.35">
      <c r="A39" s="16" t="str">
        <f>IFERROR(INDEX('Raw Data'!AC:AC,MATCH($B39,'Raw Data'!$C:$C,0)),"")</f>
        <v>Dumper</v>
      </c>
      <c r="B39" s="11" t="s">
        <v>118</v>
      </c>
      <c r="C39" s="14">
        <f>IFERROR(INDEX('Raw Data'!D:D,MATCH($B39,'Raw Data'!$C:$C,0)),"-")</f>
        <v>720.0009</v>
      </c>
      <c r="D39" s="14">
        <f>IFERROR(INDEX('Raw Data'!E:E,MATCH($B39,'Raw Data'!$C:$C,0)),"-")</f>
        <v>494.56049999999999</v>
      </c>
      <c r="E39" s="14">
        <f>IFERROR(INDEX('Raw Data'!H:H,MATCH($B39,'Raw Data'!$C:$C,0)),"-")</f>
        <v>225.44040000000001</v>
      </c>
      <c r="F39" s="14">
        <f>IFERROR(INDEX('Raw Data'!J:J,MATCH($B39,'Raw Data'!$C:$C,0)),"-")</f>
        <v>59.888299999999902</v>
      </c>
      <c r="G39" s="13">
        <f>IFERROR(INDEX('Raw Data'!O:O,MATCH($B39,'Raw Data'!$C:$C,0)),"-")</f>
        <v>0.68688872469999995</v>
      </c>
      <c r="H39" s="13">
        <f>IFERROR(INDEX('Raw Data'!P:P,MATCH($B39,'Raw Data'!$C:$C,0)),"-")</f>
        <v>0.86324039220000004</v>
      </c>
      <c r="I39" s="16" t="str">
        <f>IFERROR(INDEX('Raw Data'!AD:AD,MATCH($B39,'Raw Data'!$C:$C,0)),"-")</f>
        <v>Operational</v>
      </c>
    </row>
    <row r="40" spans="1:9" ht="15" customHeight="1" x14ac:dyDescent="0.35">
      <c r="A40" s="15" t="str">
        <f>IFERROR(INDEX('Raw Data'!AC:AC,MATCH($B40,'Raw Data'!$C:$C,0)),"")</f>
        <v>Dumper</v>
      </c>
      <c r="B40" s="7" t="s">
        <v>155</v>
      </c>
      <c r="C40" s="10">
        <f>IFERROR(INDEX('Raw Data'!D:D,MATCH($B40,'Raw Data'!$C:$C,0)),"-")</f>
        <v>720.00059999999996</v>
      </c>
      <c r="D40" s="10">
        <f>IFERROR(INDEX('Raw Data'!E:E,MATCH($B40,'Raw Data'!$C:$C,0)),"-")</f>
        <v>482.6241</v>
      </c>
      <c r="E40" s="10">
        <f>IFERROR(INDEX('Raw Data'!H:H,MATCH($B40,'Raw Data'!$C:$C,0)),"-")</f>
        <v>237.37649999999999</v>
      </c>
      <c r="F40" s="10">
        <f>IFERROR(INDEX('Raw Data'!J:J,MATCH($B40,'Raw Data'!$C:$C,0)),"-")</f>
        <v>62.903599999999898</v>
      </c>
      <c r="G40" s="9">
        <f>IFERROR(INDEX('Raw Data'!O:O,MATCH($B40,'Raw Data'!$C:$C,0)),"-")</f>
        <v>0.67031069139999999</v>
      </c>
      <c r="H40" s="9">
        <f>IFERROR(INDEX('Raw Data'!P:P,MATCH($B40,'Raw Data'!$C:$C,0)),"-")</f>
        <v>0.85434606349999997</v>
      </c>
      <c r="I40" s="15" t="str">
        <f>IFERROR(INDEX('Raw Data'!AD:AD,MATCH($B40,'Raw Data'!$C:$C,0)),"-")</f>
        <v>Operational</v>
      </c>
    </row>
    <row r="41" spans="1:9" ht="15" customHeight="1" x14ac:dyDescent="0.35">
      <c r="A41" s="16" t="str">
        <f>IFERROR(INDEX('Raw Data'!AC:AC,MATCH($B41,'Raw Data'!$C:$C,0)),"")</f>
        <v>Dumper</v>
      </c>
      <c r="B41" s="11" t="s">
        <v>144</v>
      </c>
      <c r="C41" s="14">
        <f>IFERROR(INDEX('Raw Data'!D:D,MATCH($B41,'Raw Data'!$C:$C,0)),"-")</f>
        <v>720.00030000000004</v>
      </c>
      <c r="D41" s="14">
        <f>IFERROR(INDEX('Raw Data'!E:E,MATCH($B41,'Raw Data'!$C:$C,0)),"-")</f>
        <v>477.00810000000001</v>
      </c>
      <c r="E41" s="14">
        <f>IFERROR(INDEX('Raw Data'!H:H,MATCH($B41,'Raw Data'!$C:$C,0)),"-")</f>
        <v>242.9922</v>
      </c>
      <c r="F41" s="14">
        <f>IFERROR(INDEX('Raw Data'!J:J,MATCH($B41,'Raw Data'!$C:$C,0)),"-")</f>
        <v>51.588999999999999</v>
      </c>
      <c r="G41" s="13">
        <f>IFERROR(INDEX('Raw Data'!O:O,MATCH($B41,'Raw Data'!$C:$C,0)),"-")</f>
        <v>0.66251097400000003</v>
      </c>
      <c r="H41" s="13">
        <f>IFERROR(INDEX('Raw Data'!P:P,MATCH($B41,'Raw Data'!$C:$C,0)),"-")</f>
        <v>0.89022555380000001</v>
      </c>
      <c r="I41" s="16" t="str">
        <f>IFERROR(INDEX('Raw Data'!AD:AD,MATCH($B41,'Raw Data'!$C:$C,0)),"-")</f>
        <v>Operational</v>
      </c>
    </row>
    <row r="42" spans="1:9" ht="15" customHeight="1" x14ac:dyDescent="0.35">
      <c r="A42" s="15" t="str">
        <f>IFERROR(INDEX('Raw Data'!AC:AC,MATCH($B42,'Raw Data'!$C:$C,0)),"")</f>
        <v>Dumper</v>
      </c>
      <c r="B42" s="7" t="s">
        <v>177</v>
      </c>
      <c r="C42" s="10">
        <f>IFERROR(INDEX('Raw Data'!D:D,MATCH($B42,'Raw Data'!$C:$C,0)),"-")</f>
        <v>719.99999999999898</v>
      </c>
      <c r="D42" s="10">
        <f>IFERROR(INDEX('Raw Data'!E:E,MATCH($B42,'Raw Data'!$C:$C,0)),"-")</f>
        <v>476.30069999999898</v>
      </c>
      <c r="E42" s="10">
        <f>IFERROR(INDEX('Raw Data'!H:H,MATCH($B42,'Raw Data'!$C:$C,0)),"-")</f>
        <v>243.699299999999</v>
      </c>
      <c r="F42" s="10">
        <f>IFERROR(INDEX('Raw Data'!J:J,MATCH($B42,'Raw Data'!$C:$C,0)),"-")</f>
        <v>56.444199999999903</v>
      </c>
      <c r="G42" s="9">
        <f>IFERROR(INDEX('Raw Data'!O:O,MATCH($B42,'Raw Data'!$C:$C,0)),"-")</f>
        <v>0.66152875</v>
      </c>
      <c r="H42" s="9">
        <f>IFERROR(INDEX('Raw Data'!P:P,MATCH($B42,'Raw Data'!$C:$C,0)),"-")</f>
        <v>0.8684950495</v>
      </c>
      <c r="I42" s="15" t="str">
        <f>IFERROR(INDEX('Raw Data'!AD:AD,MATCH($B42,'Raw Data'!$C:$C,0)),"-")</f>
        <v>Operational</v>
      </c>
    </row>
    <row r="43" spans="1:9" ht="15" customHeight="1" x14ac:dyDescent="0.35">
      <c r="A43" s="16" t="str">
        <f>IFERROR(INDEX('Raw Data'!AC:AC,MATCH($B43,'Raw Data'!$C:$C,0)),"")</f>
        <v>Dumper</v>
      </c>
      <c r="B43" s="11" t="s">
        <v>156</v>
      </c>
      <c r="C43" s="14">
        <f>IFERROR(INDEX('Raw Data'!D:D,MATCH($B43,'Raw Data'!$C:$C,0)),"-")</f>
        <v>720</v>
      </c>
      <c r="D43" s="14">
        <f>IFERROR(INDEX('Raw Data'!E:E,MATCH($B43,'Raw Data'!$C:$C,0)),"-")</f>
        <v>474.99200000000002</v>
      </c>
      <c r="E43" s="14">
        <f>IFERROR(INDEX('Raw Data'!H:H,MATCH($B43,'Raw Data'!$C:$C,0)),"-")</f>
        <v>245.00799999999899</v>
      </c>
      <c r="F43" s="14">
        <f>IFERROR(INDEX('Raw Data'!J:J,MATCH($B43,'Raw Data'!$C:$C,0)),"-")</f>
        <v>58.685699999999997</v>
      </c>
      <c r="G43" s="13">
        <f>IFERROR(INDEX('Raw Data'!O:O,MATCH($B43,'Raw Data'!$C:$C,0)),"-")</f>
        <v>0.65971111110000002</v>
      </c>
      <c r="H43" s="13">
        <f>IFERROR(INDEX('Raw Data'!P:P,MATCH($B43,'Raw Data'!$C:$C,0)),"-")</f>
        <v>0.86109597640000002</v>
      </c>
      <c r="I43" s="16" t="str">
        <f>IFERROR(INDEX('Raw Data'!AD:AD,MATCH($B43,'Raw Data'!$C:$C,0)),"-")</f>
        <v>Operational</v>
      </c>
    </row>
    <row r="44" spans="1:9" ht="15" customHeight="1" x14ac:dyDescent="0.35">
      <c r="A44" s="15" t="str">
        <f>IFERROR(INDEX('Raw Data'!AC:AC,MATCH($B44,'Raw Data'!$C:$C,0)),"")</f>
        <v>Dumper</v>
      </c>
      <c r="B44" s="7" t="s">
        <v>160</v>
      </c>
      <c r="C44" s="10">
        <f>IFERROR(INDEX('Raw Data'!D:D,MATCH($B44,'Raw Data'!$C:$C,0)),"-")</f>
        <v>720.00120000000004</v>
      </c>
      <c r="D44" s="10">
        <f>IFERROR(INDEX('Raw Data'!E:E,MATCH($B44,'Raw Data'!$C:$C,0)),"-")</f>
        <v>474.12880000000001</v>
      </c>
      <c r="E44" s="10">
        <f>IFERROR(INDEX('Raw Data'!H:H,MATCH($B44,'Raw Data'!$C:$C,0)),"-")</f>
        <v>245.8724</v>
      </c>
      <c r="F44" s="10">
        <f>IFERROR(INDEX('Raw Data'!J:J,MATCH($B44,'Raw Data'!$C:$C,0)),"-")</f>
        <v>54.193999999999903</v>
      </c>
      <c r="G44" s="9">
        <f>IFERROR(INDEX('Raw Data'!O:O,MATCH($B44,'Raw Data'!$C:$C,0)),"-")</f>
        <v>0.65851112469999995</v>
      </c>
      <c r="H44" s="9">
        <f>IFERROR(INDEX('Raw Data'!P:P,MATCH($B44,'Raw Data'!$C:$C,0)),"-")</f>
        <v>0.87007813069999995</v>
      </c>
      <c r="I44" s="15" t="str">
        <f>IFERROR(INDEX('Raw Data'!AD:AD,MATCH($B44,'Raw Data'!$C:$C,0)),"-")</f>
        <v>Operational</v>
      </c>
    </row>
    <row r="45" spans="1:9" ht="15" customHeight="1" x14ac:dyDescent="0.35">
      <c r="A45" s="16" t="str">
        <f>IFERROR(INDEX('Raw Data'!AC:AC,MATCH($B45,'Raw Data'!$C:$C,0)),"")</f>
        <v>Dumper</v>
      </c>
      <c r="B45" s="11" t="s">
        <v>135</v>
      </c>
      <c r="C45" s="14">
        <f>IFERROR(INDEX('Raw Data'!D:D,MATCH($B45,'Raw Data'!$C:$C,0)),"-")</f>
        <v>719.99980000000005</v>
      </c>
      <c r="D45" s="14">
        <f>IFERROR(INDEX('Raw Data'!E:E,MATCH($B45,'Raw Data'!$C:$C,0)),"-")</f>
        <v>460.30779999999999</v>
      </c>
      <c r="E45" s="14">
        <f>IFERROR(INDEX('Raw Data'!H:H,MATCH($B45,'Raw Data'!$C:$C,0)),"-")</f>
        <v>259.69200000000001</v>
      </c>
      <c r="F45" s="14">
        <f>IFERROR(INDEX('Raw Data'!J:J,MATCH($B45,'Raw Data'!$C:$C,0)),"-")</f>
        <v>52.765199999999901</v>
      </c>
      <c r="G45" s="13">
        <f>IFERROR(INDEX('Raw Data'!O:O,MATCH($B45,'Raw Data'!$C:$C,0)),"-")</f>
        <v>0.63931656650000002</v>
      </c>
      <c r="H45" s="13">
        <f>IFERROR(INDEX('Raw Data'!P:P,MATCH($B45,'Raw Data'!$C:$C,0)),"-")</f>
        <v>0.86405965750000002</v>
      </c>
      <c r="I45" s="16" t="str">
        <f>IFERROR(INDEX('Raw Data'!AD:AD,MATCH($B45,'Raw Data'!$C:$C,0)),"-")</f>
        <v>Operational</v>
      </c>
    </row>
    <row r="46" spans="1:9" ht="15" customHeight="1" x14ac:dyDescent="0.35">
      <c r="A46" s="15" t="str">
        <f>IFERROR(INDEX('Raw Data'!AC:AC,MATCH($B46,'Raw Data'!$C:$C,0)),"")</f>
        <v>Dumper</v>
      </c>
      <c r="B46" s="7" t="s">
        <v>130</v>
      </c>
      <c r="C46" s="10">
        <f>IFERROR(INDEX('Raw Data'!D:D,MATCH($B46,'Raw Data'!$C:$C,0)),"-")</f>
        <v>720.00049999999896</v>
      </c>
      <c r="D46" s="10">
        <f>IFERROR(INDEX('Raw Data'!E:E,MATCH($B46,'Raw Data'!$C:$C,0)),"-")</f>
        <v>444.93079999999998</v>
      </c>
      <c r="E46" s="10">
        <f>IFERROR(INDEX('Raw Data'!H:H,MATCH($B46,'Raw Data'!$C:$C,0)),"-")</f>
        <v>275.06969999999899</v>
      </c>
      <c r="F46" s="10">
        <f>IFERROR(INDEX('Raw Data'!J:J,MATCH($B46,'Raw Data'!$C:$C,0)),"-")</f>
        <v>56.481299999999898</v>
      </c>
      <c r="G46" s="9">
        <f>IFERROR(INDEX('Raw Data'!O:O,MATCH($B46,'Raw Data'!$C:$C,0)),"-")</f>
        <v>0.61795901529999997</v>
      </c>
      <c r="H46" s="9">
        <f>IFERROR(INDEX('Raw Data'!P:P,MATCH($B46,'Raw Data'!$C:$C,0)),"-")</f>
        <v>0.85410293020000005</v>
      </c>
      <c r="I46" s="15" t="str">
        <f>IFERROR(INDEX('Raw Data'!AD:AD,MATCH($B46,'Raw Data'!$C:$C,0)),"-")</f>
        <v>Operational</v>
      </c>
    </row>
    <row r="47" spans="1:9" ht="15" customHeight="1" x14ac:dyDescent="0.35">
      <c r="A47" s="16" t="str">
        <f>IFERROR(INDEX('Raw Data'!AC:AC,MATCH($B47,'Raw Data'!$C:$C,0)),"")</f>
        <v>Dumper</v>
      </c>
      <c r="B47" s="11" t="s">
        <v>105</v>
      </c>
      <c r="C47" s="14">
        <f>IFERROR(INDEX('Raw Data'!D:D,MATCH($B47,'Raw Data'!$C:$C,0)),"-")</f>
        <v>719.99969999999996</v>
      </c>
      <c r="D47" s="14">
        <f>IFERROR(INDEX('Raw Data'!E:E,MATCH($B47,'Raw Data'!$C:$C,0)),"-")</f>
        <v>441.65289999999902</v>
      </c>
      <c r="E47" s="14">
        <f>IFERROR(INDEX('Raw Data'!H:H,MATCH($B47,'Raw Data'!$C:$C,0)),"-")</f>
        <v>278.34679999999997</v>
      </c>
      <c r="F47" s="14">
        <f>IFERROR(INDEX('Raw Data'!J:J,MATCH($B47,'Raw Data'!$C:$C,0)),"-")</f>
        <v>67.742699999999999</v>
      </c>
      <c r="G47" s="13">
        <f>IFERROR(INDEX('Raw Data'!O:O,MATCH($B47,'Raw Data'!$C:$C,0)),"-")</f>
        <v>0.61340706109999998</v>
      </c>
      <c r="H47" s="13">
        <f>IFERROR(INDEX('Raw Data'!P:P,MATCH($B47,'Raw Data'!$C:$C,0)),"-")</f>
        <v>0.83423249340000005</v>
      </c>
      <c r="I47" s="16" t="str">
        <f>IFERROR(INDEX('Raw Data'!AD:AD,MATCH($B47,'Raw Data'!$C:$C,0)),"-")</f>
        <v>Operational</v>
      </c>
    </row>
    <row r="48" spans="1:9" ht="15" customHeight="1" x14ac:dyDescent="0.35">
      <c r="A48" s="15" t="str">
        <f>IFERROR(INDEX('Raw Data'!AC:AC,MATCH($B48,'Raw Data'!$C:$C,0)),"")</f>
        <v>Dumper</v>
      </c>
      <c r="B48" s="7" t="s">
        <v>174</v>
      </c>
      <c r="C48" s="10">
        <f>IFERROR(INDEX('Raw Data'!D:D,MATCH($B48,'Raw Data'!$C:$C,0)),"-")</f>
        <v>720.000799999999</v>
      </c>
      <c r="D48" s="10">
        <f>IFERROR(INDEX('Raw Data'!E:E,MATCH($B48,'Raw Data'!$C:$C,0)),"-")</f>
        <v>438.736099999999</v>
      </c>
      <c r="E48" s="10">
        <f>IFERROR(INDEX('Raw Data'!H:H,MATCH($B48,'Raw Data'!$C:$C,0)),"-")</f>
        <v>281.2647</v>
      </c>
      <c r="F48" s="10">
        <f>IFERROR(INDEX('Raw Data'!J:J,MATCH($B48,'Raw Data'!$C:$C,0)),"-")</f>
        <v>47.034500000000001</v>
      </c>
      <c r="G48" s="9">
        <f>IFERROR(INDEX('Raw Data'!O:O,MATCH($B48,'Raw Data'!$C:$C,0)),"-")</f>
        <v>0.60935501739999998</v>
      </c>
      <c r="H48" s="9">
        <f>IFERROR(INDEX('Raw Data'!P:P,MATCH($B48,'Raw Data'!$C:$C,0)),"-")</f>
        <v>0.88494632650000005</v>
      </c>
      <c r="I48" s="15" t="str">
        <f>IFERROR(INDEX('Raw Data'!AD:AD,MATCH($B48,'Raw Data'!$C:$C,0)),"-")</f>
        <v>Operational</v>
      </c>
    </row>
    <row r="49" spans="1:9" ht="15" customHeight="1" x14ac:dyDescent="0.35">
      <c r="A49" s="16" t="str">
        <f>IFERROR(INDEX('Raw Data'!AC:AC,MATCH($B49,'Raw Data'!$C:$C,0)),"")</f>
        <v>Dumper</v>
      </c>
      <c r="B49" s="11" t="s">
        <v>107</v>
      </c>
      <c r="C49" s="14">
        <f>IFERROR(INDEX('Raw Data'!D:D,MATCH($B49,'Raw Data'!$C:$C,0)),"-")</f>
        <v>719.99969999999905</v>
      </c>
      <c r="D49" s="14">
        <f>IFERROR(INDEX('Raw Data'!E:E,MATCH($B49,'Raw Data'!$C:$C,0)),"-")</f>
        <v>427.26249999999999</v>
      </c>
      <c r="E49" s="14">
        <f>IFERROR(INDEX('Raw Data'!H:H,MATCH($B49,'Raw Data'!$C:$C,0)),"-")</f>
        <v>292.73719999999901</v>
      </c>
      <c r="F49" s="14">
        <f>IFERROR(INDEX('Raw Data'!J:J,MATCH($B49,'Raw Data'!$C:$C,0)),"-")</f>
        <v>58.334099999999999</v>
      </c>
      <c r="G49" s="13">
        <f>IFERROR(INDEX('Raw Data'!O:O,MATCH($B49,'Raw Data'!$C:$C,0)),"-")</f>
        <v>0.59342038610000003</v>
      </c>
      <c r="H49" s="13">
        <f>IFERROR(INDEX('Raw Data'!P:P,MATCH($B49,'Raw Data'!$C:$C,0)),"-")</f>
        <v>0.85759339980000004</v>
      </c>
      <c r="I49" s="16" t="str">
        <f>IFERROR(INDEX('Raw Data'!AD:AD,MATCH($B49,'Raw Data'!$C:$C,0)),"-")</f>
        <v>Operational</v>
      </c>
    </row>
    <row r="50" spans="1:9" ht="15" customHeight="1" x14ac:dyDescent="0.35">
      <c r="A50" s="15" t="str">
        <f>IFERROR(INDEX('Raw Data'!AC:AC,MATCH($B50,'Raw Data'!$C:$C,0)),"")</f>
        <v>Dumper</v>
      </c>
      <c r="B50" s="7" t="s">
        <v>141</v>
      </c>
      <c r="C50" s="10">
        <f>IFERROR(INDEX('Raw Data'!D:D,MATCH($B50,'Raw Data'!$C:$C,0)),"-")</f>
        <v>719.99940000000004</v>
      </c>
      <c r="D50" s="10">
        <f>IFERROR(INDEX('Raw Data'!E:E,MATCH($B50,'Raw Data'!$C:$C,0)),"-")</f>
        <v>421.47359999999998</v>
      </c>
      <c r="E50" s="10">
        <f>IFERROR(INDEX('Raw Data'!H:H,MATCH($B50,'Raw Data'!$C:$C,0)),"-")</f>
        <v>298.5258</v>
      </c>
      <c r="F50" s="10">
        <f>IFERROR(INDEX('Raw Data'!J:J,MATCH($B50,'Raw Data'!$C:$C,0)),"-")</f>
        <v>49.201099999999897</v>
      </c>
      <c r="G50" s="9">
        <f>IFERROR(INDEX('Raw Data'!O:O,MATCH($B50,'Raw Data'!$C:$C,0)),"-")</f>
        <v>0.58538048779999996</v>
      </c>
      <c r="H50" s="9">
        <f>IFERROR(INDEX('Raw Data'!P:P,MATCH($B50,'Raw Data'!$C:$C,0)),"-")</f>
        <v>0.86517328719999997</v>
      </c>
      <c r="I50" s="15" t="str">
        <f>IFERROR(INDEX('Raw Data'!AD:AD,MATCH($B50,'Raw Data'!$C:$C,0)),"-")</f>
        <v>Operational</v>
      </c>
    </row>
    <row r="51" spans="1:9" ht="15" customHeight="1" x14ac:dyDescent="0.35">
      <c r="A51" s="16" t="str">
        <f>IFERROR(INDEX('Raw Data'!AC:AC,MATCH($B51,'Raw Data'!$C:$C,0)),"")</f>
        <v>Dumper</v>
      </c>
      <c r="B51" s="11" t="s">
        <v>111</v>
      </c>
      <c r="C51" s="14">
        <f>IFERROR(INDEX('Raw Data'!D:D,MATCH($B51,'Raw Data'!$C:$C,0)),"-")</f>
        <v>719.99949999999899</v>
      </c>
      <c r="D51" s="14">
        <f>IFERROR(INDEX('Raw Data'!E:E,MATCH($B51,'Raw Data'!$C:$C,0)),"-")</f>
        <v>420.601799999999</v>
      </c>
      <c r="E51" s="14">
        <f>IFERROR(INDEX('Raw Data'!H:H,MATCH($B51,'Raw Data'!$C:$C,0)),"-")</f>
        <v>299.39769999999999</v>
      </c>
      <c r="F51" s="14">
        <f>IFERROR(INDEX('Raw Data'!J:J,MATCH($B51,'Raw Data'!$C:$C,0)),"-")</f>
        <v>66.293799999999905</v>
      </c>
      <c r="G51" s="13">
        <f>IFERROR(INDEX('Raw Data'!O:O,MATCH($B51,'Raw Data'!$C:$C,0)),"-")</f>
        <v>0.5841695723</v>
      </c>
      <c r="H51" s="13">
        <f>IFERROR(INDEX('Raw Data'!P:P,MATCH($B51,'Raw Data'!$C:$C,0)),"-")</f>
        <v>0.83310532670000004</v>
      </c>
      <c r="I51" s="16" t="str">
        <f>IFERROR(INDEX('Raw Data'!AD:AD,MATCH($B51,'Raw Data'!$C:$C,0)),"-")</f>
        <v>Operational</v>
      </c>
    </row>
    <row r="52" spans="1:9" ht="15" customHeight="1" x14ac:dyDescent="0.35">
      <c r="A52" s="15" t="str">
        <f>IFERROR(INDEX('Raw Data'!AC:AC,MATCH($B52,'Raw Data'!$C:$C,0)),"")</f>
        <v>Dumper</v>
      </c>
      <c r="B52" s="7" t="s">
        <v>116</v>
      </c>
      <c r="C52" s="10">
        <f>IFERROR(INDEX('Raw Data'!D:D,MATCH($B52,'Raw Data'!$C:$C,0)),"-")</f>
        <v>720.00030000000004</v>
      </c>
      <c r="D52" s="10">
        <f>IFERROR(INDEX('Raw Data'!E:E,MATCH($B52,'Raw Data'!$C:$C,0)),"-")</f>
        <v>418.2423</v>
      </c>
      <c r="E52" s="10">
        <f>IFERROR(INDEX('Raw Data'!H:H,MATCH($B52,'Raw Data'!$C:$C,0)),"-")</f>
        <v>301.75799999999902</v>
      </c>
      <c r="F52" s="10">
        <f>IFERROR(INDEX('Raw Data'!J:J,MATCH($B52,'Raw Data'!$C:$C,0)),"-")</f>
        <v>67.622599999999906</v>
      </c>
      <c r="G52" s="9">
        <f>IFERROR(INDEX('Raw Data'!O:O,MATCH($B52,'Raw Data'!$C:$C,0)),"-")</f>
        <v>0.58089184130000004</v>
      </c>
      <c r="H52" s="9">
        <f>IFERROR(INDEX('Raw Data'!P:P,MATCH($B52,'Raw Data'!$C:$C,0)),"-")</f>
        <v>0.82103890499999999</v>
      </c>
      <c r="I52" s="15" t="str">
        <f>IFERROR(INDEX('Raw Data'!AD:AD,MATCH($B52,'Raw Data'!$C:$C,0)),"-")</f>
        <v>Operational</v>
      </c>
    </row>
    <row r="53" spans="1:9" ht="15" customHeight="1" x14ac:dyDescent="0.35">
      <c r="A53" s="16" t="str">
        <f>IFERROR(INDEX('Raw Data'!AC:AC,MATCH($B53,'Raw Data'!$C:$C,0)),"")</f>
        <v>Dumper</v>
      </c>
      <c r="B53" s="11" t="s">
        <v>104</v>
      </c>
      <c r="C53" s="14">
        <f>IFERROR(INDEX('Raw Data'!D:D,MATCH($B53,'Raw Data'!$C:$C,0)),"-")</f>
        <v>720.00019999999995</v>
      </c>
      <c r="D53" s="14">
        <f>IFERROR(INDEX('Raw Data'!E:E,MATCH($B53,'Raw Data'!$C:$C,0)),"-")</f>
        <v>409.10550000000001</v>
      </c>
      <c r="E53" s="14">
        <f>IFERROR(INDEX('Raw Data'!H:H,MATCH($B53,'Raw Data'!$C:$C,0)),"-")</f>
        <v>310.8947</v>
      </c>
      <c r="F53" s="14">
        <f>IFERROR(INDEX('Raw Data'!J:J,MATCH($B53,'Raw Data'!$C:$C,0)),"-")</f>
        <v>60.571499999999901</v>
      </c>
      <c r="G53" s="13">
        <f>IFERROR(INDEX('Raw Data'!O:O,MATCH($B53,'Raw Data'!$C:$C,0)),"-")</f>
        <v>0.56820192550000004</v>
      </c>
      <c r="H53" s="13">
        <f>IFERROR(INDEX('Raw Data'!P:P,MATCH($B53,'Raw Data'!$C:$C,0)),"-")</f>
        <v>0.84905018389999998</v>
      </c>
      <c r="I53" s="16" t="str">
        <f>IFERROR(INDEX('Raw Data'!AD:AD,MATCH($B53,'Raw Data'!$C:$C,0)),"-")</f>
        <v>Operational</v>
      </c>
    </row>
    <row r="54" spans="1:9" ht="15" customHeight="1" x14ac:dyDescent="0.35">
      <c r="A54" s="15" t="str">
        <f>IFERROR(INDEX('Raw Data'!AC:AC,MATCH($B54,'Raw Data'!$C:$C,0)),"")</f>
        <v>Dumper</v>
      </c>
      <c r="B54" s="7" t="s">
        <v>139</v>
      </c>
      <c r="C54" s="10">
        <f>IFERROR(INDEX('Raw Data'!D:D,MATCH($B54,'Raw Data'!$C:$C,0)),"-")</f>
        <v>719.99950000000001</v>
      </c>
      <c r="D54" s="10">
        <f>IFERROR(INDEX('Raw Data'!E:E,MATCH($B54,'Raw Data'!$C:$C,0)),"-")</f>
        <v>396.80970000000002</v>
      </c>
      <c r="E54" s="10">
        <f>IFERROR(INDEX('Raw Data'!H:H,MATCH($B54,'Raw Data'!$C:$C,0)),"-")</f>
        <v>323.18979999999902</v>
      </c>
      <c r="F54" s="10">
        <f>IFERROR(INDEX('Raw Data'!J:J,MATCH($B54,'Raw Data'!$C:$C,0)),"-")</f>
        <v>47.388099999999902</v>
      </c>
      <c r="G54" s="9">
        <f>IFERROR(INDEX('Raw Data'!O:O,MATCH($B54,'Raw Data'!$C:$C,0)),"-")</f>
        <v>0.55112496609999995</v>
      </c>
      <c r="H54" s="9">
        <f>IFERROR(INDEX('Raw Data'!P:P,MATCH($B54,'Raw Data'!$C:$C,0)),"-")</f>
        <v>0.72708026039999996</v>
      </c>
      <c r="I54" s="15" t="str">
        <f>IFERROR(INDEX('Raw Data'!AD:AD,MATCH($B54,'Raw Data'!$C:$C,0)),"-")</f>
        <v>Operational</v>
      </c>
    </row>
    <row r="55" spans="1:9" ht="15" customHeight="1" x14ac:dyDescent="0.35">
      <c r="A55" s="16" t="str">
        <f>IFERROR(INDEX('Raw Data'!AC:AC,MATCH($B55,'Raw Data'!$C:$C,0)),"")</f>
        <v>Dumper</v>
      </c>
      <c r="B55" s="11" t="s">
        <v>147</v>
      </c>
      <c r="C55" s="14">
        <f>IFERROR(INDEX('Raw Data'!D:D,MATCH($B55,'Raw Data'!$C:$C,0)),"-")</f>
        <v>719.99959999999999</v>
      </c>
      <c r="D55" s="14">
        <f>IFERROR(INDEX('Raw Data'!E:E,MATCH($B55,'Raw Data'!$C:$C,0)),"-")</f>
        <v>393.81099999999998</v>
      </c>
      <c r="E55" s="14">
        <f>IFERROR(INDEX('Raw Data'!H:H,MATCH($B55,'Raw Data'!$C:$C,0)),"-")</f>
        <v>326.18860000000001</v>
      </c>
      <c r="F55" s="14">
        <f>IFERROR(INDEX('Raw Data'!J:J,MATCH($B55,'Raw Data'!$C:$C,0)),"-")</f>
        <v>46.4923</v>
      </c>
      <c r="G55" s="13">
        <f>IFERROR(INDEX('Raw Data'!O:O,MATCH($B55,'Raw Data'!$C:$C,0)),"-")</f>
        <v>0.54696002610000005</v>
      </c>
      <c r="H55" s="13">
        <f>IFERROR(INDEX('Raw Data'!P:P,MATCH($B55,'Raw Data'!$C:$C,0)),"-")</f>
        <v>0.87694807919999995</v>
      </c>
      <c r="I55" s="16" t="str">
        <f>IFERROR(INDEX('Raw Data'!AD:AD,MATCH($B55,'Raw Data'!$C:$C,0)),"-")</f>
        <v>Operational</v>
      </c>
    </row>
    <row r="56" spans="1:9" ht="15" customHeight="1" x14ac:dyDescent="0.35">
      <c r="A56" s="15" t="str">
        <f>IFERROR(INDEX('Raw Data'!AC:AC,MATCH($B56,'Raw Data'!$C:$C,0)),"")</f>
        <v>Dumper</v>
      </c>
      <c r="B56" s="7" t="s">
        <v>134</v>
      </c>
      <c r="C56" s="10">
        <f>IFERROR(INDEX('Raw Data'!D:D,MATCH($B56,'Raw Data'!$C:$C,0)),"-")</f>
        <v>720.00019999999995</v>
      </c>
      <c r="D56" s="10">
        <f>IFERROR(INDEX('Raw Data'!E:E,MATCH($B56,'Raw Data'!$C:$C,0)),"-")</f>
        <v>380.215699999999</v>
      </c>
      <c r="E56" s="10">
        <f>IFERROR(INDEX('Raw Data'!H:H,MATCH($B56,'Raw Data'!$C:$C,0)),"-")</f>
        <v>339.78449999999998</v>
      </c>
      <c r="F56" s="10">
        <f>IFERROR(INDEX('Raw Data'!J:J,MATCH($B56,'Raw Data'!$C:$C,0)),"-")</f>
        <v>47.678199999999997</v>
      </c>
      <c r="G56" s="9">
        <f>IFERROR(INDEX('Raw Data'!O:O,MATCH($B56,'Raw Data'!$C:$C,0)),"-")</f>
        <v>0.52807721439999999</v>
      </c>
      <c r="H56" s="9">
        <f>IFERROR(INDEX('Raw Data'!P:P,MATCH($B56,'Raw Data'!$C:$C,0)),"-")</f>
        <v>0.85438923219999996</v>
      </c>
      <c r="I56" s="15" t="str">
        <f>IFERROR(INDEX('Raw Data'!AD:AD,MATCH($B56,'Raw Data'!$C:$C,0)),"-")</f>
        <v>Operational</v>
      </c>
    </row>
    <row r="57" spans="1:9" ht="15" customHeight="1" x14ac:dyDescent="0.35">
      <c r="A57" s="16" t="str">
        <f>IFERROR(INDEX('Raw Data'!AC:AC,MATCH($B57,'Raw Data'!$C:$C,0)),"")</f>
        <v>Dumper</v>
      </c>
      <c r="B57" s="11" t="s">
        <v>122</v>
      </c>
      <c r="C57" s="14">
        <f>IFERROR(INDEX('Raw Data'!D:D,MATCH($B57,'Raw Data'!$C:$C,0)),"-")</f>
        <v>720.0009</v>
      </c>
      <c r="D57" s="14">
        <f>IFERROR(INDEX('Raw Data'!E:E,MATCH($B57,'Raw Data'!$C:$C,0)),"-")</f>
        <v>363.65719999999902</v>
      </c>
      <c r="E57" s="14">
        <f>IFERROR(INDEX('Raw Data'!H:H,MATCH($B57,'Raw Data'!$C:$C,0)),"-")</f>
        <v>356.34370000000001</v>
      </c>
      <c r="F57" s="14">
        <f>IFERROR(INDEX('Raw Data'!J:J,MATCH($B57,'Raw Data'!$C:$C,0)),"-")</f>
        <v>55.396099999999997</v>
      </c>
      <c r="G57" s="13">
        <f>IFERROR(INDEX('Raw Data'!O:O,MATCH($B57,'Raw Data'!$C:$C,0)),"-")</f>
        <v>0.50507881310000002</v>
      </c>
      <c r="H57" s="13">
        <f>IFERROR(INDEX('Raw Data'!P:P,MATCH($B57,'Raw Data'!$C:$C,0)),"-")</f>
        <v>0.83825426800000002</v>
      </c>
      <c r="I57" s="16" t="str">
        <f>IFERROR(INDEX('Raw Data'!AD:AD,MATCH($B57,'Raw Data'!$C:$C,0)),"-")</f>
        <v>Operational</v>
      </c>
    </row>
    <row r="58" spans="1:9" ht="15" customHeight="1" x14ac:dyDescent="0.35">
      <c r="A58" s="15" t="str">
        <f>IFERROR(INDEX('Raw Data'!AC:AC,MATCH($B58,'Raw Data'!$C:$C,0)),"")</f>
        <v>Dumper</v>
      </c>
      <c r="B58" s="7" t="s">
        <v>106</v>
      </c>
      <c r="C58" s="10">
        <f>IFERROR(INDEX('Raw Data'!D:D,MATCH($B58,'Raw Data'!$C:$C,0)),"-")</f>
        <v>720.00009999999997</v>
      </c>
      <c r="D58" s="10">
        <f>IFERROR(INDEX('Raw Data'!E:E,MATCH($B58,'Raw Data'!$C:$C,0)),"-")</f>
        <v>361.44639999999998</v>
      </c>
      <c r="E58" s="10">
        <f>IFERROR(INDEX('Raw Data'!H:H,MATCH($B58,'Raw Data'!$C:$C,0)),"-")</f>
        <v>358.55369999999999</v>
      </c>
      <c r="F58" s="10">
        <f>IFERROR(INDEX('Raw Data'!J:J,MATCH($B58,'Raw Data'!$C:$C,0)),"-")</f>
        <v>47.751600000000003</v>
      </c>
      <c r="G58" s="9">
        <f>IFERROR(INDEX('Raw Data'!O:O,MATCH($B58,'Raw Data'!$C:$C,0)),"-")</f>
        <v>0.50200881919999996</v>
      </c>
      <c r="H58" s="9">
        <f>IFERROR(INDEX('Raw Data'!P:P,MATCH($B58,'Raw Data'!$C:$C,0)),"-")</f>
        <v>0.85902086730000005</v>
      </c>
      <c r="I58" s="15" t="str">
        <f>IFERROR(INDEX('Raw Data'!AD:AD,MATCH($B58,'Raw Data'!$C:$C,0)),"-")</f>
        <v>Operational</v>
      </c>
    </row>
    <row r="59" spans="1:9" ht="15" customHeight="1" x14ac:dyDescent="0.35">
      <c r="A59" s="16" t="str">
        <f>IFERROR(INDEX('Raw Data'!AC:AC,MATCH($B59,'Raw Data'!$C:$C,0)),"")</f>
        <v>Dumper</v>
      </c>
      <c r="B59" s="11" t="s">
        <v>128</v>
      </c>
      <c r="C59" s="14">
        <f>IFERROR(INDEX('Raw Data'!D:D,MATCH($B59,'Raw Data'!$C:$C,0)),"-")</f>
        <v>719.99860000000001</v>
      </c>
      <c r="D59" s="14">
        <f>IFERROR(INDEX('Raw Data'!E:E,MATCH($B59,'Raw Data'!$C:$C,0)),"-")</f>
        <v>334.76839999999999</v>
      </c>
      <c r="E59" s="14">
        <f>IFERROR(INDEX('Raw Data'!H:H,MATCH($B59,'Raw Data'!$C:$C,0)),"-")</f>
        <v>385.23020000000002</v>
      </c>
      <c r="F59" s="14">
        <f>IFERROR(INDEX('Raw Data'!J:J,MATCH($B59,'Raw Data'!$C:$C,0)),"-")</f>
        <v>43.131999999999998</v>
      </c>
      <c r="G59" s="13">
        <f>IFERROR(INDEX('Raw Data'!O:O,MATCH($B59,'Raw Data'!$C:$C,0)),"-")</f>
        <v>0.46495701519999999</v>
      </c>
      <c r="H59" s="13">
        <f>IFERROR(INDEX('Raw Data'!P:P,MATCH($B59,'Raw Data'!$C:$C,0)),"-")</f>
        <v>0.80891983830000003</v>
      </c>
      <c r="I59" s="16" t="str">
        <f>IFERROR(INDEX('Raw Data'!AD:AD,MATCH($B59,'Raw Data'!$C:$C,0)),"-")</f>
        <v>Operational</v>
      </c>
    </row>
    <row r="60" spans="1:9" ht="15" customHeight="1" x14ac:dyDescent="0.35">
      <c r="A60" s="15" t="str">
        <f>IFERROR(INDEX('Raw Data'!AC:AC,MATCH($B60,'Raw Data'!$C:$C,0)),"")</f>
        <v>Dumper</v>
      </c>
      <c r="B60" s="7" t="s">
        <v>133</v>
      </c>
      <c r="C60" s="10">
        <f>IFERROR(INDEX('Raw Data'!D:D,MATCH($B60,'Raw Data'!$C:$C,0)),"-")</f>
        <v>720.0009</v>
      </c>
      <c r="D60" s="10">
        <f>IFERROR(INDEX('Raw Data'!E:E,MATCH($B60,'Raw Data'!$C:$C,0)),"-")</f>
        <v>330.62459999999999</v>
      </c>
      <c r="E60" s="10">
        <f>IFERROR(INDEX('Raw Data'!H:H,MATCH($B60,'Raw Data'!$C:$C,0)),"-")</f>
        <v>389.37629999999899</v>
      </c>
      <c r="F60" s="10">
        <f>IFERROR(INDEX('Raw Data'!J:J,MATCH($B60,'Raw Data'!$C:$C,0)),"-")</f>
        <v>42.878799999999899</v>
      </c>
      <c r="G60" s="9">
        <f>IFERROR(INDEX('Raw Data'!O:O,MATCH($B60,'Raw Data'!$C:$C,0)),"-")</f>
        <v>0.45920025930000002</v>
      </c>
      <c r="H60" s="9">
        <f>IFERROR(INDEX('Raw Data'!P:P,MATCH($B60,'Raw Data'!$C:$C,0)),"-")</f>
        <v>0.84023602600000002</v>
      </c>
      <c r="I60" s="15" t="str">
        <f>IFERROR(INDEX('Raw Data'!AD:AD,MATCH($B60,'Raw Data'!$C:$C,0)),"-")</f>
        <v>Operational</v>
      </c>
    </row>
    <row r="61" spans="1:9" ht="15" customHeight="1" x14ac:dyDescent="0.35">
      <c r="A61" s="16" t="str">
        <f>IFERROR(INDEX('Raw Data'!AC:AC,MATCH($B61,'Raw Data'!$C:$C,0)),"")</f>
        <v>Dumper</v>
      </c>
      <c r="B61" s="11" t="s">
        <v>131</v>
      </c>
      <c r="C61" s="14">
        <f>IFERROR(INDEX('Raw Data'!D:D,MATCH($B61,'Raw Data'!$C:$C,0)),"-")</f>
        <v>719.99969999999905</v>
      </c>
      <c r="D61" s="14">
        <f>IFERROR(INDEX('Raw Data'!E:E,MATCH($B61,'Raw Data'!$C:$C,0)),"-")</f>
        <v>329.48899999999998</v>
      </c>
      <c r="E61" s="14">
        <f>IFERROR(INDEX('Raw Data'!H:H,MATCH($B61,'Raw Data'!$C:$C,0)),"-")</f>
        <v>390.51069999999902</v>
      </c>
      <c r="F61" s="14">
        <f>IFERROR(INDEX('Raw Data'!J:J,MATCH($B61,'Raw Data'!$C:$C,0)),"-")</f>
        <v>52.812399999999997</v>
      </c>
      <c r="G61" s="13">
        <f>IFERROR(INDEX('Raw Data'!O:O,MATCH($B61,'Raw Data'!$C:$C,0)),"-")</f>
        <v>0.45762380180000001</v>
      </c>
      <c r="H61" s="13">
        <f>IFERROR(INDEX('Raw Data'!P:P,MATCH($B61,'Raw Data'!$C:$C,0)),"-")</f>
        <v>0.82386695759999995</v>
      </c>
      <c r="I61" s="16" t="str">
        <f>IFERROR(INDEX('Raw Data'!AD:AD,MATCH($B61,'Raw Data'!$C:$C,0)),"-")</f>
        <v>Operational</v>
      </c>
    </row>
    <row r="62" spans="1:9" ht="15" customHeight="1" x14ac:dyDescent="0.35">
      <c r="A62" s="15" t="str">
        <f>IFERROR(INDEX('Raw Data'!AC:AC,MATCH($B62,'Raw Data'!$C:$C,0)),"")</f>
        <v>Dumper</v>
      </c>
      <c r="B62" s="7" t="s">
        <v>178</v>
      </c>
      <c r="C62" s="10">
        <f>IFERROR(INDEX('Raw Data'!D:D,MATCH($B62,'Raw Data'!$C:$C,0)),"-")</f>
        <v>719.99959999999896</v>
      </c>
      <c r="D62" s="10">
        <f>IFERROR(INDEX('Raw Data'!E:E,MATCH($B62,'Raw Data'!$C:$C,0)),"-")</f>
        <v>328.03829999999903</v>
      </c>
      <c r="E62" s="10">
        <f>IFERROR(INDEX('Raw Data'!H:H,MATCH($B62,'Raw Data'!$C:$C,0)),"-")</f>
        <v>391.96129999999903</v>
      </c>
      <c r="F62" s="10">
        <f>IFERROR(INDEX('Raw Data'!J:J,MATCH($B62,'Raw Data'!$C:$C,0)),"-")</f>
        <v>45.049699999999902</v>
      </c>
      <c r="G62" s="9">
        <f>IFERROR(INDEX('Raw Data'!O:O,MATCH($B62,'Raw Data'!$C:$C,0)),"-")</f>
        <v>0.45560900310000002</v>
      </c>
      <c r="H62" s="9">
        <f>IFERROR(INDEX('Raw Data'!P:P,MATCH($B62,'Raw Data'!$C:$C,0)),"-")</f>
        <v>0.84449376799999998</v>
      </c>
      <c r="I62" s="15" t="str">
        <f>IFERROR(INDEX('Raw Data'!AD:AD,MATCH($B62,'Raw Data'!$C:$C,0)),"-")</f>
        <v>Operational</v>
      </c>
    </row>
    <row r="63" spans="1:9" ht="15" customHeight="1" x14ac:dyDescent="0.35">
      <c r="A63" s="16" t="str">
        <f>IFERROR(INDEX('Raw Data'!AC:AC,MATCH($B63,'Raw Data'!$C:$C,0)),"")</f>
        <v>Dumper</v>
      </c>
      <c r="B63" s="11" t="s">
        <v>137</v>
      </c>
      <c r="C63" s="14">
        <f>IFERROR(INDEX('Raw Data'!D:D,MATCH($B63,'Raw Data'!$C:$C,0)),"-")</f>
        <v>719.99980000000005</v>
      </c>
      <c r="D63" s="14">
        <f>IFERROR(INDEX('Raw Data'!E:E,MATCH($B63,'Raw Data'!$C:$C,0)),"-")</f>
        <v>323.13639999999998</v>
      </c>
      <c r="E63" s="14">
        <f>IFERROR(INDEX('Raw Data'!H:H,MATCH($B63,'Raw Data'!$C:$C,0)),"-")</f>
        <v>396.86339999999899</v>
      </c>
      <c r="F63" s="14">
        <f>IFERROR(INDEX('Raw Data'!J:J,MATCH($B63,'Raw Data'!$C:$C,0)),"-")</f>
        <v>38.901299999999999</v>
      </c>
      <c r="G63" s="13">
        <f>IFERROR(INDEX('Raw Data'!O:O,MATCH($B63,'Raw Data'!$C:$C,0)),"-")</f>
        <v>0.44880068020000002</v>
      </c>
      <c r="H63" s="13">
        <f>IFERROR(INDEX('Raw Data'!P:P,MATCH($B63,'Raw Data'!$C:$C,0)),"-")</f>
        <v>0.86176580540000003</v>
      </c>
      <c r="I63" s="16" t="str">
        <f>IFERROR(INDEX('Raw Data'!AD:AD,MATCH($B63,'Raw Data'!$C:$C,0)),"-")</f>
        <v>Operational</v>
      </c>
    </row>
    <row r="64" spans="1:9" ht="15" customHeight="1" x14ac:dyDescent="0.35">
      <c r="A64" s="15" t="str">
        <f>IFERROR(INDEX('Raw Data'!AC:AC,MATCH($B64,'Raw Data'!$C:$C,0)),"")</f>
        <v>Dumper</v>
      </c>
      <c r="B64" s="7" t="s">
        <v>115</v>
      </c>
      <c r="C64" s="10">
        <f>IFERROR(INDEX('Raw Data'!D:D,MATCH($B64,'Raw Data'!$C:$C,0)),"-")</f>
        <v>720.00069999999903</v>
      </c>
      <c r="D64" s="10">
        <f>IFERROR(INDEX('Raw Data'!E:E,MATCH($B64,'Raw Data'!$C:$C,0)),"-")</f>
        <v>312.53120000000001</v>
      </c>
      <c r="E64" s="10">
        <f>IFERROR(INDEX('Raw Data'!H:H,MATCH($B64,'Raw Data'!$C:$C,0)),"-")</f>
        <v>407.46949999999902</v>
      </c>
      <c r="F64" s="10">
        <f>IFERROR(INDEX('Raw Data'!J:J,MATCH($B64,'Raw Data'!$C:$C,0)),"-")</f>
        <v>51.739199999999997</v>
      </c>
      <c r="G64" s="9">
        <f>IFERROR(INDEX('Raw Data'!O:O,MATCH($B64,'Raw Data'!$C:$C,0)),"-")</f>
        <v>0.43407068910000002</v>
      </c>
      <c r="H64" s="9">
        <f>IFERROR(INDEX('Raw Data'!P:P,MATCH($B64,'Raw Data'!$C:$C,0)),"-")</f>
        <v>0.76905185789999997</v>
      </c>
      <c r="I64" s="15" t="str">
        <f>IFERROR(INDEX('Raw Data'!AD:AD,MATCH($B64,'Raw Data'!$C:$C,0)),"-")</f>
        <v>Operational</v>
      </c>
    </row>
    <row r="65" spans="1:9" ht="15" customHeight="1" x14ac:dyDescent="0.35">
      <c r="A65" s="16" t="str">
        <f>IFERROR(INDEX('Raw Data'!AC:AC,MATCH($B65,'Raw Data'!$C:$C,0)),"")</f>
        <v>Dumper</v>
      </c>
      <c r="B65" s="11" t="s">
        <v>132</v>
      </c>
      <c r="C65" s="14">
        <f>IFERROR(INDEX('Raw Data'!D:D,MATCH($B65,'Raw Data'!$C:$C,0)),"-")</f>
        <v>720.00040000000001</v>
      </c>
      <c r="D65" s="14">
        <f>IFERROR(INDEX('Raw Data'!E:E,MATCH($B65,'Raw Data'!$C:$C,0)),"-")</f>
        <v>309.37439999999901</v>
      </c>
      <c r="E65" s="14">
        <f>IFERROR(INDEX('Raw Data'!H:H,MATCH($B65,'Raw Data'!$C:$C,0)),"-")</f>
        <v>410.62599999999998</v>
      </c>
      <c r="F65" s="14">
        <f>IFERROR(INDEX('Raw Data'!J:J,MATCH($B65,'Raw Data'!$C:$C,0)),"-")</f>
        <v>42.631700000000002</v>
      </c>
      <c r="G65" s="13">
        <f>IFERROR(INDEX('Raw Data'!O:O,MATCH($B65,'Raw Data'!$C:$C,0)),"-")</f>
        <v>0.42968642800000001</v>
      </c>
      <c r="H65" s="13">
        <f>IFERROR(INDEX('Raw Data'!P:P,MATCH($B65,'Raw Data'!$C:$C,0)),"-")</f>
        <v>0.83820865590000004</v>
      </c>
      <c r="I65" s="16" t="str">
        <f>IFERROR(INDEX('Raw Data'!AD:AD,MATCH($B65,'Raw Data'!$C:$C,0)),"-")</f>
        <v>Operational</v>
      </c>
    </row>
    <row r="66" spans="1:9" ht="15" customHeight="1" x14ac:dyDescent="0.35">
      <c r="A66" s="15" t="str">
        <f>IFERROR(INDEX('Raw Data'!AC:AC,MATCH($B66,'Raw Data'!$C:$C,0)),"")</f>
        <v>Dumper</v>
      </c>
      <c r="B66" s="7" t="s">
        <v>114</v>
      </c>
      <c r="C66" s="10">
        <f>IFERROR(INDEX('Raw Data'!D:D,MATCH($B66,'Raw Data'!$C:$C,0)),"-")</f>
        <v>720.00069999999903</v>
      </c>
      <c r="D66" s="10">
        <f>IFERROR(INDEX('Raw Data'!E:E,MATCH($B66,'Raw Data'!$C:$C,0)),"-")</f>
        <v>296.43769999999898</v>
      </c>
      <c r="E66" s="10">
        <f>IFERROR(INDEX('Raw Data'!H:H,MATCH($B66,'Raw Data'!$C:$C,0)),"-")</f>
        <v>423.56299999999999</v>
      </c>
      <c r="F66" s="10">
        <f>IFERROR(INDEX('Raw Data'!J:J,MATCH($B66,'Raw Data'!$C:$C,0)),"-")</f>
        <v>38.878299999999903</v>
      </c>
      <c r="G66" s="9">
        <f>IFERROR(INDEX('Raw Data'!O:O,MATCH($B66,'Raw Data'!$C:$C,0)),"-")</f>
        <v>0.41171862749999999</v>
      </c>
      <c r="H66" s="9">
        <f>IFERROR(INDEX('Raw Data'!P:P,MATCH($B66,'Raw Data'!$C:$C,0)),"-")</f>
        <v>0.85421759779999995</v>
      </c>
      <c r="I66" s="15" t="str">
        <f>IFERROR(INDEX('Raw Data'!AD:AD,MATCH($B66,'Raw Data'!$C:$C,0)),"-")</f>
        <v>Operational</v>
      </c>
    </row>
    <row r="67" spans="1:9" ht="15" customHeight="1" x14ac:dyDescent="0.35">
      <c r="A67" s="16" t="str">
        <f>IFERROR(INDEX('Raw Data'!AC:AC,MATCH($B67,'Raw Data'!$C:$C,0)),"")</f>
        <v>Dumper</v>
      </c>
      <c r="B67" s="11" t="s">
        <v>121</v>
      </c>
      <c r="C67" s="14">
        <f>IFERROR(INDEX('Raw Data'!D:D,MATCH($B67,'Raw Data'!$C:$C,0)),"-")</f>
        <v>720.00040000000001</v>
      </c>
      <c r="D67" s="14">
        <f>IFERROR(INDEX('Raw Data'!E:E,MATCH($B67,'Raw Data'!$C:$C,0)),"-")</f>
        <v>292.81400000000002</v>
      </c>
      <c r="E67" s="14">
        <f>IFERROR(INDEX('Raw Data'!H:H,MATCH($B67,'Raw Data'!$C:$C,0)),"-")</f>
        <v>427.18639999999999</v>
      </c>
      <c r="F67" s="14">
        <f>IFERROR(INDEX('Raw Data'!J:J,MATCH($B67,'Raw Data'!$C:$C,0)),"-")</f>
        <v>48.232199999999899</v>
      </c>
      <c r="G67" s="13">
        <f>IFERROR(INDEX('Raw Data'!O:O,MATCH($B67,'Raw Data'!$C:$C,0)),"-")</f>
        <v>0.40668588519999999</v>
      </c>
      <c r="H67" s="13">
        <f>IFERROR(INDEX('Raw Data'!P:P,MATCH($B67,'Raw Data'!$C:$C,0)),"-")</f>
        <v>0.81969338899999999</v>
      </c>
      <c r="I67" s="16" t="str">
        <f>IFERROR(INDEX('Raw Data'!AD:AD,MATCH($B67,'Raw Data'!$C:$C,0)),"-")</f>
        <v>Operational</v>
      </c>
    </row>
    <row r="68" spans="1:9" ht="15" customHeight="1" x14ac:dyDescent="0.35">
      <c r="A68" s="15" t="str">
        <f>IFERROR(INDEX('Raw Data'!AC:AC,MATCH($B68,'Raw Data'!$C:$C,0)),"")</f>
        <v>Dumper</v>
      </c>
      <c r="B68" s="7" t="s">
        <v>126</v>
      </c>
      <c r="C68" s="10">
        <f>IFERROR(INDEX('Raw Data'!D:D,MATCH($B68,'Raw Data'!$C:$C,0)),"-")</f>
        <v>720.00009999999895</v>
      </c>
      <c r="D68" s="10">
        <f>IFERROR(INDEX('Raw Data'!E:E,MATCH($B68,'Raw Data'!$C:$C,0)),"-")</f>
        <v>260.677199999999</v>
      </c>
      <c r="E68" s="10">
        <f>IFERROR(INDEX('Raw Data'!H:H,MATCH($B68,'Raw Data'!$C:$C,0)),"-")</f>
        <v>459.32289999999898</v>
      </c>
      <c r="F68" s="10">
        <f>IFERROR(INDEX('Raw Data'!J:J,MATCH($B68,'Raw Data'!$C:$C,0)),"-")</f>
        <v>41.483699999999899</v>
      </c>
      <c r="G68" s="9">
        <f>IFERROR(INDEX('Raw Data'!O:O,MATCH($B68,'Raw Data'!$C:$C,0)),"-")</f>
        <v>0.3620516164</v>
      </c>
      <c r="H68" s="9">
        <f>IFERROR(INDEX('Raw Data'!P:P,MATCH($B68,'Raw Data'!$C:$C,0)),"-")</f>
        <v>0.83148852299999998</v>
      </c>
      <c r="I68" s="15" t="str">
        <f>IFERROR(INDEX('Raw Data'!AD:AD,MATCH($B68,'Raw Data'!$C:$C,0)),"-")</f>
        <v>Operational</v>
      </c>
    </row>
    <row r="69" spans="1:9" ht="15" customHeight="1" x14ac:dyDescent="0.35">
      <c r="A69" s="16" t="str">
        <f>IFERROR(INDEX('Raw Data'!AC:AC,MATCH($B69,'Raw Data'!$C:$C,0)),"")</f>
        <v>Dumper</v>
      </c>
      <c r="B69" s="11" t="s">
        <v>125</v>
      </c>
      <c r="C69" s="14">
        <f>IFERROR(INDEX('Raw Data'!D:D,MATCH($B69,'Raw Data'!$C:$C,0)),"-")</f>
        <v>720.00009999999997</v>
      </c>
      <c r="D69" s="14">
        <f>IFERROR(INDEX('Raw Data'!E:E,MATCH($B69,'Raw Data'!$C:$C,0)),"-")</f>
        <v>251.49689999999899</v>
      </c>
      <c r="E69" s="14">
        <f>IFERROR(INDEX('Raw Data'!H:H,MATCH($B69,'Raw Data'!$C:$C,0)),"-")</f>
        <v>468.50319999999999</v>
      </c>
      <c r="F69" s="14">
        <f>IFERROR(INDEX('Raw Data'!J:J,MATCH($B69,'Raw Data'!$C:$C,0)),"-")</f>
        <v>28.5136</v>
      </c>
      <c r="G69" s="13">
        <f>IFERROR(INDEX('Raw Data'!O:O,MATCH($B69,'Raw Data'!$C:$C,0)),"-")</f>
        <v>0.34930120149999999</v>
      </c>
      <c r="H69" s="13">
        <f>IFERROR(INDEX('Raw Data'!P:P,MATCH($B69,'Raw Data'!$C:$C,0)),"-")</f>
        <v>0.87788318659999998</v>
      </c>
      <c r="I69" s="16" t="str">
        <f>IFERROR(INDEX('Raw Data'!AD:AD,MATCH($B69,'Raw Data'!$C:$C,0)),"-")</f>
        <v>Operational</v>
      </c>
    </row>
    <row r="70" spans="1:9" ht="15" customHeight="1" x14ac:dyDescent="0.35">
      <c r="A70" s="15" t="str">
        <f>IFERROR(INDEX('Raw Data'!AC:AC,MATCH($B70,'Raw Data'!$C:$C,0)),"")</f>
        <v>Dumper</v>
      </c>
      <c r="B70" s="7" t="s">
        <v>108</v>
      </c>
      <c r="C70" s="10">
        <f>IFERROR(INDEX('Raw Data'!D:D,MATCH($B70,'Raw Data'!$C:$C,0)),"-")</f>
        <v>720.00009999999997</v>
      </c>
      <c r="D70" s="10">
        <f>IFERROR(INDEX('Raw Data'!E:E,MATCH($B70,'Raw Data'!$C:$C,0)),"-")</f>
        <v>248.23740000000001</v>
      </c>
      <c r="E70" s="10">
        <f>IFERROR(INDEX('Raw Data'!H:H,MATCH($B70,'Raw Data'!$C:$C,0)),"-")</f>
        <v>471.76269999999897</v>
      </c>
      <c r="F70" s="10">
        <f>IFERROR(INDEX('Raw Data'!J:J,MATCH($B70,'Raw Data'!$C:$C,0)),"-")</f>
        <v>33.439700000000002</v>
      </c>
      <c r="G70" s="9">
        <f>IFERROR(INDEX('Raw Data'!O:O,MATCH($B70,'Raw Data'!$C:$C,0)),"-")</f>
        <v>0.34477411879999997</v>
      </c>
      <c r="H70" s="9">
        <f>IFERROR(INDEX('Raw Data'!P:P,MATCH($B70,'Raw Data'!$C:$C,0)),"-")</f>
        <v>0.84790768839999997</v>
      </c>
      <c r="I70" s="15" t="str">
        <f>IFERROR(INDEX('Raw Data'!AD:AD,MATCH($B70,'Raw Data'!$C:$C,0)),"-")</f>
        <v>Operational</v>
      </c>
    </row>
    <row r="71" spans="1:9" ht="15" customHeight="1" x14ac:dyDescent="0.35">
      <c r="A71" s="16" t="str">
        <f>IFERROR(INDEX('Raw Data'!AC:AC,MATCH($B71,'Raw Data'!$C:$C,0)),"")</f>
        <v>Dumper</v>
      </c>
      <c r="B71" s="11" t="s">
        <v>102</v>
      </c>
      <c r="C71" s="14">
        <f>IFERROR(INDEX('Raw Data'!D:D,MATCH($B71,'Raw Data'!$C:$C,0)),"-")</f>
        <v>719.99969999999905</v>
      </c>
      <c r="D71" s="14">
        <f>IFERROR(INDEX('Raw Data'!E:E,MATCH($B71,'Raw Data'!$C:$C,0)),"-")</f>
        <v>229.53829999999999</v>
      </c>
      <c r="E71" s="14">
        <f>IFERROR(INDEX('Raw Data'!H:H,MATCH($B71,'Raw Data'!$C:$C,0)),"-")</f>
        <v>490.461399999999</v>
      </c>
      <c r="F71" s="14">
        <f>IFERROR(INDEX('Raw Data'!J:J,MATCH($B71,'Raw Data'!$C:$C,0)),"-")</f>
        <v>112.5214</v>
      </c>
      <c r="G71" s="13">
        <f>IFERROR(INDEX('Raw Data'!O:O,MATCH($B71,'Raw Data'!$C:$C,0)),"-")</f>
        <v>0.31880332729999999</v>
      </c>
      <c r="H71" s="13">
        <f>IFERROR(INDEX('Raw Data'!P:P,MATCH($B71,'Raw Data'!$C:$C,0)),"-")</f>
        <v>0.48601126700000002</v>
      </c>
      <c r="I71" s="16" t="str">
        <f>IFERROR(INDEX('Raw Data'!AD:AD,MATCH($B71,'Raw Data'!$C:$C,0)),"-")</f>
        <v>Operational</v>
      </c>
    </row>
    <row r="72" spans="1:9" ht="15" customHeight="1" x14ac:dyDescent="0.35">
      <c r="A72" s="15" t="str">
        <f>IFERROR(INDEX('Raw Data'!AC:AC,MATCH($B72,'Raw Data'!$C:$C,0)),"")</f>
        <v>Dumper</v>
      </c>
      <c r="B72" s="7" t="s">
        <v>103</v>
      </c>
      <c r="C72" s="10">
        <f>IFERROR(INDEX('Raw Data'!D:D,MATCH($B72,'Raw Data'!$C:$C,0)),"-")</f>
        <v>720.00070000000005</v>
      </c>
      <c r="D72" s="10">
        <f>IFERROR(INDEX('Raw Data'!E:E,MATCH($B72,'Raw Data'!$C:$C,0)),"-")</f>
        <v>225.22309999999899</v>
      </c>
      <c r="E72" s="10">
        <f>IFERROR(INDEX('Raw Data'!H:H,MATCH($B72,'Raw Data'!$C:$C,0)),"-")</f>
        <v>494.77760000000001</v>
      </c>
      <c r="F72" s="10">
        <f>IFERROR(INDEX('Raw Data'!J:J,MATCH($B72,'Raw Data'!$C:$C,0)),"-")</f>
        <v>32.357799999999898</v>
      </c>
      <c r="G72" s="9">
        <f>IFERROR(INDEX('Raw Data'!O:O,MATCH($B72,'Raw Data'!$C:$C,0)),"-")</f>
        <v>0.31280955700000002</v>
      </c>
      <c r="H72" s="9">
        <f>IFERROR(INDEX('Raw Data'!P:P,MATCH($B72,'Raw Data'!$C:$C,0)),"-")</f>
        <v>0.83962257870000001</v>
      </c>
      <c r="I72" s="15" t="str">
        <f>IFERROR(INDEX('Raw Data'!AD:AD,MATCH($B72,'Raw Data'!$C:$C,0)),"-")</f>
        <v>Operational</v>
      </c>
    </row>
    <row r="73" spans="1:9" ht="15" customHeight="1" x14ac:dyDescent="0.35">
      <c r="A73" s="16" t="str">
        <f>IFERROR(INDEX('Raw Data'!AC:AC,MATCH($B73,'Raw Data'!$C:$C,0)),"")</f>
        <v>Dumper</v>
      </c>
      <c r="B73" s="11" t="s">
        <v>124</v>
      </c>
      <c r="C73" s="14">
        <f>IFERROR(INDEX('Raw Data'!D:D,MATCH($B73,'Raw Data'!$C:$C,0)),"-")</f>
        <v>720.00059999999996</v>
      </c>
      <c r="D73" s="14">
        <f>IFERROR(INDEX('Raw Data'!E:E,MATCH($B73,'Raw Data'!$C:$C,0)),"-")</f>
        <v>202.43619999999899</v>
      </c>
      <c r="E73" s="14">
        <f>IFERROR(INDEX('Raw Data'!H:H,MATCH($B73,'Raw Data'!$C:$C,0)),"-")</f>
        <v>517.56439999999998</v>
      </c>
      <c r="F73" s="14">
        <f>IFERROR(INDEX('Raw Data'!J:J,MATCH($B73,'Raw Data'!$C:$C,0)),"-")</f>
        <v>33.273000000000003</v>
      </c>
      <c r="G73" s="13">
        <f>IFERROR(INDEX('Raw Data'!O:O,MATCH($B73,'Raw Data'!$C:$C,0)),"-")</f>
        <v>0.28116115460000002</v>
      </c>
      <c r="H73" s="13">
        <f>IFERROR(INDEX('Raw Data'!P:P,MATCH($B73,'Raw Data'!$C:$C,0)),"-")</f>
        <v>0.82025299819999997</v>
      </c>
      <c r="I73" s="16" t="str">
        <f>IFERROR(INDEX('Raw Data'!AD:AD,MATCH($B73,'Raw Data'!$C:$C,0)),"-")</f>
        <v>Operational</v>
      </c>
    </row>
    <row r="74" spans="1:9" ht="15" customHeight="1" x14ac:dyDescent="0.35">
      <c r="A74" s="15" t="str">
        <f>IFERROR(INDEX('Raw Data'!AC:AC,MATCH($B74,'Raw Data'!$C:$C,0)),"")</f>
        <v>Dumper</v>
      </c>
      <c r="B74" s="7" t="s">
        <v>119</v>
      </c>
      <c r="C74" s="10">
        <f>IFERROR(INDEX('Raw Data'!D:D,MATCH($B74,'Raw Data'!$C:$C,0)),"-")</f>
        <v>720.00030000000004</v>
      </c>
      <c r="D74" s="10">
        <f>IFERROR(INDEX('Raw Data'!E:E,MATCH($B74,'Raw Data'!$C:$C,0)),"-")</f>
        <v>145.209</v>
      </c>
      <c r="E74" s="10">
        <f>IFERROR(INDEX('Raw Data'!H:H,MATCH($B74,'Raw Data'!$C:$C,0)),"-")</f>
        <v>574.79129999999998</v>
      </c>
      <c r="F74" s="10">
        <f>IFERROR(INDEX('Raw Data'!J:J,MATCH($B74,'Raw Data'!$C:$C,0)),"-")</f>
        <v>22.305199999999999</v>
      </c>
      <c r="G74" s="9">
        <f>IFERROR(INDEX('Raw Data'!O:O,MATCH($B74,'Raw Data'!$C:$C,0)),"-")</f>
        <v>0.2016790826</v>
      </c>
      <c r="H74" s="9">
        <f>IFERROR(INDEX('Raw Data'!P:P,MATCH($B74,'Raw Data'!$C:$C,0)),"-")</f>
        <v>0.82660992089999996</v>
      </c>
      <c r="I74" s="15" t="str">
        <f>IFERROR(INDEX('Raw Data'!AD:AD,MATCH($B74,'Raw Data'!$C:$C,0)),"-")</f>
        <v>Operational</v>
      </c>
    </row>
    <row r="75" spans="1:9" ht="15" customHeight="1" x14ac:dyDescent="0.35">
      <c r="A75" s="16" t="str">
        <f>IFERROR(INDEX('Raw Data'!AC:AC,MATCH($B75,'Raw Data'!$C:$C,0)),"")</f>
        <v>Dumper</v>
      </c>
      <c r="B75" s="11" t="s">
        <v>117</v>
      </c>
      <c r="C75" s="14">
        <f>IFERROR(INDEX('Raw Data'!D:D,MATCH($B75,'Raw Data'!$C:$C,0)),"-")</f>
        <v>716.45849999999996</v>
      </c>
      <c r="D75" s="14">
        <f>IFERROR(INDEX('Raw Data'!E:E,MATCH($B75,'Raw Data'!$C:$C,0)),"-")</f>
        <v>129.17779999999999</v>
      </c>
      <c r="E75" s="14">
        <f>IFERROR(INDEX('Raw Data'!H:H,MATCH($B75,'Raw Data'!$C:$C,0)),"-")</f>
        <v>587.28070000000002</v>
      </c>
      <c r="F75" s="14">
        <f>IFERROR(INDEX('Raw Data'!J:J,MATCH($B75,'Raw Data'!$C:$C,0)),"-")</f>
        <v>20.011700000000001</v>
      </c>
      <c r="G75" s="13">
        <f>IFERROR(INDEX('Raw Data'!O:O,MATCH($B75,'Raw Data'!$C:$C,0)),"-")</f>
        <v>0.18030046399999999</v>
      </c>
      <c r="H75" s="13">
        <f>IFERROR(INDEX('Raw Data'!P:P,MATCH($B75,'Raw Data'!$C:$C,0)),"-")</f>
        <v>0.75922565639999995</v>
      </c>
      <c r="I75" s="16" t="str">
        <f>IFERROR(INDEX('Raw Data'!AD:AD,MATCH($B75,'Raw Data'!$C:$C,0)),"-")</f>
        <v>Operational</v>
      </c>
    </row>
    <row r="76" spans="1:9" ht="15" customHeight="1" x14ac:dyDescent="0.35">
      <c r="A76" s="15" t="str">
        <f>IFERROR(INDEX('Raw Data'!AC:AC,MATCH($B76,'Raw Data'!$C:$C,0)),"")</f>
        <v>Dumper</v>
      </c>
      <c r="B76" s="7" t="s">
        <v>179</v>
      </c>
      <c r="C76" s="10">
        <f>IFERROR(INDEX('Raw Data'!D:D,MATCH($B76,'Raw Data'!$C:$C,0)),"-")</f>
        <v>719.99990000000003</v>
      </c>
      <c r="D76" s="10">
        <f>IFERROR(INDEX('Raw Data'!E:E,MATCH($B76,'Raw Data'!$C:$C,0)),"-")</f>
        <v>128.980999999999</v>
      </c>
      <c r="E76" s="10">
        <f>IFERROR(INDEX('Raw Data'!H:H,MATCH($B76,'Raw Data'!$C:$C,0)),"-")</f>
        <v>591.01890000000003</v>
      </c>
      <c r="F76" s="10">
        <f>IFERROR(INDEX('Raw Data'!J:J,MATCH($B76,'Raw Data'!$C:$C,0)),"-")</f>
        <v>12.9475</v>
      </c>
      <c r="G76" s="9">
        <f>IFERROR(INDEX('Raw Data'!O:O,MATCH($B76,'Raw Data'!$C:$C,0)),"-")</f>
        <v>0.1791403027</v>
      </c>
      <c r="H76" s="9">
        <f>IFERROR(INDEX('Raw Data'!P:P,MATCH($B76,'Raw Data'!$C:$C,0)),"-")</f>
        <v>0.87807118880000001</v>
      </c>
      <c r="I76" s="15" t="str">
        <f>IFERROR(INDEX('Raw Data'!AD:AD,MATCH($B76,'Raw Data'!$C:$C,0)),"-")</f>
        <v>Operational</v>
      </c>
    </row>
    <row r="77" spans="1:9" ht="15" customHeight="1" x14ac:dyDescent="0.35">
      <c r="A77" s="16" t="str">
        <f>IFERROR(INDEX('Raw Data'!AC:AC,MATCH($B77,'Raw Data'!$C:$C,0)),"")</f>
        <v>Dumper</v>
      </c>
      <c r="B77" s="11" t="s">
        <v>113</v>
      </c>
      <c r="C77" s="14">
        <f>IFERROR(INDEX('Raw Data'!D:D,MATCH($B77,'Raw Data'!$C:$C,0)),"-")</f>
        <v>720.00019999999995</v>
      </c>
      <c r="D77" s="14">
        <f>IFERROR(INDEX('Raw Data'!E:E,MATCH($B77,'Raw Data'!$C:$C,0)),"-")</f>
        <v>71.501199999999997</v>
      </c>
      <c r="E77" s="14">
        <f>IFERROR(INDEX('Raw Data'!H:H,MATCH($B77,'Raw Data'!$C:$C,0)),"-")</f>
        <v>648.49900000000002</v>
      </c>
      <c r="F77" s="14">
        <f>IFERROR(INDEX('Raw Data'!J:J,MATCH($B77,'Raw Data'!$C:$C,0)),"-")</f>
        <v>6.0026000000000002</v>
      </c>
      <c r="G77" s="13">
        <f>IFERROR(INDEX('Raw Data'!O:O,MATCH($B77,'Raw Data'!$C:$C,0)),"-")</f>
        <v>9.9307194599999996E-2</v>
      </c>
      <c r="H77" s="13">
        <f>IFERROR(INDEX('Raw Data'!P:P,MATCH($B77,'Raw Data'!$C:$C,0)),"-")</f>
        <v>0.90437643000000001</v>
      </c>
      <c r="I77" s="16" t="str">
        <f>IFERROR(INDEX('Raw Data'!AD:AD,MATCH($B77,'Raw Data'!$C:$C,0)),"-")</f>
        <v>Operational</v>
      </c>
    </row>
    <row r="78" spans="1:9" ht="15" customHeight="1" x14ac:dyDescent="0.35">
      <c r="A78" s="15" t="str">
        <f>IFERROR(INDEX('Raw Data'!AC:AC,MATCH($B78,'Raw Data'!$C:$C,0)),"")</f>
        <v>Dumper</v>
      </c>
      <c r="B78" s="7" t="s">
        <v>123</v>
      </c>
      <c r="C78" s="10">
        <f>IFERROR(INDEX('Raw Data'!D:D,MATCH($B78,'Raw Data'!$C:$C,0)),"-")</f>
        <v>719.99959999999999</v>
      </c>
      <c r="D78" s="10">
        <f>IFERROR(INDEX('Raw Data'!E:E,MATCH($B78,'Raw Data'!$C:$C,0)),"-")</f>
        <v>46.9</v>
      </c>
      <c r="E78" s="10">
        <f>IFERROR(INDEX('Raw Data'!H:H,MATCH($B78,'Raw Data'!$C:$C,0)),"-")</f>
        <v>673.09960000000001</v>
      </c>
      <c r="F78" s="10">
        <f>IFERROR(INDEX('Raw Data'!J:J,MATCH($B78,'Raw Data'!$C:$C,0)),"-")</f>
        <v>7.8440000000000003</v>
      </c>
      <c r="G78" s="9">
        <f>IFERROR(INDEX('Raw Data'!O:O,MATCH($B78,'Raw Data'!$C:$C,0)),"-")</f>
        <v>6.5138925099999995E-2</v>
      </c>
      <c r="H78" s="9">
        <f>IFERROR(INDEX('Raw Data'!P:P,MATCH($B78,'Raw Data'!$C:$C,0)),"-")</f>
        <v>0.8187462687</v>
      </c>
      <c r="I78" s="15" t="str">
        <f>IFERROR(INDEX('Raw Data'!AD:AD,MATCH($B78,'Raw Data'!$C:$C,0)),"-")</f>
        <v>Operational</v>
      </c>
    </row>
    <row r="79" spans="1:9" ht="15" customHeight="1" x14ac:dyDescent="0.35">
      <c r="A79" s="16" t="str">
        <f>IFERROR(INDEX('Raw Data'!AC:AC,MATCH($B79,'Raw Data'!$C:$C,0)),"")</f>
        <v>Dumper</v>
      </c>
      <c r="B79" s="11" t="s">
        <v>112</v>
      </c>
      <c r="C79" s="14">
        <f>IFERROR(INDEX('Raw Data'!D:D,MATCH($B79,'Raw Data'!$C:$C,0)),"-")</f>
        <v>719.999899999999</v>
      </c>
      <c r="D79" s="14">
        <f>IFERROR(INDEX('Raw Data'!E:E,MATCH($B79,'Raw Data'!$C:$C,0)),"-")</f>
        <v>4.5401999999999996</v>
      </c>
      <c r="E79" s="14">
        <f>IFERROR(INDEX('Raw Data'!H:H,MATCH($B79,'Raw Data'!$C:$C,0)),"-")</f>
        <v>715.4597</v>
      </c>
      <c r="F79" s="14">
        <f>IFERROR(INDEX('Raw Data'!J:J,MATCH($B79,'Raw Data'!$C:$C,0)),"-")</f>
        <v>1.1785999999999901</v>
      </c>
      <c r="G79" s="13">
        <f>IFERROR(INDEX('Raw Data'!O:O,MATCH($B79,'Raw Data'!$C:$C,0)),"-")</f>
        <v>6.3058341999999998E-3</v>
      </c>
      <c r="H79" s="13">
        <f>IFERROR(INDEX('Raw Data'!P:P,MATCH($B79,'Raw Data'!$C:$C,0)),"-")</f>
        <v>0.70946213820000004</v>
      </c>
      <c r="I79" s="16" t="str">
        <f>IFERROR(INDEX('Raw Data'!AD:AD,MATCH($B79,'Raw Data'!$C:$C,0)),"-")</f>
        <v>Operational</v>
      </c>
    </row>
    <row r="80" spans="1:9" ht="15" customHeight="1" x14ac:dyDescent="0.35">
      <c r="A80" s="15" t="str">
        <f>IFERROR(INDEX('Raw Data'!AC:AC,MATCH($B80,'Raw Data'!$C:$C,0)),"")</f>
        <v>Dumper</v>
      </c>
      <c r="B80" s="7" t="s">
        <v>176</v>
      </c>
      <c r="C80" s="10">
        <f>IFERROR(INDEX('Raw Data'!D:D,MATCH($B80,'Raw Data'!$C:$C,0)),"-")</f>
        <v>719.999899999999</v>
      </c>
      <c r="D80" s="10">
        <f>IFERROR(INDEX('Raw Data'!E:E,MATCH($B80,'Raw Data'!$C:$C,0)),"-")</f>
        <v>0.79579999999999995</v>
      </c>
      <c r="E80" s="10">
        <f>IFERROR(INDEX('Raw Data'!H:H,MATCH($B80,'Raw Data'!$C:$C,0)),"-")</f>
        <v>719.20409999999902</v>
      </c>
      <c r="F80" s="10">
        <f>IFERROR(INDEX('Raw Data'!J:J,MATCH($B80,'Raw Data'!$C:$C,0)),"-")</f>
        <v>0.71940000000000004</v>
      </c>
      <c r="G80" s="9">
        <f>IFERROR(INDEX('Raw Data'!O:O,MATCH($B80,'Raw Data'!$C:$C,0)),"-")</f>
        <v>1.1052779000000001E-3</v>
      </c>
      <c r="H80" s="9">
        <f>IFERROR(INDEX('Raw Data'!P:P,MATCH($B80,'Raw Data'!$C:$C,0)),"-")</f>
        <v>0</v>
      </c>
      <c r="I80" s="15" t="str">
        <f>IFERROR(INDEX('Raw Data'!AD:AD,MATCH($B80,'Raw Data'!$C:$C,0)),"-")</f>
        <v>Operational</v>
      </c>
    </row>
    <row r="81" spans="1:9" ht="15" customHeight="1" x14ac:dyDescent="0.35">
      <c r="A81" s="16" t="str">
        <f>IFERROR(INDEX('Raw Data'!AC:AC,MATCH($B81,'Raw Data'!$C:$C,0)),"")</f>
        <v>Dumper</v>
      </c>
      <c r="B81" s="11" t="s">
        <v>120</v>
      </c>
      <c r="C81" s="14">
        <f>IFERROR(INDEX('Raw Data'!D:D,MATCH($B81,'Raw Data'!$C:$C,0)),"-")</f>
        <v>720</v>
      </c>
      <c r="D81" s="14">
        <f>IFERROR(INDEX('Raw Data'!E:E,MATCH($B81,'Raw Data'!$C:$C,0)),"-")</f>
        <v>0</v>
      </c>
      <c r="E81" s="14">
        <f>IFERROR(INDEX('Raw Data'!H:H,MATCH($B81,'Raw Data'!$C:$C,0)),"-")</f>
        <v>720</v>
      </c>
      <c r="F81" s="14">
        <f>IFERROR(INDEX('Raw Data'!J:J,MATCH($B81,'Raw Data'!$C:$C,0)),"-")</f>
        <v>0</v>
      </c>
      <c r="G81" s="13">
        <f>IFERROR(INDEX('Raw Data'!O:O,MATCH($B81,'Raw Data'!$C:$C,0)),"-")</f>
        <v>0</v>
      </c>
      <c r="H81" s="13">
        <f>IFERROR(INDEX('Raw Data'!P:P,MATCH($B81,'Raw Data'!$C:$C,0)),"-")</f>
        <v>0</v>
      </c>
      <c r="I81" s="16" t="str">
        <f>IFERROR(INDEX('Raw Data'!AD:AD,MATCH($B81,'Raw Data'!$C:$C,0)),"-")</f>
        <v>Non-Operational</v>
      </c>
    </row>
    <row r="82" spans="1:9" ht="15" customHeight="1" x14ac:dyDescent="0.35">
      <c r="A82" s="15" t="str">
        <f>IFERROR(INDEX('Raw Data'!AC:AC,MATCH($B82,'Raw Data'!$C:$C,0)),"")</f>
        <v>Dumper</v>
      </c>
      <c r="B82" s="7" t="s">
        <v>161</v>
      </c>
      <c r="C82" s="10">
        <f>IFERROR(INDEX('Raw Data'!D:D,MATCH($B82,'Raw Data'!$C:$C,0)),"-")</f>
        <v>720</v>
      </c>
      <c r="D82" s="10">
        <f>IFERROR(INDEX('Raw Data'!E:E,MATCH($B82,'Raw Data'!$C:$C,0)),"-")</f>
        <v>0</v>
      </c>
      <c r="E82" s="10">
        <f>IFERROR(INDEX('Raw Data'!H:H,MATCH($B82,'Raw Data'!$C:$C,0)),"-")</f>
        <v>720</v>
      </c>
      <c r="F82" s="10">
        <f>IFERROR(INDEX('Raw Data'!J:J,MATCH($B82,'Raw Data'!$C:$C,0)),"-")</f>
        <v>0</v>
      </c>
      <c r="G82" s="9">
        <f>IFERROR(INDEX('Raw Data'!O:O,MATCH($B82,'Raw Data'!$C:$C,0)),"-")</f>
        <v>0</v>
      </c>
      <c r="H82" s="9">
        <f>IFERROR(INDEX('Raw Data'!P:P,MATCH($B82,'Raw Data'!$C:$C,0)),"-")</f>
        <v>0</v>
      </c>
      <c r="I82" s="15" t="str">
        <f>IFERROR(INDEX('Raw Data'!AD:AD,MATCH($B82,'Raw Data'!$C:$C,0)),"-")</f>
        <v>Non-Operational</v>
      </c>
    </row>
    <row r="83" spans="1:9" ht="18" customHeight="1" x14ac:dyDescent="0.35">
      <c r="A83" s="75" t="s">
        <v>278</v>
      </c>
      <c r="B83" s="62"/>
      <c r="C83" s="62"/>
      <c r="D83" s="62"/>
      <c r="E83" s="62"/>
      <c r="F83" s="62"/>
      <c r="G83" s="62"/>
      <c r="H83" s="62"/>
      <c r="I83" s="62"/>
    </row>
    <row r="84" spans="1:9" ht="15" customHeight="1" x14ac:dyDescent="0.35">
      <c r="A84" s="15" t="str">
        <f>IFERROR(INDEX('Raw Data'!AC:AC,MATCH($B84,'Raw Data'!$C:$C,0)),"")</f>
        <v>Excavator</v>
      </c>
      <c r="B84" s="7" t="s">
        <v>200</v>
      </c>
      <c r="C84" s="10">
        <f>IFERROR(INDEX('Raw Data'!D:D,MATCH($B84,'Raw Data'!$C:$C,0)),"-")</f>
        <v>719.99969999999905</v>
      </c>
      <c r="D84" s="10">
        <f>IFERROR(INDEX('Raw Data'!E:E,MATCH($B84,'Raw Data'!$C:$C,0)),"-")</f>
        <v>694.49209999999903</v>
      </c>
      <c r="E84" s="10">
        <f>IFERROR(INDEX('Raw Data'!H:H,MATCH($B84,'Raw Data'!$C:$C,0)),"-")</f>
        <v>25.507599999999901</v>
      </c>
      <c r="F84" s="10">
        <f>IFERROR(INDEX('Raw Data'!J:J,MATCH($B84,'Raw Data'!$C:$C,0)),"-")</f>
        <v>57.095100000000002</v>
      </c>
      <c r="G84" s="9">
        <f>IFERROR(INDEX('Raw Data'!O:O,MATCH($B84,'Raw Data'!$C:$C,0)),"-")</f>
        <v>0.96457276300000006</v>
      </c>
      <c r="H84" s="9">
        <f>IFERROR(INDEX('Raw Data'!P:P,MATCH($B84,'Raw Data'!$C:$C,0)),"-")</f>
        <v>0.88759915339999995</v>
      </c>
      <c r="I84" s="15" t="str">
        <f>IFERROR(INDEX('Raw Data'!AD:AD,MATCH($B84,'Raw Data'!$C:$C,0)),"-")</f>
        <v>Operational</v>
      </c>
    </row>
    <row r="85" spans="1:9" ht="15" customHeight="1" x14ac:dyDescent="0.35">
      <c r="A85" s="16" t="str">
        <f>IFERROR(INDEX('Raw Data'!AC:AC,MATCH($B85,'Raw Data'!$C:$C,0)),"")</f>
        <v>Excavator</v>
      </c>
      <c r="B85" s="11" t="s">
        <v>215</v>
      </c>
      <c r="C85" s="14">
        <f>IFERROR(INDEX('Raw Data'!D:D,MATCH($B85,'Raw Data'!$C:$C,0)),"-")</f>
        <v>719.99950000000001</v>
      </c>
      <c r="D85" s="14">
        <f>IFERROR(INDEX('Raw Data'!E:E,MATCH($B85,'Raw Data'!$C:$C,0)),"-")</f>
        <v>685.25310000000002</v>
      </c>
      <c r="E85" s="14">
        <f>IFERROR(INDEX('Raw Data'!H:H,MATCH($B85,'Raw Data'!$C:$C,0)),"-")</f>
        <v>34.746400000000001</v>
      </c>
      <c r="F85" s="14">
        <f>IFERROR(INDEX('Raw Data'!J:J,MATCH($B85,'Raw Data'!$C:$C,0)),"-")</f>
        <v>75.092200000000005</v>
      </c>
      <c r="G85" s="13">
        <f>IFERROR(INDEX('Raw Data'!O:O,MATCH($B85,'Raw Data'!$C:$C,0)),"-")</f>
        <v>0.95174107760000004</v>
      </c>
      <c r="H85" s="13">
        <f>IFERROR(INDEX('Raw Data'!P:P,MATCH($B85,'Raw Data'!$C:$C,0)),"-")</f>
        <v>0.86501556869999996</v>
      </c>
      <c r="I85" s="16" t="str">
        <f>IFERROR(INDEX('Raw Data'!AD:AD,MATCH($B85,'Raw Data'!$C:$C,0)),"-")</f>
        <v>Operational</v>
      </c>
    </row>
    <row r="86" spans="1:9" ht="15" customHeight="1" x14ac:dyDescent="0.35">
      <c r="A86" s="15" t="str">
        <f>IFERROR(INDEX('Raw Data'!AC:AC,MATCH($B86,'Raw Data'!$C:$C,0)),"")</f>
        <v>Excavator</v>
      </c>
      <c r="B86" s="7" t="s">
        <v>220</v>
      </c>
      <c r="C86" s="10">
        <f>IFERROR(INDEX('Raw Data'!D:D,MATCH($B86,'Raw Data'!$C:$C,0)),"-")</f>
        <v>720.00040000000001</v>
      </c>
      <c r="D86" s="10">
        <f>IFERROR(INDEX('Raw Data'!E:E,MATCH($B86,'Raw Data'!$C:$C,0)),"-")</f>
        <v>684.25009999999997</v>
      </c>
      <c r="E86" s="10">
        <f>IFERROR(INDEX('Raw Data'!H:H,MATCH($B86,'Raw Data'!$C:$C,0)),"-")</f>
        <v>35.750300000000003</v>
      </c>
      <c r="F86" s="10">
        <f>IFERROR(INDEX('Raw Data'!J:J,MATCH($B86,'Raw Data'!$C:$C,0)),"-")</f>
        <v>489.74529999999999</v>
      </c>
      <c r="G86" s="9">
        <f>IFERROR(INDEX('Raw Data'!O:O,MATCH($B86,'Raw Data'!$C:$C,0)),"-")</f>
        <v>0.95034683310000001</v>
      </c>
      <c r="H86" s="9">
        <f>IFERROR(INDEX('Raw Data'!P:P,MATCH($B86,'Raw Data'!$C:$C,0)),"-")</f>
        <v>0.27379550260000002</v>
      </c>
      <c r="I86" s="15" t="str">
        <f>IFERROR(INDEX('Raw Data'!AD:AD,MATCH($B86,'Raw Data'!$C:$C,0)),"-")</f>
        <v>Operational</v>
      </c>
    </row>
    <row r="87" spans="1:9" ht="15" customHeight="1" x14ac:dyDescent="0.35">
      <c r="A87" s="16" t="str">
        <f>IFERROR(INDEX('Raw Data'!AC:AC,MATCH($B87,'Raw Data'!$C:$C,0)),"")</f>
        <v>Excavator</v>
      </c>
      <c r="B87" s="11" t="s">
        <v>226</v>
      </c>
      <c r="C87" s="14">
        <f>IFERROR(INDEX('Raw Data'!D:D,MATCH($B87,'Raw Data'!$C:$C,0)),"-")</f>
        <v>719.99950000000001</v>
      </c>
      <c r="D87" s="14">
        <f>IFERROR(INDEX('Raw Data'!E:E,MATCH($B87,'Raw Data'!$C:$C,0)),"-")</f>
        <v>675.00760000000002</v>
      </c>
      <c r="E87" s="14">
        <f>IFERROR(INDEX('Raw Data'!H:H,MATCH($B87,'Raw Data'!$C:$C,0)),"-")</f>
        <v>44.991900000000001</v>
      </c>
      <c r="F87" s="14">
        <f>IFERROR(INDEX('Raw Data'!J:J,MATCH($B87,'Raw Data'!$C:$C,0)),"-")</f>
        <v>60.615699999999897</v>
      </c>
      <c r="G87" s="13">
        <f>IFERROR(INDEX('Raw Data'!O:O,MATCH($B87,'Raw Data'!$C:$C,0)),"-")</f>
        <v>0.93751120659999998</v>
      </c>
      <c r="H87" s="13">
        <f>IFERROR(INDEX('Raw Data'!P:P,MATCH($B87,'Raw Data'!$C:$C,0)),"-")</f>
        <v>0.88532114309999999</v>
      </c>
      <c r="I87" s="16" t="str">
        <f>IFERROR(INDEX('Raw Data'!AD:AD,MATCH($B87,'Raw Data'!$C:$C,0)),"-")</f>
        <v>Operational</v>
      </c>
    </row>
    <row r="88" spans="1:9" ht="15" customHeight="1" x14ac:dyDescent="0.35">
      <c r="A88" s="15" t="str">
        <f>IFERROR(INDEX('Raw Data'!AC:AC,MATCH($B88,'Raw Data'!$C:$C,0)),"")</f>
        <v>Excavator</v>
      </c>
      <c r="B88" s="7" t="s">
        <v>223</v>
      </c>
      <c r="C88" s="10">
        <f>IFERROR(INDEX('Raw Data'!D:D,MATCH($B88,'Raw Data'!$C:$C,0)),"-")</f>
        <v>719.99969999999996</v>
      </c>
      <c r="D88" s="10">
        <f>IFERROR(INDEX('Raw Data'!E:E,MATCH($B88,'Raw Data'!$C:$C,0)),"-")</f>
        <v>658.16719999999998</v>
      </c>
      <c r="E88" s="10">
        <f>IFERROR(INDEX('Raw Data'!H:H,MATCH($B88,'Raw Data'!$C:$C,0)),"-")</f>
        <v>61.832499999999897</v>
      </c>
      <c r="F88" s="10">
        <f>IFERROR(INDEX('Raw Data'!J:J,MATCH($B88,'Raw Data'!$C:$C,0)),"-")</f>
        <v>72.553399999999897</v>
      </c>
      <c r="G88" s="9">
        <f>IFERROR(INDEX('Raw Data'!O:O,MATCH($B88,'Raw Data'!$C:$C,0)),"-")</f>
        <v>0.91412149200000004</v>
      </c>
      <c r="H88" s="9">
        <f>IFERROR(INDEX('Raw Data'!P:P,MATCH($B88,'Raw Data'!$C:$C,0)),"-")</f>
        <v>0.86506605010000004</v>
      </c>
      <c r="I88" s="15" t="str">
        <f>IFERROR(INDEX('Raw Data'!AD:AD,MATCH($B88,'Raw Data'!$C:$C,0)),"-")</f>
        <v>Operational</v>
      </c>
    </row>
    <row r="89" spans="1:9" ht="15" customHeight="1" x14ac:dyDescent="0.35">
      <c r="A89" s="16" t="str">
        <f>IFERROR(INDEX('Raw Data'!AC:AC,MATCH($B89,'Raw Data'!$C:$C,0)),"")</f>
        <v>Excavator</v>
      </c>
      <c r="B89" s="11" t="s">
        <v>225</v>
      </c>
      <c r="C89" s="14">
        <f>IFERROR(INDEX('Raw Data'!D:D,MATCH($B89,'Raw Data'!$C:$C,0)),"-")</f>
        <v>719.99779999999998</v>
      </c>
      <c r="D89" s="14">
        <f>IFERROR(INDEX('Raw Data'!E:E,MATCH($B89,'Raw Data'!$C:$C,0)),"-")</f>
        <v>650.18050000000005</v>
      </c>
      <c r="E89" s="14">
        <f>IFERROR(INDEX('Raw Data'!H:H,MATCH($B89,'Raw Data'!$C:$C,0)),"-")</f>
        <v>69.817300000000003</v>
      </c>
      <c r="F89" s="14">
        <f>IFERROR(INDEX('Raw Data'!J:J,MATCH($B89,'Raw Data'!$C:$C,0)),"-")</f>
        <v>75.5595</v>
      </c>
      <c r="G89" s="13">
        <f>IFERROR(INDEX('Raw Data'!O:O,MATCH($B89,'Raw Data'!$C:$C,0)),"-")</f>
        <v>0.90303123149999998</v>
      </c>
      <c r="H89" s="13">
        <f>IFERROR(INDEX('Raw Data'!P:P,MATCH($B89,'Raw Data'!$C:$C,0)),"-")</f>
        <v>0.86064669729999999</v>
      </c>
      <c r="I89" s="16" t="str">
        <f>IFERROR(INDEX('Raw Data'!AD:AD,MATCH($B89,'Raw Data'!$C:$C,0)),"-")</f>
        <v>Operational</v>
      </c>
    </row>
    <row r="90" spans="1:9" ht="15" customHeight="1" x14ac:dyDescent="0.35">
      <c r="A90" s="15" t="str">
        <f>IFERROR(INDEX('Raw Data'!AC:AC,MATCH($B90,'Raw Data'!$C:$C,0)),"")</f>
        <v>Excavator</v>
      </c>
      <c r="B90" s="7" t="s">
        <v>208</v>
      </c>
      <c r="C90" s="10">
        <f>IFERROR(INDEX('Raw Data'!D:D,MATCH($B90,'Raw Data'!$C:$C,0)),"-")</f>
        <v>720.00049999999896</v>
      </c>
      <c r="D90" s="10">
        <f>IFERROR(INDEX('Raw Data'!E:E,MATCH($B90,'Raw Data'!$C:$C,0)),"-")</f>
        <v>629.49599999999896</v>
      </c>
      <c r="E90" s="10">
        <f>IFERROR(INDEX('Raw Data'!H:H,MATCH($B90,'Raw Data'!$C:$C,0)),"-")</f>
        <v>90.504499999999993</v>
      </c>
      <c r="F90" s="10">
        <f>IFERROR(INDEX('Raw Data'!J:J,MATCH($B90,'Raw Data'!$C:$C,0)),"-")</f>
        <v>41.672199999999997</v>
      </c>
      <c r="G90" s="9">
        <f>IFERROR(INDEX('Raw Data'!O:O,MATCH($B90,'Raw Data'!$C:$C,0)),"-")</f>
        <v>0.87429939280000002</v>
      </c>
      <c r="H90" s="9">
        <f>IFERROR(INDEX('Raw Data'!P:P,MATCH($B90,'Raw Data'!$C:$C,0)),"-")</f>
        <v>0.90347516110000003</v>
      </c>
      <c r="I90" s="15" t="str">
        <f>IFERROR(INDEX('Raw Data'!AD:AD,MATCH($B90,'Raw Data'!$C:$C,0)),"-")</f>
        <v>Operational</v>
      </c>
    </row>
    <row r="91" spans="1:9" ht="15" customHeight="1" x14ac:dyDescent="0.35">
      <c r="A91" s="16" t="str">
        <f>IFERROR(INDEX('Raw Data'!AC:AC,MATCH($B91,'Raw Data'!$C:$C,0)),"")</f>
        <v>Excavator</v>
      </c>
      <c r="B91" s="11" t="s">
        <v>217</v>
      </c>
      <c r="C91" s="14">
        <f>IFERROR(INDEX('Raw Data'!D:D,MATCH($B91,'Raw Data'!$C:$C,0)),"-")</f>
        <v>720</v>
      </c>
      <c r="D91" s="14">
        <f>IFERROR(INDEX('Raw Data'!E:E,MATCH($B91,'Raw Data'!$C:$C,0)),"-")</f>
        <v>629.05160000000001</v>
      </c>
      <c r="E91" s="14">
        <f>IFERROR(INDEX('Raw Data'!H:H,MATCH($B91,'Raw Data'!$C:$C,0)),"-")</f>
        <v>90.948399999999907</v>
      </c>
      <c r="F91" s="14">
        <f>IFERROR(INDEX('Raw Data'!J:J,MATCH($B91,'Raw Data'!$C:$C,0)),"-")</f>
        <v>77.696699999999893</v>
      </c>
      <c r="G91" s="13">
        <f>IFERROR(INDEX('Raw Data'!O:O,MATCH($B91,'Raw Data'!$C:$C,0)),"-")</f>
        <v>0.87368277780000003</v>
      </c>
      <c r="H91" s="13">
        <f>IFERROR(INDEX('Raw Data'!P:P,MATCH($B91,'Raw Data'!$C:$C,0)),"-")</f>
        <v>0.84902860120000001</v>
      </c>
      <c r="I91" s="16" t="str">
        <f>IFERROR(INDEX('Raw Data'!AD:AD,MATCH($B91,'Raw Data'!$C:$C,0)),"-")</f>
        <v>Operational</v>
      </c>
    </row>
    <row r="92" spans="1:9" ht="15" customHeight="1" x14ac:dyDescent="0.35">
      <c r="A92" s="15" t="str">
        <f>IFERROR(INDEX('Raw Data'!AC:AC,MATCH($B92,'Raw Data'!$C:$C,0)),"")</f>
        <v>Excavator</v>
      </c>
      <c r="B92" s="7" t="s">
        <v>209</v>
      </c>
      <c r="C92" s="10">
        <f>IFERROR(INDEX('Raw Data'!D:D,MATCH($B92,'Raw Data'!$C:$C,0)),"-")</f>
        <v>719.99939999999901</v>
      </c>
      <c r="D92" s="10">
        <f>IFERROR(INDEX('Raw Data'!E:E,MATCH($B92,'Raw Data'!$C:$C,0)),"-")</f>
        <v>604.07669999999996</v>
      </c>
      <c r="E92" s="10">
        <f>IFERROR(INDEX('Raw Data'!H:H,MATCH($B92,'Raw Data'!$C:$C,0)),"-")</f>
        <v>115.92270000000001</v>
      </c>
      <c r="F92" s="10">
        <f>IFERROR(INDEX('Raw Data'!J:J,MATCH($B92,'Raw Data'!$C:$C,0)),"-")</f>
        <v>31.639399999999998</v>
      </c>
      <c r="G92" s="9">
        <f>IFERROR(INDEX('Raw Data'!O:O,MATCH($B92,'Raw Data'!$C:$C,0)),"-")</f>
        <v>0.8389961158</v>
      </c>
      <c r="H92" s="9">
        <f>IFERROR(INDEX('Raw Data'!P:P,MATCH($B92,'Raw Data'!$C:$C,0)),"-")</f>
        <v>0.91216148549999998</v>
      </c>
      <c r="I92" s="15" t="str">
        <f>IFERROR(INDEX('Raw Data'!AD:AD,MATCH($B92,'Raw Data'!$C:$C,0)),"-")</f>
        <v>Operational</v>
      </c>
    </row>
    <row r="93" spans="1:9" ht="15" customHeight="1" x14ac:dyDescent="0.35">
      <c r="A93" s="16" t="str">
        <f>IFERROR(INDEX('Raw Data'!AC:AC,MATCH($B93,'Raw Data'!$C:$C,0)),"")</f>
        <v>Excavator</v>
      </c>
      <c r="B93" s="11" t="s">
        <v>214</v>
      </c>
      <c r="C93" s="14">
        <f>IFERROR(INDEX('Raw Data'!D:D,MATCH($B93,'Raw Data'!$C:$C,0)),"-")</f>
        <v>720.00049999999999</v>
      </c>
      <c r="D93" s="14">
        <f>IFERROR(INDEX('Raw Data'!E:E,MATCH($B93,'Raw Data'!$C:$C,0)),"-")</f>
        <v>568.39769999999999</v>
      </c>
      <c r="E93" s="14">
        <f>IFERROR(INDEX('Raw Data'!H:H,MATCH($B93,'Raw Data'!$C:$C,0)),"-")</f>
        <v>151.6028</v>
      </c>
      <c r="F93" s="14">
        <f>IFERROR(INDEX('Raw Data'!J:J,MATCH($B93,'Raw Data'!$C:$C,0)),"-")</f>
        <v>37.0765999999999</v>
      </c>
      <c r="G93" s="13">
        <f>IFERROR(INDEX('Raw Data'!O:O,MATCH($B93,'Raw Data'!$C:$C,0)),"-")</f>
        <v>0.78944070180000003</v>
      </c>
      <c r="H93" s="13">
        <f>IFERROR(INDEX('Raw Data'!P:P,MATCH($B93,'Raw Data'!$C:$C,0)),"-")</f>
        <v>0.90240266629999999</v>
      </c>
      <c r="I93" s="16" t="str">
        <f>IFERROR(INDEX('Raw Data'!AD:AD,MATCH($B93,'Raw Data'!$C:$C,0)),"-")</f>
        <v>Operational</v>
      </c>
    </row>
    <row r="94" spans="1:9" ht="15" customHeight="1" x14ac:dyDescent="0.35">
      <c r="A94" s="15" t="str">
        <f>IFERROR(INDEX('Raw Data'!AC:AC,MATCH($B94,'Raw Data'!$C:$C,0)),"")</f>
        <v>Excavator</v>
      </c>
      <c r="B94" s="7" t="s">
        <v>212</v>
      </c>
      <c r="C94" s="10">
        <f>IFERROR(INDEX('Raw Data'!D:D,MATCH($B94,'Raw Data'!$C:$C,0)),"-")</f>
        <v>719.99969999999996</v>
      </c>
      <c r="D94" s="10">
        <f>IFERROR(INDEX('Raw Data'!E:E,MATCH($B94,'Raw Data'!$C:$C,0)),"-")</f>
        <v>549.84289999999999</v>
      </c>
      <c r="E94" s="10">
        <f>IFERROR(INDEX('Raw Data'!H:H,MATCH($B94,'Raw Data'!$C:$C,0)),"-")</f>
        <v>170.1568</v>
      </c>
      <c r="F94" s="10">
        <f>IFERROR(INDEX('Raw Data'!J:J,MATCH($B94,'Raw Data'!$C:$C,0)),"-")</f>
        <v>41.8444</v>
      </c>
      <c r="G94" s="9">
        <f>IFERROR(INDEX('Raw Data'!O:O,MATCH($B94,'Raw Data'!$C:$C,0)),"-")</f>
        <v>0.76367101260000003</v>
      </c>
      <c r="H94" s="9">
        <f>IFERROR(INDEX('Raw Data'!P:P,MATCH($B94,'Raw Data'!$C:$C,0)),"-")</f>
        <v>0.89479740490000004</v>
      </c>
      <c r="I94" s="15" t="str">
        <f>IFERROR(INDEX('Raw Data'!AD:AD,MATCH($B94,'Raw Data'!$C:$C,0)),"-")</f>
        <v>Operational</v>
      </c>
    </row>
    <row r="95" spans="1:9" ht="15" customHeight="1" x14ac:dyDescent="0.35">
      <c r="A95" s="16" t="str">
        <f>IFERROR(INDEX('Raw Data'!AC:AC,MATCH($B95,'Raw Data'!$C:$C,0)),"")</f>
        <v>Excavator</v>
      </c>
      <c r="B95" s="11" t="s">
        <v>219</v>
      </c>
      <c r="C95" s="14">
        <f>IFERROR(INDEX('Raw Data'!D:D,MATCH($B95,'Raw Data'!$C:$C,0)),"-")</f>
        <v>719.99879999999996</v>
      </c>
      <c r="D95" s="14">
        <f>IFERROR(INDEX('Raw Data'!E:E,MATCH($B95,'Raw Data'!$C:$C,0)),"-")</f>
        <v>514.37929999999994</v>
      </c>
      <c r="E95" s="14">
        <f>IFERROR(INDEX('Raw Data'!H:H,MATCH($B95,'Raw Data'!$C:$C,0)),"-")</f>
        <v>205.61949999999899</v>
      </c>
      <c r="F95" s="14">
        <f>IFERROR(INDEX('Raw Data'!J:J,MATCH($B95,'Raw Data'!$C:$C,0)),"-")</f>
        <v>56.064499999999903</v>
      </c>
      <c r="G95" s="13">
        <f>IFERROR(INDEX('Raw Data'!O:O,MATCH($B95,'Raw Data'!$C:$C,0)),"-")</f>
        <v>0.71441688510000001</v>
      </c>
      <c r="H95" s="13">
        <f>IFERROR(INDEX('Raw Data'!P:P,MATCH($B95,'Raw Data'!$C:$C,0)),"-")</f>
        <v>0.85995859480000003</v>
      </c>
      <c r="I95" s="16" t="str">
        <f>IFERROR(INDEX('Raw Data'!AD:AD,MATCH($B95,'Raw Data'!$C:$C,0)),"-")</f>
        <v>Operational</v>
      </c>
    </row>
    <row r="96" spans="1:9" ht="15" customHeight="1" x14ac:dyDescent="0.35">
      <c r="A96" s="15" t="str">
        <f>IFERROR(INDEX('Raw Data'!AC:AC,MATCH($B96,'Raw Data'!$C:$C,0)),"")</f>
        <v>Excavator</v>
      </c>
      <c r="B96" s="7" t="s">
        <v>202</v>
      </c>
      <c r="C96" s="10">
        <f>IFERROR(INDEX('Raw Data'!D:D,MATCH($B96,'Raw Data'!$C:$C,0)),"-")</f>
        <v>712.46669999999995</v>
      </c>
      <c r="D96" s="10">
        <f>IFERROR(INDEX('Raw Data'!E:E,MATCH($B96,'Raw Data'!$C:$C,0)),"-")</f>
        <v>488.45159999999998</v>
      </c>
      <c r="E96" s="10">
        <f>IFERROR(INDEX('Raw Data'!H:H,MATCH($B96,'Raw Data'!$C:$C,0)),"-")</f>
        <v>224.01509999999999</v>
      </c>
      <c r="F96" s="10">
        <f>IFERROR(INDEX('Raw Data'!J:J,MATCH($B96,'Raw Data'!$C:$C,0)),"-")</f>
        <v>24.970700000000001</v>
      </c>
      <c r="G96" s="9">
        <f>IFERROR(INDEX('Raw Data'!O:O,MATCH($B96,'Raw Data'!$C:$C,0)),"-")</f>
        <v>0.68557814699999997</v>
      </c>
      <c r="H96" s="9">
        <f>IFERROR(INDEX('Raw Data'!P:P,MATCH($B96,'Raw Data'!$C:$C,0)),"-")</f>
        <v>0.87854436349999998</v>
      </c>
      <c r="I96" s="15" t="str">
        <f>IFERROR(INDEX('Raw Data'!AD:AD,MATCH($B96,'Raw Data'!$C:$C,0)),"-")</f>
        <v>Operational</v>
      </c>
    </row>
    <row r="97" spans="1:9" ht="15" customHeight="1" x14ac:dyDescent="0.35">
      <c r="A97" s="16" t="str">
        <f>IFERROR(INDEX('Raw Data'!AC:AC,MATCH($B97,'Raw Data'!$C:$C,0)),"")</f>
        <v>Excavator</v>
      </c>
      <c r="B97" s="11" t="s">
        <v>206</v>
      </c>
      <c r="C97" s="14">
        <f>IFERROR(INDEX('Raw Data'!D:D,MATCH($B97,'Raw Data'!$C:$C,0)),"-")</f>
        <v>719.99949999999899</v>
      </c>
      <c r="D97" s="14">
        <f>IFERROR(INDEX('Raw Data'!E:E,MATCH($B97,'Raw Data'!$C:$C,0)),"-")</f>
        <v>487.00560000000002</v>
      </c>
      <c r="E97" s="14">
        <f>IFERROR(INDEX('Raw Data'!H:H,MATCH($B97,'Raw Data'!$C:$C,0)),"-")</f>
        <v>232.993899999999</v>
      </c>
      <c r="F97" s="14">
        <f>IFERROR(INDEX('Raw Data'!J:J,MATCH($B97,'Raw Data'!$C:$C,0)),"-")</f>
        <v>21.218900000000001</v>
      </c>
      <c r="G97" s="13">
        <f>IFERROR(INDEX('Raw Data'!O:O,MATCH($B97,'Raw Data'!$C:$C,0)),"-")</f>
        <v>0.67639713639999999</v>
      </c>
      <c r="H97" s="13">
        <f>IFERROR(INDEX('Raw Data'!P:P,MATCH($B97,'Raw Data'!$C:$C,0)),"-")</f>
        <v>0.93988015739999997</v>
      </c>
      <c r="I97" s="16" t="str">
        <f>IFERROR(INDEX('Raw Data'!AD:AD,MATCH($B97,'Raw Data'!$C:$C,0)),"-")</f>
        <v>Operational</v>
      </c>
    </row>
    <row r="98" spans="1:9" ht="15" customHeight="1" x14ac:dyDescent="0.35">
      <c r="A98" s="15" t="str">
        <f>IFERROR(INDEX('Raw Data'!AC:AC,MATCH($B98,'Raw Data'!$C:$C,0)),"")</f>
        <v>Excavator</v>
      </c>
      <c r="B98" s="7" t="s">
        <v>211</v>
      </c>
      <c r="C98" s="10">
        <f>IFERROR(INDEX('Raw Data'!D:D,MATCH($B98,'Raw Data'!$C:$C,0)),"-")</f>
        <v>720.00030000000004</v>
      </c>
      <c r="D98" s="10">
        <f>IFERROR(INDEX('Raw Data'!E:E,MATCH($B98,'Raw Data'!$C:$C,0)),"-")</f>
        <v>447.50409999999999</v>
      </c>
      <c r="E98" s="10">
        <f>IFERROR(INDEX('Raw Data'!H:H,MATCH($B98,'Raw Data'!$C:$C,0)),"-")</f>
        <v>272.49619999999999</v>
      </c>
      <c r="F98" s="10">
        <f>IFERROR(INDEX('Raw Data'!J:J,MATCH($B98,'Raw Data'!$C:$C,0)),"-")</f>
        <v>28.224</v>
      </c>
      <c r="G98" s="9">
        <f>IFERROR(INDEX('Raw Data'!O:O,MATCH($B98,'Raw Data'!$C:$C,0)),"-")</f>
        <v>0.6215332133</v>
      </c>
      <c r="H98" s="9">
        <f>IFERROR(INDEX('Raw Data'!P:P,MATCH($B98,'Raw Data'!$C:$C,0)),"-")</f>
        <v>0.9051745001</v>
      </c>
      <c r="I98" s="15" t="str">
        <f>IFERROR(INDEX('Raw Data'!AD:AD,MATCH($B98,'Raw Data'!$C:$C,0)),"-")</f>
        <v>Operational</v>
      </c>
    </row>
    <row r="99" spans="1:9" ht="15" customHeight="1" x14ac:dyDescent="0.35">
      <c r="A99" s="16" t="str">
        <f>IFERROR(INDEX('Raw Data'!AC:AC,MATCH($B99,'Raw Data'!$C:$C,0)),"")</f>
        <v>Excavator</v>
      </c>
      <c r="B99" s="11" t="s">
        <v>201</v>
      </c>
      <c r="C99" s="14">
        <f>IFERROR(INDEX('Raw Data'!D:D,MATCH($B99,'Raw Data'!$C:$C,0)),"-")</f>
        <v>715.42579999999998</v>
      </c>
      <c r="D99" s="14">
        <f>IFERROR(INDEX('Raw Data'!E:E,MATCH($B99,'Raw Data'!$C:$C,0)),"-")</f>
        <v>417.54309999999901</v>
      </c>
      <c r="E99" s="14">
        <f>IFERROR(INDEX('Raw Data'!H:H,MATCH($B99,'Raw Data'!$C:$C,0)),"-")</f>
        <v>297.8827</v>
      </c>
      <c r="F99" s="14">
        <f>IFERROR(INDEX('Raw Data'!J:J,MATCH($B99,'Raw Data'!$C:$C,0)),"-")</f>
        <v>25.827099999999898</v>
      </c>
      <c r="G99" s="13">
        <f>IFERROR(INDEX('Raw Data'!O:O,MATCH($B99,'Raw Data'!$C:$C,0)),"-")</f>
        <v>0.58362879840000004</v>
      </c>
      <c r="H99" s="13">
        <f>IFERROR(INDEX('Raw Data'!P:P,MATCH($B99,'Raw Data'!$C:$C,0)),"-")</f>
        <v>0.89678215250000004</v>
      </c>
      <c r="I99" s="16" t="str">
        <f>IFERROR(INDEX('Raw Data'!AD:AD,MATCH($B99,'Raw Data'!$C:$C,0)),"-")</f>
        <v>Operational</v>
      </c>
    </row>
    <row r="100" spans="1:9" ht="15" customHeight="1" x14ac:dyDescent="0.35">
      <c r="A100" s="16" t="str">
        <f>IFERROR(INDEX('Raw Data'!AC:AC,MATCH($B100,'Raw Data'!$C:$C,0)),"")</f>
        <v>Excavator</v>
      </c>
      <c r="B100" s="11" t="s">
        <v>205</v>
      </c>
      <c r="C100" s="14">
        <f>IFERROR(INDEX('Raw Data'!D:D,MATCH($B100,'Raw Data'!$C:$C,0)),"-")</f>
        <v>720.00039999999899</v>
      </c>
      <c r="D100" s="14">
        <f>IFERROR(INDEX('Raw Data'!E:E,MATCH($B100,'Raw Data'!$C:$C,0)),"-")</f>
        <v>321.45159999999902</v>
      </c>
      <c r="E100" s="14">
        <f>IFERROR(INDEX('Raw Data'!H:H,MATCH($B100,'Raw Data'!$C:$C,0)),"-")</f>
        <v>398.54879999999901</v>
      </c>
      <c r="F100" s="14">
        <f>IFERROR(INDEX('Raw Data'!J:J,MATCH($B100,'Raw Data'!$C:$C,0)),"-")</f>
        <v>24.223099999999999</v>
      </c>
      <c r="G100" s="13">
        <f>IFERROR(INDEX('Raw Data'!O:O,MATCH($B100,'Raw Data'!$C:$C,0)),"-")</f>
        <v>0.44646030749999999</v>
      </c>
      <c r="H100" s="13">
        <f>IFERROR(INDEX('Raw Data'!P:P,MATCH($B100,'Raw Data'!$C:$C,0)),"-")</f>
        <v>0.89246561540000002</v>
      </c>
      <c r="I100" s="16" t="str">
        <f>IFERROR(INDEX('Raw Data'!AD:AD,MATCH($B100,'Raw Data'!$C:$C,0)),"-")</f>
        <v>Operational</v>
      </c>
    </row>
    <row r="101" spans="1:9" ht="15" customHeight="1" x14ac:dyDescent="0.35">
      <c r="A101" s="15" t="str">
        <f>IFERROR(INDEX('Raw Data'!AC:AC,MATCH($B101,'Raw Data'!$C:$C,0)),"")</f>
        <v>Excavator</v>
      </c>
      <c r="B101" s="7" t="s">
        <v>227</v>
      </c>
      <c r="C101" s="10">
        <f>IFERROR(INDEX('Raw Data'!D:D,MATCH($B101,'Raw Data'!$C:$C,0)),"-")</f>
        <v>720.00019999999995</v>
      </c>
      <c r="D101" s="10">
        <f>IFERROR(INDEX('Raw Data'!E:E,MATCH($B101,'Raw Data'!$C:$C,0)),"-")</f>
        <v>321.09269999999998</v>
      </c>
      <c r="E101" s="10">
        <f>IFERROR(INDEX('Raw Data'!H:H,MATCH($B101,'Raw Data'!$C:$C,0)),"-")</f>
        <v>398.90750000000003</v>
      </c>
      <c r="F101" s="10">
        <f>IFERROR(INDEX('Raw Data'!J:J,MATCH($B101,'Raw Data'!$C:$C,0)),"-")</f>
        <v>25.194699999999902</v>
      </c>
      <c r="G101" s="9">
        <f>IFERROR(INDEX('Raw Data'!O:O,MATCH($B101,'Raw Data'!$C:$C,0)),"-")</f>
        <v>0.4459619595</v>
      </c>
      <c r="H101" s="9">
        <f>IFERROR(INDEX('Raw Data'!P:P,MATCH($B101,'Raw Data'!$C:$C,0)),"-")</f>
        <v>0.8868878053</v>
      </c>
      <c r="I101" s="15" t="str">
        <f>IFERROR(INDEX('Raw Data'!AD:AD,MATCH($B101,'Raw Data'!$C:$C,0)),"-")</f>
        <v>Operational</v>
      </c>
    </row>
    <row r="102" spans="1:9" ht="15" customHeight="1" x14ac:dyDescent="0.35">
      <c r="A102" s="16" t="str">
        <f>IFERROR(INDEX('Raw Data'!AC:AC,MATCH($B102,'Raw Data'!$C:$C,0)),"")</f>
        <v>Excavator</v>
      </c>
      <c r="B102" s="11" t="s">
        <v>218</v>
      </c>
      <c r="C102" s="14">
        <f>IFERROR(INDEX('Raw Data'!D:D,MATCH($B102,'Raw Data'!$C:$C,0)),"-")</f>
        <v>720</v>
      </c>
      <c r="D102" s="14">
        <f>IFERROR(INDEX('Raw Data'!E:E,MATCH($B102,'Raw Data'!$C:$C,0)),"-")</f>
        <v>274.78899999999999</v>
      </c>
      <c r="E102" s="14">
        <f>IFERROR(INDEX('Raw Data'!H:H,MATCH($B102,'Raw Data'!$C:$C,0)),"-")</f>
        <v>445.21100000000001</v>
      </c>
      <c r="F102" s="14">
        <f>IFERROR(INDEX('Raw Data'!J:J,MATCH($B102,'Raw Data'!$C:$C,0)),"-")</f>
        <v>8.8124999999999893</v>
      </c>
      <c r="G102" s="13">
        <f>IFERROR(INDEX('Raw Data'!O:O,MATCH($B102,'Raw Data'!$C:$C,0)),"-")</f>
        <v>0.3816513889</v>
      </c>
      <c r="H102" s="13">
        <f>IFERROR(INDEX('Raw Data'!P:P,MATCH($B102,'Raw Data'!$C:$C,0)),"-")</f>
        <v>0.9572653927</v>
      </c>
      <c r="I102" s="16" t="str">
        <f>IFERROR(INDEX('Raw Data'!AD:AD,MATCH($B102,'Raw Data'!$C:$C,0)),"-")</f>
        <v>Operational</v>
      </c>
    </row>
    <row r="103" spans="1:9" ht="15" customHeight="1" x14ac:dyDescent="0.35">
      <c r="A103" s="15" t="str">
        <f>IFERROR(INDEX('Raw Data'!AC:AC,MATCH($B103,'Raw Data'!$C:$C,0)),"")</f>
        <v>Excavator</v>
      </c>
      <c r="B103" s="7" t="s">
        <v>213</v>
      </c>
      <c r="C103" s="10">
        <f>IFERROR(INDEX('Raw Data'!D:D,MATCH($B103,'Raw Data'!$C:$C,0)),"-")</f>
        <v>720.00030000000004</v>
      </c>
      <c r="D103" s="10">
        <f>IFERROR(INDEX('Raw Data'!E:E,MATCH($B103,'Raw Data'!$C:$C,0)),"-")</f>
        <v>270.66640000000001</v>
      </c>
      <c r="E103" s="10">
        <f>IFERROR(INDEX('Raw Data'!H:H,MATCH($B103,'Raw Data'!$C:$C,0)),"-")</f>
        <v>449.33390000000003</v>
      </c>
      <c r="F103" s="10">
        <f>IFERROR(INDEX('Raw Data'!J:J,MATCH($B103,'Raw Data'!$C:$C,0)),"-")</f>
        <v>14.2837</v>
      </c>
      <c r="G103" s="9">
        <f>IFERROR(INDEX('Raw Data'!O:O,MATCH($B103,'Raw Data'!$C:$C,0)),"-")</f>
        <v>0.37592539889999999</v>
      </c>
      <c r="H103" s="9">
        <f>IFERROR(INDEX('Raw Data'!P:P,MATCH($B103,'Raw Data'!$C:$C,0)),"-")</f>
        <v>0.91510730549999997</v>
      </c>
      <c r="I103" s="15" t="str">
        <f>IFERROR(INDEX('Raw Data'!AD:AD,MATCH($B103,'Raw Data'!$C:$C,0)),"-")</f>
        <v>Operational</v>
      </c>
    </row>
    <row r="104" spans="1:9" ht="15" customHeight="1" x14ac:dyDescent="0.35">
      <c r="A104" s="16" t="str">
        <f>IFERROR(INDEX('Raw Data'!AC:AC,MATCH($B104,'Raw Data'!$C:$C,0)),"")</f>
        <v>Excavator</v>
      </c>
      <c r="B104" s="11" t="s">
        <v>221</v>
      </c>
      <c r="C104" s="14">
        <f>IFERROR(INDEX('Raw Data'!D:D,MATCH($B104,'Raw Data'!$C:$C,0)),"-")</f>
        <v>719.99669999999901</v>
      </c>
      <c r="D104" s="14">
        <f>IFERROR(INDEX('Raw Data'!E:E,MATCH($B104,'Raw Data'!$C:$C,0)),"-")</f>
        <v>186.800499999999</v>
      </c>
      <c r="E104" s="14">
        <f>IFERROR(INDEX('Raw Data'!H:H,MATCH($B104,'Raw Data'!$C:$C,0)),"-")</f>
        <v>533.19619999999998</v>
      </c>
      <c r="F104" s="14">
        <f>IFERROR(INDEX('Raw Data'!J:J,MATCH($B104,'Raw Data'!$C:$C,0)),"-")</f>
        <v>18.2605</v>
      </c>
      <c r="G104" s="13">
        <f>IFERROR(INDEX('Raw Data'!O:O,MATCH($B104,'Raw Data'!$C:$C,0)),"-")</f>
        <v>0.259446328</v>
      </c>
      <c r="H104" s="13">
        <f>IFERROR(INDEX('Raw Data'!P:P,MATCH($B104,'Raw Data'!$C:$C,0)),"-")</f>
        <v>0.86424554539999998</v>
      </c>
      <c r="I104" s="16" t="str">
        <f>IFERROR(INDEX('Raw Data'!AD:AD,MATCH($B104,'Raw Data'!$C:$C,0)),"-")</f>
        <v>Operational</v>
      </c>
    </row>
    <row r="105" spans="1:9" ht="15" customHeight="1" x14ac:dyDescent="0.35">
      <c r="A105" s="15" t="str">
        <f>IFERROR(INDEX('Raw Data'!AC:AC,MATCH($B105,'Raw Data'!$C:$C,0)),"")</f>
        <v>Excavator</v>
      </c>
      <c r="B105" s="7" t="s">
        <v>203</v>
      </c>
      <c r="C105" s="10">
        <f>IFERROR(INDEX('Raw Data'!D:D,MATCH($B105,'Raw Data'!$C:$C,0)),"-")</f>
        <v>720.00009999999997</v>
      </c>
      <c r="D105" s="10">
        <f>IFERROR(INDEX('Raw Data'!E:E,MATCH($B105,'Raw Data'!$C:$C,0)),"-")</f>
        <v>186.53200000000001</v>
      </c>
      <c r="E105" s="10">
        <f>IFERROR(INDEX('Raw Data'!H:H,MATCH($B105,'Raw Data'!$C:$C,0)),"-")</f>
        <v>533.46810000000005</v>
      </c>
      <c r="F105" s="10">
        <f>IFERROR(INDEX('Raw Data'!J:J,MATCH($B105,'Raw Data'!$C:$C,0)),"-")</f>
        <v>14.181100000000001</v>
      </c>
      <c r="G105" s="9">
        <f>IFERROR(INDEX('Raw Data'!O:O,MATCH($B105,'Raw Data'!$C:$C,0)),"-")</f>
        <v>0.2590721862</v>
      </c>
      <c r="H105" s="9">
        <f>IFERROR(INDEX('Raw Data'!P:P,MATCH($B105,'Raw Data'!$C:$C,0)),"-")</f>
        <v>0.88955782390000004</v>
      </c>
      <c r="I105" s="15" t="str">
        <f>IFERROR(INDEX('Raw Data'!AD:AD,MATCH($B105,'Raw Data'!$C:$C,0)),"-")</f>
        <v>Operational</v>
      </c>
    </row>
    <row r="106" spans="1:9" ht="15" customHeight="1" x14ac:dyDescent="0.35">
      <c r="A106" s="16" t="str">
        <f>IFERROR(INDEX('Raw Data'!AC:AC,MATCH($B106,'Raw Data'!$C:$C,0)),"")</f>
        <v>Excavator</v>
      </c>
      <c r="B106" s="11" t="s">
        <v>210</v>
      </c>
      <c r="C106" s="14">
        <f>IFERROR(INDEX('Raw Data'!D:D,MATCH($B106,'Raw Data'!$C:$C,0)),"-")</f>
        <v>710.04199999999901</v>
      </c>
      <c r="D106" s="14">
        <f>IFERROR(INDEX('Raw Data'!E:E,MATCH($B106,'Raw Data'!$C:$C,0)),"-")</f>
        <v>114.675399999999</v>
      </c>
      <c r="E106" s="14">
        <f>IFERROR(INDEX('Raw Data'!H:H,MATCH($B106,'Raw Data'!$C:$C,0)),"-")</f>
        <v>595.36659999999995</v>
      </c>
      <c r="F106" s="14">
        <f>IFERROR(INDEX('Raw Data'!J:J,MATCH($B106,'Raw Data'!$C:$C,0)),"-")</f>
        <v>29.316299999999899</v>
      </c>
      <c r="G106" s="13">
        <f>IFERROR(INDEX('Raw Data'!O:O,MATCH($B106,'Raw Data'!$C:$C,0)),"-")</f>
        <v>0.1615050941</v>
      </c>
      <c r="H106" s="13">
        <f>IFERROR(INDEX('Raw Data'!P:P,MATCH($B106,'Raw Data'!$C:$C,0)),"-")</f>
        <v>0.64888197469999997</v>
      </c>
      <c r="I106" s="16" t="str">
        <f>IFERROR(INDEX('Raw Data'!AD:AD,MATCH($B106,'Raw Data'!$C:$C,0)),"-")</f>
        <v>Operational</v>
      </c>
    </row>
    <row r="107" spans="1:9" ht="15" customHeight="1" x14ac:dyDescent="0.35">
      <c r="A107" s="15" t="str">
        <f>IFERROR(INDEX('Raw Data'!AC:AC,MATCH($B107,'Raw Data'!$C:$C,0)),"")</f>
        <v>Excavator</v>
      </c>
      <c r="B107" s="7" t="s">
        <v>216</v>
      </c>
      <c r="C107" s="10">
        <f>IFERROR(INDEX('Raw Data'!D:D,MATCH($B107,'Raw Data'!$C:$C,0)),"-")</f>
        <v>719.99979999999903</v>
      </c>
      <c r="D107" s="10">
        <f>IFERROR(INDEX('Raw Data'!E:E,MATCH($B107,'Raw Data'!$C:$C,0)),"-")</f>
        <v>49.156599999999997</v>
      </c>
      <c r="E107" s="10">
        <f>IFERROR(INDEX('Raw Data'!H:H,MATCH($B107,'Raw Data'!$C:$C,0)),"-")</f>
        <v>670.843199999999</v>
      </c>
      <c r="F107" s="10">
        <f>IFERROR(INDEX('Raw Data'!J:J,MATCH($B107,'Raw Data'!$C:$C,0)),"-")</f>
        <v>7.5285000000000002</v>
      </c>
      <c r="G107" s="9">
        <f>IFERROR(INDEX('Raw Data'!O:O,MATCH($B107,'Raw Data'!$C:$C,0)),"-")</f>
        <v>6.8273074500000003E-2</v>
      </c>
      <c r="H107" s="9">
        <f>IFERROR(INDEX('Raw Data'!P:P,MATCH($B107,'Raw Data'!$C:$C,0)),"-")</f>
        <v>0.77982407249999997</v>
      </c>
      <c r="I107" s="15" t="str">
        <f>IFERROR(INDEX('Raw Data'!AD:AD,MATCH($B107,'Raw Data'!$C:$C,0)),"-")</f>
        <v>Operational</v>
      </c>
    </row>
    <row r="108" spans="1:9" ht="15" customHeight="1" x14ac:dyDescent="0.35">
      <c r="A108" s="16" t="str">
        <f>IFERROR(INDEX('Raw Data'!AC:AC,MATCH($B108,'Raw Data'!$C:$C,0)),"")</f>
        <v>Excavator</v>
      </c>
      <c r="B108" s="11" t="s">
        <v>204</v>
      </c>
      <c r="C108" s="14">
        <f>IFERROR(INDEX('Raw Data'!D:D,MATCH($B108,'Raw Data'!$C:$C,0)),"-")</f>
        <v>719.99770000000001</v>
      </c>
      <c r="D108" s="14">
        <f>IFERROR(INDEX('Raw Data'!E:E,MATCH($B108,'Raw Data'!$C:$C,0)),"-")</f>
        <v>0.74860000000000004</v>
      </c>
      <c r="E108" s="14">
        <f>IFERROR(INDEX('Raw Data'!H:H,MATCH($B108,'Raw Data'!$C:$C,0)),"-")</f>
        <v>719.2491</v>
      </c>
      <c r="F108" s="14">
        <f>IFERROR(INDEX('Raw Data'!J:J,MATCH($B108,'Raw Data'!$C:$C,0)),"-")</f>
        <v>0.5736</v>
      </c>
      <c r="G108" s="13">
        <f>IFERROR(INDEX('Raw Data'!O:O,MATCH($B108,'Raw Data'!$C:$C,0)),"-")</f>
        <v>1.0397255E-3</v>
      </c>
      <c r="H108" s="13">
        <f>IFERROR(INDEX('Raw Data'!P:P,MATCH($B108,'Raw Data'!$C:$C,0)),"-")</f>
        <v>0</v>
      </c>
      <c r="I108" s="16" t="str">
        <f>IFERROR(INDEX('Raw Data'!AD:AD,MATCH($B108,'Raw Data'!$C:$C,0)),"-")</f>
        <v>Operational</v>
      </c>
    </row>
    <row r="109" spans="1:9" ht="15" customHeight="1" x14ac:dyDescent="0.35">
      <c r="A109" s="15" t="str">
        <f>IFERROR(INDEX('Raw Data'!AC:AC,MATCH($B109,'Raw Data'!$C:$C,0)),"")</f>
        <v>Excavator</v>
      </c>
      <c r="B109" s="7" t="s">
        <v>222</v>
      </c>
      <c r="C109" s="10">
        <f>IFERROR(INDEX('Raw Data'!D:D,MATCH($B109,'Raw Data'!$C:$C,0)),"-")</f>
        <v>720</v>
      </c>
      <c r="D109" s="10">
        <f>IFERROR(INDEX('Raw Data'!E:E,MATCH($B109,'Raw Data'!$C:$C,0)),"-")</f>
        <v>0.58279999999999998</v>
      </c>
      <c r="E109" s="10">
        <f>IFERROR(INDEX('Raw Data'!H:H,MATCH($B109,'Raw Data'!$C:$C,0)),"-")</f>
        <v>719.41719999999998</v>
      </c>
      <c r="F109" s="10">
        <f>IFERROR(INDEX('Raw Data'!J:J,MATCH($B109,'Raw Data'!$C:$C,0)),"-")</f>
        <v>0</v>
      </c>
      <c r="G109" s="9">
        <f>IFERROR(INDEX('Raw Data'!O:O,MATCH($B109,'Raw Data'!$C:$C,0)),"-")</f>
        <v>8.0944440000000001E-4</v>
      </c>
      <c r="H109" s="9">
        <f>IFERROR(INDEX('Raw Data'!P:P,MATCH($B109,'Raw Data'!$C:$C,0)),"-")</f>
        <v>1</v>
      </c>
      <c r="I109" s="15" t="str">
        <f>IFERROR(INDEX('Raw Data'!AD:AD,MATCH($B109,'Raw Data'!$C:$C,0)),"-")</f>
        <v>Operational</v>
      </c>
    </row>
    <row r="110" spans="1:9" ht="15" customHeight="1" x14ac:dyDescent="0.35">
      <c r="A110" s="16" t="str">
        <f>IFERROR(INDEX('Raw Data'!AC:AC,MATCH($B110,'Raw Data'!$C:$C,0)),"")</f>
        <v>Excavator</v>
      </c>
      <c r="B110" s="11" t="s">
        <v>207</v>
      </c>
      <c r="C110" s="14">
        <f>IFERROR(INDEX('Raw Data'!D:D,MATCH($B110,'Raw Data'!$C:$C,0)),"-")</f>
        <v>720</v>
      </c>
      <c r="D110" s="14">
        <f>IFERROR(INDEX('Raw Data'!E:E,MATCH($B110,'Raw Data'!$C:$C,0)),"-")</f>
        <v>0.1389</v>
      </c>
      <c r="E110" s="14">
        <f>IFERROR(INDEX('Raw Data'!H:H,MATCH($B110,'Raw Data'!$C:$C,0)),"-")</f>
        <v>719.86109999999996</v>
      </c>
      <c r="F110" s="14">
        <f>IFERROR(INDEX('Raw Data'!J:J,MATCH($B110,'Raw Data'!$C:$C,0)),"-")</f>
        <v>0</v>
      </c>
      <c r="G110" s="13">
        <f>IFERROR(INDEX('Raw Data'!O:O,MATCH($B110,'Raw Data'!$C:$C,0)),"-")</f>
        <v>1.929167E-4</v>
      </c>
      <c r="H110" s="13">
        <f>IFERROR(INDEX('Raw Data'!P:P,MATCH($B110,'Raw Data'!$C:$C,0)),"-")</f>
        <v>0.98992080630000001</v>
      </c>
      <c r="I110" s="16" t="str">
        <f>IFERROR(INDEX('Raw Data'!AD:AD,MATCH($B110,'Raw Data'!$C:$C,0)),"-")</f>
        <v>Operational</v>
      </c>
    </row>
    <row r="111" spans="1:9" ht="15" customHeight="1" x14ac:dyDescent="0.35">
      <c r="A111" s="15" t="str">
        <f>IFERROR(INDEX('Raw Data'!AC:AC,MATCH($B111,'Raw Data'!$C:$C,0)),"")</f>
        <v>Excavator</v>
      </c>
      <c r="B111" s="7" t="s">
        <v>224</v>
      </c>
      <c r="C111" s="10">
        <f>IFERROR(INDEX('Raw Data'!D:D,MATCH($B111,'Raw Data'!$C:$C,0)),"-")</f>
        <v>720</v>
      </c>
      <c r="D111" s="10">
        <f>IFERROR(INDEX('Raw Data'!E:E,MATCH($B111,'Raw Data'!$C:$C,0)),"-")</f>
        <v>0</v>
      </c>
      <c r="E111" s="10">
        <f>IFERROR(INDEX('Raw Data'!H:H,MATCH($B111,'Raw Data'!$C:$C,0)),"-")</f>
        <v>720</v>
      </c>
      <c r="F111" s="10">
        <f>IFERROR(INDEX('Raw Data'!J:J,MATCH($B111,'Raw Data'!$C:$C,0)),"-")</f>
        <v>0</v>
      </c>
      <c r="G111" s="9">
        <f>IFERROR(INDEX('Raw Data'!O:O,MATCH($B111,'Raw Data'!$C:$C,0)),"-")</f>
        <v>0</v>
      </c>
      <c r="H111" s="9">
        <f>IFERROR(INDEX('Raw Data'!P:P,MATCH($B111,'Raw Data'!$C:$C,0)),"-")</f>
        <v>0</v>
      </c>
      <c r="I111" s="15" t="str">
        <f>IFERROR(INDEX('Raw Data'!AD:AD,MATCH($B111,'Raw Data'!$C:$C,0)),"-")</f>
        <v>Non-Operational</v>
      </c>
    </row>
    <row r="112" spans="1:9" ht="18" customHeight="1" x14ac:dyDescent="0.35">
      <c r="A112" s="75" t="s">
        <v>279</v>
      </c>
      <c r="B112" s="62"/>
      <c r="C112" s="62"/>
      <c r="D112" s="62"/>
      <c r="E112" s="62"/>
      <c r="F112" s="62"/>
      <c r="G112" s="62"/>
      <c r="H112" s="62"/>
      <c r="I112" s="62"/>
    </row>
    <row r="113" spans="1:9" ht="15" customHeight="1" x14ac:dyDescent="0.35">
      <c r="A113" s="15" t="str">
        <f>IFERROR(INDEX('Raw Data'!AC:AC,MATCH($B113,'Raw Data'!$C:$C,0)),"")</f>
        <v>Front End Loader</v>
      </c>
      <c r="B113" s="7" t="s">
        <v>190</v>
      </c>
      <c r="C113" s="10">
        <f>IFERROR(INDEX('Raw Data'!D:D,MATCH($B113,'Raw Data'!$C:$C,0)),"-")</f>
        <v>720</v>
      </c>
      <c r="D113" s="10">
        <f>IFERROR(INDEX('Raw Data'!E:E,MATCH($B113,'Raw Data'!$C:$C,0)),"-")</f>
        <v>720</v>
      </c>
      <c r="E113" s="10">
        <f>IFERROR(INDEX('Raw Data'!H:H,MATCH($B113,'Raw Data'!$C:$C,0)),"-")</f>
        <v>0</v>
      </c>
      <c r="F113" s="10">
        <f>IFERROR(INDEX('Raw Data'!J:J,MATCH($B113,'Raw Data'!$C:$C,0)),"-")</f>
        <v>720</v>
      </c>
      <c r="G113" s="9">
        <f>IFERROR(INDEX('Raw Data'!O:O,MATCH($B113,'Raw Data'!$C:$C,0)),"-")</f>
        <v>1</v>
      </c>
      <c r="H113" s="9">
        <f>IFERROR(INDEX('Raw Data'!P:P,MATCH($B113,'Raw Data'!$C:$C,0)),"-")</f>
        <v>0</v>
      </c>
      <c r="I113" s="15" t="str">
        <f>IFERROR(INDEX('Raw Data'!AD:AD,MATCH($B113,'Raw Data'!$C:$C,0)),"-")</f>
        <v>Operational</v>
      </c>
    </row>
    <row r="114" spans="1:9" ht="15" customHeight="1" x14ac:dyDescent="0.35">
      <c r="A114" s="16" t="str">
        <f>IFERROR(INDEX('Raw Data'!AC:AC,MATCH($B114,'Raw Data'!$C:$C,0)),"")</f>
        <v>Front End Loader</v>
      </c>
      <c r="B114" s="11" t="s">
        <v>196</v>
      </c>
      <c r="C114" s="14">
        <f>IFERROR(INDEX('Raw Data'!D:D,MATCH($B114,'Raw Data'!$C:$C,0)),"-")</f>
        <v>719.99919999999895</v>
      </c>
      <c r="D114" s="14">
        <f>IFERROR(INDEX('Raw Data'!E:E,MATCH($B114,'Raw Data'!$C:$C,0)),"-")</f>
        <v>693.16879999999901</v>
      </c>
      <c r="E114" s="14">
        <f>IFERROR(INDEX('Raw Data'!H:H,MATCH($B114,'Raw Data'!$C:$C,0)),"-")</f>
        <v>26.830399999999901</v>
      </c>
      <c r="F114" s="14">
        <f>IFERROR(INDEX('Raw Data'!J:J,MATCH($B114,'Raw Data'!$C:$C,0)),"-")</f>
        <v>271.264399999999</v>
      </c>
      <c r="G114" s="13">
        <f>IFERROR(INDEX('Raw Data'!O:O,MATCH($B114,'Raw Data'!$C:$C,0)),"-")</f>
        <v>0.96273551420000003</v>
      </c>
      <c r="H114" s="13">
        <f>IFERROR(INDEX('Raw Data'!P:P,MATCH($B114,'Raw Data'!$C:$C,0)),"-")</f>
        <v>0.60631811469999997</v>
      </c>
      <c r="I114" s="16" t="str">
        <f>IFERROR(INDEX('Raw Data'!AD:AD,MATCH($B114,'Raw Data'!$C:$C,0)),"-")</f>
        <v>Operational</v>
      </c>
    </row>
    <row r="115" spans="1:9" ht="15" customHeight="1" x14ac:dyDescent="0.35">
      <c r="A115" s="15" t="str">
        <f>IFERROR(INDEX('Raw Data'!AC:AC,MATCH($B115,'Raw Data'!$C:$C,0)),"")</f>
        <v>Front End Loader</v>
      </c>
      <c r="B115" s="7" t="s">
        <v>194</v>
      </c>
      <c r="C115" s="10">
        <f>IFERROR(INDEX('Raw Data'!D:D,MATCH($B115,'Raw Data'!$C:$C,0)),"-")</f>
        <v>719.99859999999899</v>
      </c>
      <c r="D115" s="10">
        <f>IFERROR(INDEX('Raw Data'!E:E,MATCH($B115,'Raw Data'!$C:$C,0)),"-")</f>
        <v>658.14509999999905</v>
      </c>
      <c r="E115" s="10">
        <f>IFERROR(INDEX('Raw Data'!H:H,MATCH($B115,'Raw Data'!$C:$C,0)),"-")</f>
        <v>61.853499999999997</v>
      </c>
      <c r="F115" s="10">
        <f>IFERROR(INDEX('Raw Data'!J:J,MATCH($B115,'Raw Data'!$C:$C,0)),"-")</f>
        <v>219.689899999999</v>
      </c>
      <c r="G115" s="9">
        <f>IFERROR(INDEX('Raw Data'!O:O,MATCH($B115,'Raw Data'!$C:$C,0)),"-")</f>
        <v>0.91409219409999998</v>
      </c>
      <c r="H115" s="9">
        <f>IFERROR(INDEX('Raw Data'!P:P,MATCH($B115,'Raw Data'!$C:$C,0)),"-")</f>
        <v>0.65905375580000003</v>
      </c>
      <c r="I115" s="15" t="str">
        <f>IFERROR(INDEX('Raw Data'!AD:AD,MATCH($B115,'Raw Data'!$C:$C,0)),"-")</f>
        <v>Operational</v>
      </c>
    </row>
    <row r="116" spans="1:9" ht="15" customHeight="1" x14ac:dyDescent="0.35">
      <c r="A116" s="16" t="str">
        <f>IFERROR(INDEX('Raw Data'!AC:AC,MATCH($B116,'Raw Data'!$C:$C,0)),"")</f>
        <v>Front End Loader</v>
      </c>
      <c r="B116" s="11" t="s">
        <v>189</v>
      </c>
      <c r="C116" s="14">
        <f>IFERROR(INDEX('Raw Data'!D:D,MATCH($B116,'Raw Data'!$C:$C,0)),"-")</f>
        <v>720.00099999999895</v>
      </c>
      <c r="D116" s="14">
        <f>IFERROR(INDEX('Raw Data'!E:E,MATCH($B116,'Raw Data'!$C:$C,0)),"-")</f>
        <v>643.11919999999895</v>
      </c>
      <c r="E116" s="14">
        <f>IFERROR(INDEX('Raw Data'!H:H,MATCH($B116,'Raw Data'!$C:$C,0)),"-")</f>
        <v>76.881799999999998</v>
      </c>
      <c r="F116" s="14">
        <f>IFERROR(INDEX('Raw Data'!J:J,MATCH($B116,'Raw Data'!$C:$C,0)),"-")</f>
        <v>286.247199999999</v>
      </c>
      <c r="G116" s="13">
        <f>IFERROR(INDEX('Raw Data'!O:O,MATCH($B116,'Raw Data'!$C:$C,0)),"-")</f>
        <v>0.89321987049999996</v>
      </c>
      <c r="H116" s="13">
        <f>IFERROR(INDEX('Raw Data'!P:P,MATCH($B116,'Raw Data'!$C:$C,0)),"-")</f>
        <v>0.55490801710000004</v>
      </c>
      <c r="I116" s="16" t="str">
        <f>IFERROR(INDEX('Raw Data'!AD:AD,MATCH($B116,'Raw Data'!$C:$C,0)),"-")</f>
        <v>Operational</v>
      </c>
    </row>
    <row r="117" spans="1:9" ht="15" customHeight="1" x14ac:dyDescent="0.35">
      <c r="A117" s="15" t="str">
        <f>IFERROR(INDEX('Raw Data'!AC:AC,MATCH($B117,'Raw Data'!$C:$C,0)),"")</f>
        <v>Front End Loader</v>
      </c>
      <c r="B117" s="7" t="s">
        <v>193</v>
      </c>
      <c r="C117" s="10">
        <f>IFERROR(INDEX('Raw Data'!D:D,MATCH($B117,'Raw Data'!$C:$C,0)),"-")</f>
        <v>720.00040000000001</v>
      </c>
      <c r="D117" s="10">
        <f>IFERROR(INDEX('Raw Data'!E:E,MATCH($B117,'Raw Data'!$C:$C,0)),"-")</f>
        <v>637.04139999999995</v>
      </c>
      <c r="E117" s="10">
        <f>IFERROR(INDEX('Raw Data'!H:H,MATCH($B117,'Raw Data'!$C:$C,0)),"-")</f>
        <v>82.959000000000003</v>
      </c>
      <c r="F117" s="10">
        <f>IFERROR(INDEX('Raw Data'!J:J,MATCH($B117,'Raw Data'!$C:$C,0)),"-")</f>
        <v>250.71170000000001</v>
      </c>
      <c r="G117" s="9">
        <f>IFERROR(INDEX('Raw Data'!O:O,MATCH($B117,'Raw Data'!$C:$C,0)),"-")</f>
        <v>0.88477923069999997</v>
      </c>
      <c r="H117" s="9">
        <f>IFERROR(INDEX('Raw Data'!P:P,MATCH($B117,'Raw Data'!$C:$C,0)),"-")</f>
        <v>0.60644363150000002</v>
      </c>
      <c r="I117" s="15" t="str">
        <f>IFERROR(INDEX('Raw Data'!AD:AD,MATCH($B117,'Raw Data'!$C:$C,0)),"-")</f>
        <v>Operational</v>
      </c>
    </row>
    <row r="118" spans="1:9" ht="15" customHeight="1" x14ac:dyDescent="0.35">
      <c r="A118" s="16" t="str">
        <f>IFERROR(INDEX('Raw Data'!AC:AC,MATCH($B118,'Raw Data'!$C:$C,0)),"")</f>
        <v>Front End Loader</v>
      </c>
      <c r="B118" s="11" t="s">
        <v>195</v>
      </c>
      <c r="C118" s="14">
        <f>IFERROR(INDEX('Raw Data'!D:D,MATCH($B118,'Raw Data'!$C:$C,0)),"-")</f>
        <v>720.00089999999898</v>
      </c>
      <c r="D118" s="14">
        <f>IFERROR(INDEX('Raw Data'!E:E,MATCH($B118,'Raw Data'!$C:$C,0)),"-")</f>
        <v>577.106799999999</v>
      </c>
      <c r="E118" s="14">
        <f>IFERROR(INDEX('Raw Data'!H:H,MATCH($B118,'Raw Data'!$C:$C,0)),"-")</f>
        <v>142.89409999999901</v>
      </c>
      <c r="F118" s="14">
        <f>IFERROR(INDEX('Raw Data'!J:J,MATCH($B118,'Raw Data'!$C:$C,0)),"-")</f>
        <v>211.96260000000001</v>
      </c>
      <c r="G118" s="13">
        <f>IFERROR(INDEX('Raw Data'!O:O,MATCH($B118,'Raw Data'!$C:$C,0)),"-")</f>
        <v>0.80153622030000005</v>
      </c>
      <c r="H118" s="13">
        <f>IFERROR(INDEX('Raw Data'!P:P,MATCH($B118,'Raw Data'!$C:$C,0)),"-")</f>
        <v>0.62317962640000002</v>
      </c>
      <c r="I118" s="16" t="str">
        <f>IFERROR(INDEX('Raw Data'!AD:AD,MATCH($B118,'Raw Data'!$C:$C,0)),"-")</f>
        <v>Operational</v>
      </c>
    </row>
    <row r="119" spans="1:9" ht="15" customHeight="1" x14ac:dyDescent="0.35">
      <c r="A119" s="15" t="str">
        <f>IFERROR(INDEX('Raw Data'!AC:AC,MATCH($B119,'Raw Data'!$C:$C,0)),"")</f>
        <v>Front End Loader</v>
      </c>
      <c r="B119" s="7" t="s">
        <v>186</v>
      </c>
      <c r="C119" s="10">
        <f>IFERROR(INDEX('Raw Data'!D:D,MATCH($B119,'Raw Data'!$C:$C,0)),"-")</f>
        <v>715.766199999999</v>
      </c>
      <c r="D119" s="10">
        <f>IFERROR(INDEX('Raw Data'!E:E,MATCH($B119,'Raw Data'!$C:$C,0)),"-")</f>
        <v>574.27419999999904</v>
      </c>
      <c r="E119" s="10">
        <f>IFERROR(INDEX('Raw Data'!H:H,MATCH($B119,'Raw Data'!$C:$C,0)),"-")</f>
        <v>141.49199999999999</v>
      </c>
      <c r="F119" s="10">
        <f>IFERROR(INDEX('Raw Data'!J:J,MATCH($B119,'Raw Data'!$C:$C,0)),"-")</f>
        <v>366.85419999999903</v>
      </c>
      <c r="G119" s="9">
        <f>IFERROR(INDEX('Raw Data'!O:O,MATCH($B119,'Raw Data'!$C:$C,0)),"-")</f>
        <v>0.8023209255</v>
      </c>
      <c r="H119" s="9">
        <f>IFERROR(INDEX('Raw Data'!P:P,MATCH($B119,'Raw Data'!$C:$C,0)),"-")</f>
        <v>0.3570949209</v>
      </c>
      <c r="I119" s="15" t="str">
        <f>IFERROR(INDEX('Raw Data'!AD:AD,MATCH($B119,'Raw Data'!$C:$C,0)),"-")</f>
        <v>Operational</v>
      </c>
    </row>
    <row r="120" spans="1:9" ht="15" customHeight="1" x14ac:dyDescent="0.35">
      <c r="A120" s="16" t="str">
        <f>IFERROR(INDEX('Raw Data'!AC:AC,MATCH($B120,'Raw Data'!$C:$C,0)),"")</f>
        <v>Front End Loader</v>
      </c>
      <c r="B120" s="11" t="s">
        <v>191</v>
      </c>
      <c r="C120" s="14">
        <f>IFERROR(INDEX('Raw Data'!D:D,MATCH($B120,'Raw Data'!$C:$C,0)),"-")</f>
        <v>719.99909999999898</v>
      </c>
      <c r="D120" s="14">
        <f>IFERROR(INDEX('Raw Data'!E:E,MATCH($B120,'Raw Data'!$C:$C,0)),"-")</f>
        <v>563.40959999999905</v>
      </c>
      <c r="E120" s="14">
        <f>IFERROR(INDEX('Raw Data'!H:H,MATCH($B120,'Raw Data'!$C:$C,0)),"-")</f>
        <v>156.58949999999999</v>
      </c>
      <c r="F120" s="14">
        <f>IFERROR(INDEX('Raw Data'!J:J,MATCH($B120,'Raw Data'!$C:$C,0)),"-")</f>
        <v>257.39089999999902</v>
      </c>
      <c r="G120" s="13">
        <f>IFERROR(INDEX('Raw Data'!O:O,MATCH($B120,'Raw Data'!$C:$C,0)),"-")</f>
        <v>0.78251431149999995</v>
      </c>
      <c r="H120" s="13">
        <f>IFERROR(INDEX('Raw Data'!P:P,MATCH($B120,'Raw Data'!$C:$C,0)),"-")</f>
        <v>0.53196395659999995</v>
      </c>
      <c r="I120" s="16" t="str">
        <f>IFERROR(INDEX('Raw Data'!AD:AD,MATCH($B120,'Raw Data'!$C:$C,0)),"-")</f>
        <v>Operational</v>
      </c>
    </row>
    <row r="121" spans="1:9" ht="15" customHeight="1" x14ac:dyDescent="0.35">
      <c r="A121" s="15" t="str">
        <f>IFERROR(INDEX('Raw Data'!AC:AC,MATCH($B121,'Raw Data'!$C:$C,0)),"")</f>
        <v>Front End Loader</v>
      </c>
      <c r="B121" s="7" t="s">
        <v>192</v>
      </c>
      <c r="C121" s="10">
        <f>IFERROR(INDEX('Raw Data'!D:D,MATCH($B121,'Raw Data'!$C:$C,0)),"-")</f>
        <v>719.99969999999996</v>
      </c>
      <c r="D121" s="10">
        <f>IFERROR(INDEX('Raw Data'!E:E,MATCH($B121,'Raw Data'!$C:$C,0)),"-")</f>
        <v>508.94119999999998</v>
      </c>
      <c r="E121" s="10">
        <f>IFERROR(INDEX('Raw Data'!H:H,MATCH($B121,'Raw Data'!$C:$C,0)),"-")</f>
        <v>211.05849999999899</v>
      </c>
      <c r="F121" s="10">
        <f>IFERROR(INDEX('Raw Data'!J:J,MATCH($B121,'Raw Data'!$C:$C,0)),"-")</f>
        <v>217.29320000000001</v>
      </c>
      <c r="G121" s="9">
        <f>IFERROR(INDEX('Raw Data'!O:O,MATCH($B121,'Raw Data'!$C:$C,0)),"-")</f>
        <v>0.70686307230000001</v>
      </c>
      <c r="H121" s="9">
        <f>IFERROR(INDEX('Raw Data'!P:P,MATCH($B121,'Raw Data'!$C:$C,0)),"-")</f>
        <v>0.56455225080000004</v>
      </c>
      <c r="I121" s="15" t="str">
        <f>IFERROR(INDEX('Raw Data'!AD:AD,MATCH($B121,'Raw Data'!$C:$C,0)),"-")</f>
        <v>Operational</v>
      </c>
    </row>
    <row r="122" spans="1:9" ht="15" customHeight="1" x14ac:dyDescent="0.35">
      <c r="A122" s="16" t="str">
        <f>IFERROR(INDEX('Raw Data'!AC:AC,MATCH($B122,'Raw Data'!$C:$C,0)),"")</f>
        <v>Front End Loader</v>
      </c>
      <c r="B122" s="11" t="s">
        <v>187</v>
      </c>
      <c r="C122" s="14">
        <f>IFERROR(INDEX('Raw Data'!D:D,MATCH($B122,'Raw Data'!$C:$C,0)),"-")</f>
        <v>719.99979999999903</v>
      </c>
      <c r="D122" s="14">
        <f>IFERROR(INDEX('Raw Data'!E:E,MATCH($B122,'Raw Data'!$C:$C,0)),"-")</f>
        <v>507.54479999999899</v>
      </c>
      <c r="E122" s="14">
        <f>IFERROR(INDEX('Raw Data'!H:H,MATCH($B122,'Raw Data'!$C:$C,0)),"-")</f>
        <v>212.45499999999899</v>
      </c>
      <c r="F122" s="14">
        <f>IFERROR(INDEX('Raw Data'!J:J,MATCH($B122,'Raw Data'!$C:$C,0)),"-")</f>
        <v>252.24319999999901</v>
      </c>
      <c r="G122" s="13">
        <f>IFERROR(INDEX('Raw Data'!O:O,MATCH($B122,'Raw Data'!$C:$C,0)),"-")</f>
        <v>0.7049235291</v>
      </c>
      <c r="H122" s="13">
        <f>IFERROR(INDEX('Raw Data'!P:P,MATCH($B122,'Raw Data'!$C:$C,0)),"-")</f>
        <v>0.47992551589999999</v>
      </c>
      <c r="I122" s="16" t="str">
        <f>IFERROR(INDEX('Raw Data'!AD:AD,MATCH($B122,'Raw Data'!$C:$C,0)),"-")</f>
        <v>Operational</v>
      </c>
    </row>
    <row r="123" spans="1:9" ht="15" customHeight="1" x14ac:dyDescent="0.35">
      <c r="A123" s="15" t="str">
        <f>IFERROR(INDEX('Raw Data'!AC:AC,MATCH($B123,'Raw Data'!$C:$C,0)),"")</f>
        <v>Front End Loader</v>
      </c>
      <c r="B123" s="7" t="s">
        <v>184</v>
      </c>
      <c r="C123" s="10">
        <f>IFERROR(INDEX('Raw Data'!D:D,MATCH($B123,'Raw Data'!$C:$C,0)),"-")</f>
        <v>720.00059999999996</v>
      </c>
      <c r="D123" s="10">
        <f>IFERROR(INDEX('Raw Data'!E:E,MATCH($B123,'Raw Data'!$C:$C,0)),"-")</f>
        <v>427.13229999999999</v>
      </c>
      <c r="E123" s="10">
        <f>IFERROR(INDEX('Raw Data'!H:H,MATCH($B123,'Raw Data'!$C:$C,0)),"-")</f>
        <v>292.86829999999998</v>
      </c>
      <c r="F123" s="10">
        <f>IFERROR(INDEX('Raw Data'!J:J,MATCH($B123,'Raw Data'!$C:$C,0)),"-")</f>
        <v>162.12119999999899</v>
      </c>
      <c r="G123" s="9">
        <f>IFERROR(INDEX('Raw Data'!O:O,MATCH($B123,'Raw Data'!$C:$C,0)),"-")</f>
        <v>0.59323881119999999</v>
      </c>
      <c r="H123" s="9">
        <f>IFERROR(INDEX('Raw Data'!P:P,MATCH($B123,'Raw Data'!$C:$C,0)),"-")</f>
        <v>0.61272350509999995</v>
      </c>
      <c r="I123" s="15" t="str">
        <f>IFERROR(INDEX('Raw Data'!AD:AD,MATCH($B123,'Raw Data'!$C:$C,0)),"-")</f>
        <v>Operational</v>
      </c>
    </row>
    <row r="124" spans="1:9" ht="15" customHeight="1" x14ac:dyDescent="0.35">
      <c r="A124" s="16" t="str">
        <f>IFERROR(INDEX('Raw Data'!AC:AC,MATCH($B124,'Raw Data'!$C:$C,0)),"")</f>
        <v>Front End Loader</v>
      </c>
      <c r="B124" s="11" t="s">
        <v>183</v>
      </c>
      <c r="C124" s="14">
        <f>IFERROR(INDEX('Raw Data'!D:D,MATCH($B124,'Raw Data'!$C:$C,0)),"-")</f>
        <v>719.99879999999996</v>
      </c>
      <c r="D124" s="14">
        <f>IFERROR(INDEX('Raw Data'!E:E,MATCH($B124,'Raw Data'!$C:$C,0)),"-")</f>
        <v>360.04059999999902</v>
      </c>
      <c r="E124" s="14">
        <f>IFERROR(INDEX('Raw Data'!H:H,MATCH($B124,'Raw Data'!$C:$C,0)),"-")</f>
        <v>359.95819999999998</v>
      </c>
      <c r="F124" s="14">
        <f>IFERROR(INDEX('Raw Data'!J:J,MATCH($B124,'Raw Data'!$C:$C,0)),"-")</f>
        <v>129.8981</v>
      </c>
      <c r="G124" s="13">
        <f>IFERROR(INDEX('Raw Data'!O:O,MATCH($B124,'Raw Data'!$C:$C,0)),"-")</f>
        <v>0.50005722230000005</v>
      </c>
      <c r="H124" s="13">
        <f>IFERROR(INDEX('Raw Data'!P:P,MATCH($B124,'Raw Data'!$C:$C,0)),"-")</f>
        <v>0.63256643830000003</v>
      </c>
      <c r="I124" s="16" t="str">
        <f>IFERROR(INDEX('Raw Data'!AD:AD,MATCH($B124,'Raw Data'!$C:$C,0)),"-")</f>
        <v>Operational</v>
      </c>
    </row>
    <row r="125" spans="1:9" ht="15" customHeight="1" x14ac:dyDescent="0.35">
      <c r="A125" s="15" t="str">
        <f>IFERROR(INDEX('Raw Data'!AC:AC,MATCH($B125,'Raw Data'!$C:$C,0)),"")</f>
        <v>Front End Loader</v>
      </c>
      <c r="B125" s="7" t="s">
        <v>188</v>
      </c>
      <c r="C125" s="10">
        <f>IFERROR(INDEX('Raw Data'!D:D,MATCH($B125,'Raw Data'!$C:$C,0)),"-")</f>
        <v>719.999899999999</v>
      </c>
      <c r="D125" s="10">
        <f>IFERROR(INDEX('Raw Data'!E:E,MATCH($B125,'Raw Data'!$C:$C,0)),"-")</f>
        <v>357.00479999999902</v>
      </c>
      <c r="E125" s="10">
        <f>IFERROR(INDEX('Raw Data'!H:H,MATCH($B125,'Raw Data'!$C:$C,0)),"-")</f>
        <v>362.99509999999998</v>
      </c>
      <c r="F125" s="10">
        <f>IFERROR(INDEX('Raw Data'!J:J,MATCH($B125,'Raw Data'!$C:$C,0)),"-")</f>
        <v>158.58839999999901</v>
      </c>
      <c r="G125" s="9">
        <f>IFERROR(INDEX('Raw Data'!O:O,MATCH($B125,'Raw Data'!$C:$C,0)),"-")</f>
        <v>0.49584006889999999</v>
      </c>
      <c r="H125" s="9">
        <f>IFERROR(INDEX('Raw Data'!P:P,MATCH($B125,'Raw Data'!$C:$C,0)),"-")</f>
        <v>0.54936964430000002</v>
      </c>
      <c r="I125" s="15" t="str">
        <f>IFERROR(INDEX('Raw Data'!AD:AD,MATCH($B125,'Raw Data'!$C:$C,0)),"-")</f>
        <v>Operational</v>
      </c>
    </row>
    <row r="126" spans="1:9" ht="15" customHeight="1" x14ac:dyDescent="0.35">
      <c r="A126" s="16" t="str">
        <f>IFERROR(INDEX('Raw Data'!AC:AC,MATCH($B126,'Raw Data'!$C:$C,0)),"")</f>
        <v>Front End Loader</v>
      </c>
      <c r="B126" s="11" t="s">
        <v>185</v>
      </c>
      <c r="C126" s="14">
        <f>IFERROR(INDEX('Raw Data'!D:D,MATCH($B126,'Raw Data'!$C:$C,0)),"-")</f>
        <v>714.5018</v>
      </c>
      <c r="D126" s="14">
        <f>IFERROR(INDEX('Raw Data'!E:E,MATCH($B126,'Raw Data'!$C:$C,0)),"-")</f>
        <v>312.79199999999997</v>
      </c>
      <c r="E126" s="14">
        <f>IFERROR(INDEX('Raw Data'!H:H,MATCH($B126,'Raw Data'!$C:$C,0)),"-")</f>
        <v>401.70979999999997</v>
      </c>
      <c r="F126" s="14">
        <f>IFERROR(INDEX('Raw Data'!J:J,MATCH($B126,'Raw Data'!$C:$C,0)),"-")</f>
        <v>312.45310000000001</v>
      </c>
      <c r="G126" s="13">
        <f>IFERROR(INDEX('Raw Data'!O:O,MATCH($B126,'Raw Data'!$C:$C,0)),"-")</f>
        <v>0.43777636390000002</v>
      </c>
      <c r="H126" s="13">
        <f>IFERROR(INDEX('Raw Data'!P:P,MATCH($B126,'Raw Data'!$C:$C,0)),"-")</f>
        <v>6.7169240000000002E-4</v>
      </c>
      <c r="I126" s="16" t="str">
        <f>IFERROR(INDEX('Raw Data'!AD:AD,MATCH($B126,'Raw Data'!$C:$C,0)),"-")</f>
        <v>Operational</v>
      </c>
    </row>
    <row r="127" spans="1:9" ht="15" customHeight="1" x14ac:dyDescent="0.35">
      <c r="A127" s="15" t="str">
        <f>IFERROR(INDEX('Raw Data'!AC:AC,MATCH($B127,'Raw Data'!$C:$C,0)),"")</f>
        <v>Front End Loader</v>
      </c>
      <c r="B127" s="7" t="s">
        <v>182</v>
      </c>
      <c r="C127" s="10">
        <f>IFERROR(INDEX('Raw Data'!D:D,MATCH($B127,'Raw Data'!$C:$C,0)),"-")</f>
        <v>712.43929999999898</v>
      </c>
      <c r="D127" s="10">
        <f>IFERROR(INDEX('Raw Data'!E:E,MATCH($B127,'Raw Data'!$C:$C,0)),"-")</f>
        <v>13.6684</v>
      </c>
      <c r="E127" s="10">
        <f>IFERROR(INDEX('Raw Data'!H:H,MATCH($B127,'Raw Data'!$C:$C,0)),"-")</f>
        <v>698.77089999999998</v>
      </c>
      <c r="F127" s="10">
        <f>IFERROR(INDEX('Raw Data'!J:J,MATCH($B127,'Raw Data'!$C:$C,0)),"-")</f>
        <v>4.5147000000000004</v>
      </c>
      <c r="G127" s="9">
        <f>IFERROR(INDEX('Raw Data'!O:O,MATCH($B127,'Raw Data'!$C:$C,0)),"-")</f>
        <v>1.9185353799999999E-2</v>
      </c>
      <c r="H127" s="9">
        <f>IFERROR(INDEX('Raw Data'!P:P,MATCH($B127,'Raw Data'!$C:$C,0)),"-")</f>
        <v>0.62059933860000005</v>
      </c>
      <c r="I127" s="15" t="str">
        <f>IFERROR(INDEX('Raw Data'!AD:AD,MATCH($B127,'Raw Data'!$C:$C,0)),"-")</f>
        <v>Operational</v>
      </c>
    </row>
    <row r="128" spans="1:9" ht="15" customHeight="1" x14ac:dyDescent="0.35">
      <c r="A128" s="16" t="str">
        <f>IFERROR(INDEX('Raw Data'!AC:AC,MATCH($B128,'Raw Data'!$C:$C,0)),"")</f>
        <v>Front End Loader</v>
      </c>
      <c r="B128" s="11" t="s">
        <v>197</v>
      </c>
      <c r="C128" s="14">
        <f>IFERROR(INDEX('Raw Data'!D:D,MATCH($B128,'Raw Data'!$C:$C,0)),"-")</f>
        <v>720</v>
      </c>
      <c r="D128" s="14">
        <f>IFERROR(INDEX('Raw Data'!E:E,MATCH($B128,'Raw Data'!$C:$C,0)),"-")</f>
        <v>0</v>
      </c>
      <c r="E128" s="14">
        <f>IFERROR(INDEX('Raw Data'!H:H,MATCH($B128,'Raw Data'!$C:$C,0)),"-")</f>
        <v>720</v>
      </c>
      <c r="F128" s="14">
        <f>IFERROR(INDEX('Raw Data'!J:J,MATCH($B128,'Raw Data'!$C:$C,0)),"-")</f>
        <v>0</v>
      </c>
      <c r="G128" s="13">
        <f>IFERROR(INDEX('Raw Data'!O:O,MATCH($B128,'Raw Data'!$C:$C,0)),"-")</f>
        <v>0</v>
      </c>
      <c r="H128" s="13">
        <f>IFERROR(INDEX('Raw Data'!P:P,MATCH($B128,'Raw Data'!$C:$C,0)),"-")</f>
        <v>0</v>
      </c>
      <c r="I128" s="16" t="str">
        <f>IFERROR(INDEX('Raw Data'!AD:AD,MATCH($B128,'Raw Data'!$C:$C,0)),"-")</f>
        <v>Non-Operational</v>
      </c>
    </row>
    <row r="129" spans="1:9" ht="18" customHeight="1" x14ac:dyDescent="0.35">
      <c r="A129" s="75" t="s">
        <v>280</v>
      </c>
      <c r="B129" s="62"/>
      <c r="C129" s="62"/>
      <c r="D129" s="62"/>
      <c r="E129" s="62"/>
      <c r="F129" s="62"/>
      <c r="G129" s="62"/>
      <c r="H129" s="62"/>
      <c r="I129" s="62"/>
    </row>
    <row r="130" spans="1:9" ht="15" customHeight="1" x14ac:dyDescent="0.35">
      <c r="A130" s="16" t="str">
        <f>IFERROR(INDEX('Raw Data'!AC:AC,MATCH($B130,'Raw Data'!$C:$C,0)),"")</f>
        <v>Surface Miner</v>
      </c>
      <c r="B130" s="11" t="s">
        <v>233</v>
      </c>
      <c r="C130" s="14">
        <f>IFERROR(INDEX('Raw Data'!D:D,MATCH($B130,'Raw Data'!$C:$C,0)),"-")</f>
        <v>714.51009999999906</v>
      </c>
      <c r="D130" s="14">
        <f>IFERROR(INDEX('Raw Data'!E:E,MATCH($B130,'Raw Data'!$C:$C,0)),"-")</f>
        <v>445.73379999999901</v>
      </c>
      <c r="E130" s="14">
        <f>IFERROR(INDEX('Raw Data'!H:H,MATCH($B130,'Raw Data'!$C:$C,0)),"-")</f>
        <v>268.77629999999999</v>
      </c>
      <c r="F130" s="14">
        <f>IFERROR(INDEX('Raw Data'!J:J,MATCH($B130,'Raw Data'!$C:$C,0)),"-")</f>
        <v>48.096400000000003</v>
      </c>
      <c r="G130" s="13">
        <f>IFERROR(INDEX('Raw Data'!O:O,MATCH($B130,'Raw Data'!$C:$C,0)),"-")</f>
        <v>0.62383134959999997</v>
      </c>
      <c r="H130" s="13">
        <f>IFERROR(INDEX('Raw Data'!P:P,MATCH($B130,'Raw Data'!$C:$C,0)),"-")</f>
        <v>0.86930786940000004</v>
      </c>
      <c r="I130" s="16" t="str">
        <f>IFERROR(INDEX('Raw Data'!AD:AD,MATCH($B130,'Raw Data'!$C:$C,0)),"-")</f>
        <v>Operational</v>
      </c>
    </row>
    <row r="131" spans="1:9" ht="15" customHeight="1" x14ac:dyDescent="0.35">
      <c r="A131" s="15" t="str">
        <f>IFERROR(INDEX('Raw Data'!AC:AC,MATCH($B131,'Raw Data'!$C:$C,0)),"")</f>
        <v>Surface Miner</v>
      </c>
      <c r="B131" s="7" t="s">
        <v>234</v>
      </c>
      <c r="C131" s="10">
        <f>IFERROR(INDEX('Raw Data'!D:D,MATCH($B131,'Raw Data'!$C:$C,0)),"-")</f>
        <v>717.55359999999996</v>
      </c>
      <c r="D131" s="10">
        <f>IFERROR(INDEX('Raw Data'!E:E,MATCH($B131,'Raw Data'!$C:$C,0)),"-")</f>
        <v>423.61679999999899</v>
      </c>
      <c r="E131" s="10">
        <f>IFERROR(INDEX('Raw Data'!H:H,MATCH($B131,'Raw Data'!$C:$C,0)),"-")</f>
        <v>293.93680000000001</v>
      </c>
      <c r="F131" s="10">
        <f>IFERROR(INDEX('Raw Data'!J:J,MATCH($B131,'Raw Data'!$C:$C,0)),"-")</f>
        <v>42.5426</v>
      </c>
      <c r="G131" s="9">
        <f>IFERROR(INDEX('Raw Data'!O:O,MATCH($B131,'Raw Data'!$C:$C,0)),"-")</f>
        <v>0.59036258750000004</v>
      </c>
      <c r="H131" s="9">
        <f>IFERROR(INDEX('Raw Data'!P:P,MATCH($B131,'Raw Data'!$C:$C,0)),"-")</f>
        <v>0.88627953380000002</v>
      </c>
      <c r="I131" s="15" t="str">
        <f>IFERROR(INDEX('Raw Data'!AD:AD,MATCH($B131,'Raw Data'!$C:$C,0)),"-")</f>
        <v>Operational</v>
      </c>
    </row>
    <row r="132" spans="1:9" ht="15" customHeight="1" x14ac:dyDescent="0.35">
      <c r="A132" s="16" t="str">
        <f>IFERROR(INDEX('Raw Data'!AC:AC,MATCH($B132,'Raw Data'!$C:$C,0)),"")</f>
        <v>Surface Miner</v>
      </c>
      <c r="B132" s="11" t="s">
        <v>231</v>
      </c>
      <c r="C132" s="14">
        <f>IFERROR(INDEX('Raw Data'!D:D,MATCH($B132,'Raw Data'!$C:$C,0)),"-")</f>
        <v>718.10699999999895</v>
      </c>
      <c r="D132" s="14">
        <f>IFERROR(INDEX('Raw Data'!E:E,MATCH($B132,'Raw Data'!$C:$C,0)),"-")</f>
        <v>395.24209999999999</v>
      </c>
      <c r="E132" s="14">
        <f>IFERROR(INDEX('Raw Data'!H:H,MATCH($B132,'Raw Data'!$C:$C,0)),"-")</f>
        <v>322.86489999999901</v>
      </c>
      <c r="F132" s="14">
        <f>IFERROR(INDEX('Raw Data'!J:J,MATCH($B132,'Raw Data'!$C:$C,0)),"-")</f>
        <v>2.1536</v>
      </c>
      <c r="G132" s="13">
        <f>IFERROR(INDEX('Raw Data'!O:O,MATCH($B132,'Raw Data'!$C:$C,0)),"-")</f>
        <v>0.55039443980000002</v>
      </c>
      <c r="H132" s="13">
        <f>IFERROR(INDEX('Raw Data'!P:P,MATCH($B132,'Raw Data'!$C:$C,0)),"-")</f>
        <v>0.93287531869999996</v>
      </c>
      <c r="I132" s="16" t="str">
        <f>IFERROR(INDEX('Raw Data'!AD:AD,MATCH($B132,'Raw Data'!$C:$C,0)),"-")</f>
        <v>Operational</v>
      </c>
    </row>
    <row r="133" spans="1:9" ht="15" customHeight="1" x14ac:dyDescent="0.35">
      <c r="A133" s="15" t="str">
        <f>IFERROR(INDEX('Raw Data'!AC:AC,MATCH($B133,'Raw Data'!$C:$C,0)),"")</f>
        <v>Surface Miner</v>
      </c>
      <c r="B133" s="7" t="s">
        <v>232</v>
      </c>
      <c r="C133" s="10">
        <f>IFERROR(INDEX('Raw Data'!D:D,MATCH($B133,'Raw Data'!$C:$C,0)),"-")</f>
        <v>708.49389999999903</v>
      </c>
      <c r="D133" s="10">
        <f>IFERROR(INDEX('Raw Data'!E:E,MATCH($B133,'Raw Data'!$C:$C,0)),"-")</f>
        <v>316.22809999999902</v>
      </c>
      <c r="E133" s="10">
        <f>IFERROR(INDEX('Raw Data'!H:H,MATCH($B133,'Raw Data'!$C:$C,0)),"-")</f>
        <v>392.26580000000001</v>
      </c>
      <c r="F133" s="10">
        <f>IFERROR(INDEX('Raw Data'!J:J,MATCH($B133,'Raw Data'!$C:$C,0)),"-")</f>
        <v>31.280899999999999</v>
      </c>
      <c r="G133" s="9">
        <f>IFERROR(INDEX('Raw Data'!O:O,MATCH($B133,'Raw Data'!$C:$C,0)),"-")</f>
        <v>0.44633849349999999</v>
      </c>
      <c r="H133" s="9">
        <f>IFERROR(INDEX('Raw Data'!P:P,MATCH($B133,'Raw Data'!$C:$C,0)),"-")</f>
        <v>0.87989271040000006</v>
      </c>
      <c r="I133" s="15" t="str">
        <f>IFERROR(INDEX('Raw Data'!AD:AD,MATCH($B133,'Raw Data'!$C:$C,0)),"-")</f>
        <v>Operational</v>
      </c>
    </row>
    <row r="134" spans="1:9" ht="15" customHeight="1" x14ac:dyDescent="0.35">
      <c r="A134" s="16" t="str">
        <f>IFERROR(INDEX('Raw Data'!AC:AC,MATCH($B134,'Raw Data'!$C:$C,0)),"")</f>
        <v>Surface Miner</v>
      </c>
      <c r="B134" s="11" t="s">
        <v>230</v>
      </c>
      <c r="C134" s="14">
        <f>IFERROR(INDEX('Raw Data'!D:D,MATCH($B134,'Raw Data'!$C:$C,0)),"-")</f>
        <v>708.64390000000003</v>
      </c>
      <c r="D134" s="14">
        <f>IFERROR(INDEX('Raw Data'!E:E,MATCH($B134,'Raw Data'!$C:$C,0)),"-")</f>
        <v>305.17559999999997</v>
      </c>
      <c r="E134" s="14">
        <f>IFERROR(INDEX('Raw Data'!H:H,MATCH($B134,'Raw Data'!$C:$C,0)),"-")</f>
        <v>403.4683</v>
      </c>
      <c r="F134" s="14">
        <f>IFERROR(INDEX('Raw Data'!J:J,MATCH($B134,'Raw Data'!$C:$C,0)),"-")</f>
        <v>29.501300000000001</v>
      </c>
      <c r="G134" s="13">
        <f>IFERROR(INDEX('Raw Data'!O:O,MATCH($B134,'Raw Data'!$C:$C,0)),"-")</f>
        <v>0.43064732509999998</v>
      </c>
      <c r="H134" s="13">
        <f>IFERROR(INDEX('Raw Data'!P:P,MATCH($B134,'Raw Data'!$C:$C,0)),"-")</f>
        <v>0.87864101849999998</v>
      </c>
      <c r="I134" s="16" t="str">
        <f>IFERROR(INDEX('Raw Data'!AD:AD,MATCH($B134,'Raw Data'!$C:$C,0)),"-")</f>
        <v>Operational</v>
      </c>
    </row>
    <row r="135" spans="1:9" ht="15" customHeight="1" x14ac:dyDescent="0.35">
      <c r="A135" s="15" t="str">
        <f>IFERROR(INDEX('Raw Data'!AC:AC,MATCH($B135,'Raw Data'!$C:$C,0)),"")</f>
        <v>Surface Miner</v>
      </c>
      <c r="B135" s="7" t="s">
        <v>229</v>
      </c>
      <c r="C135" s="10">
        <f>IFERROR(INDEX('Raw Data'!D:D,MATCH($B135,'Raw Data'!$C:$C,0)),"-")</f>
        <v>720</v>
      </c>
      <c r="D135" s="10">
        <f>IFERROR(INDEX('Raw Data'!E:E,MATCH($B135,'Raw Data'!$C:$C,0)),"-")</f>
        <v>0</v>
      </c>
      <c r="E135" s="10">
        <f>IFERROR(INDEX('Raw Data'!H:H,MATCH($B135,'Raw Data'!$C:$C,0)),"-")</f>
        <v>720</v>
      </c>
      <c r="F135" s="10">
        <f>IFERROR(INDEX('Raw Data'!J:J,MATCH($B135,'Raw Data'!$C:$C,0)),"-")</f>
        <v>0</v>
      </c>
      <c r="G135" s="9">
        <f>IFERROR(INDEX('Raw Data'!O:O,MATCH($B135,'Raw Data'!$C:$C,0)),"-")</f>
        <v>0</v>
      </c>
      <c r="H135" s="9">
        <f>IFERROR(INDEX('Raw Data'!P:P,MATCH($B135,'Raw Data'!$C:$C,0)),"-")</f>
        <v>0</v>
      </c>
      <c r="I135" s="15" t="str">
        <f>IFERROR(INDEX('Raw Data'!AD:AD,MATCH($B135,'Raw Data'!$C:$C,0)),"-")</f>
        <v>Non-Operational</v>
      </c>
    </row>
    <row r="136" spans="1:9" ht="18" customHeight="1" x14ac:dyDescent="0.35">
      <c r="A136" s="75" t="s">
        <v>281</v>
      </c>
      <c r="B136" s="62"/>
      <c r="C136" s="62"/>
      <c r="D136" s="62"/>
      <c r="E136" s="62"/>
      <c r="F136" s="62"/>
      <c r="G136" s="62"/>
      <c r="H136" s="62"/>
      <c r="I136" s="62"/>
    </row>
    <row r="137" spans="1:9" ht="15" customHeight="1" x14ac:dyDescent="0.35">
      <c r="A137" s="15" t="str">
        <f>IFERROR(INDEX('Raw Data'!AC:AC,MATCH($B137,'Raw Data'!$C:$C,0)),"")</f>
        <v>Tipper</v>
      </c>
      <c r="B137" s="7" t="s">
        <v>47</v>
      </c>
      <c r="C137" s="10">
        <f>IFERROR(INDEX('Raw Data'!D:D,MATCH($B137,'Raw Data'!$C:$C,0)),"-")</f>
        <v>720</v>
      </c>
      <c r="D137" s="10">
        <f>IFERROR(INDEX('Raw Data'!E:E,MATCH($B137,'Raw Data'!$C:$C,0)),"-")</f>
        <v>720</v>
      </c>
      <c r="E137" s="10">
        <f>IFERROR(INDEX('Raw Data'!H:H,MATCH($B137,'Raw Data'!$C:$C,0)),"-")</f>
        <v>0</v>
      </c>
      <c r="F137" s="10">
        <f>IFERROR(INDEX('Raw Data'!J:J,MATCH($B137,'Raw Data'!$C:$C,0)),"-")</f>
        <v>0</v>
      </c>
      <c r="G137" s="9">
        <f>IFERROR(INDEX('Raw Data'!O:O,MATCH($B137,'Raw Data'!$C:$C,0)),"-")</f>
        <v>1</v>
      </c>
      <c r="H137" s="9">
        <f>IFERROR(INDEX('Raw Data'!P:P,MATCH($B137,'Raw Data'!$C:$C,0)),"-")</f>
        <v>0</v>
      </c>
      <c r="I137" s="15" t="str">
        <f>IFERROR(INDEX('Raw Data'!AD:AD,MATCH($B137,'Raw Data'!$C:$C,0)),"-")</f>
        <v>Operational</v>
      </c>
    </row>
    <row r="138" spans="1:9" ht="15" customHeight="1" x14ac:dyDescent="0.35">
      <c r="A138" s="16" t="str">
        <f>IFERROR(INDEX('Raw Data'!AC:AC,MATCH($B138,'Raw Data'!$C:$C,0)),"")</f>
        <v>Tipper</v>
      </c>
      <c r="B138" s="11" t="s">
        <v>68</v>
      </c>
      <c r="C138" s="14">
        <f>IFERROR(INDEX('Raw Data'!D:D,MATCH($B138,'Raw Data'!$C:$C,0)),"-")</f>
        <v>720</v>
      </c>
      <c r="D138" s="14">
        <f>IFERROR(INDEX('Raw Data'!E:E,MATCH($B138,'Raw Data'!$C:$C,0)),"-")</f>
        <v>720</v>
      </c>
      <c r="E138" s="14">
        <f>IFERROR(INDEX('Raw Data'!H:H,MATCH($B138,'Raw Data'!$C:$C,0)),"-")</f>
        <v>0</v>
      </c>
      <c r="F138" s="14">
        <f>IFERROR(INDEX('Raw Data'!J:J,MATCH($B138,'Raw Data'!$C:$C,0)),"-")</f>
        <v>0</v>
      </c>
      <c r="G138" s="13">
        <f>IFERROR(INDEX('Raw Data'!O:O,MATCH($B138,'Raw Data'!$C:$C,0)),"-")</f>
        <v>1</v>
      </c>
      <c r="H138" s="13">
        <f>IFERROR(INDEX('Raw Data'!P:P,MATCH($B138,'Raw Data'!$C:$C,0)),"-")</f>
        <v>0</v>
      </c>
      <c r="I138" s="16" t="str">
        <f>IFERROR(INDEX('Raw Data'!AD:AD,MATCH($B138,'Raw Data'!$C:$C,0)),"-")</f>
        <v>Operational</v>
      </c>
    </row>
    <row r="139" spans="1:9" ht="15" customHeight="1" x14ac:dyDescent="0.35">
      <c r="A139" s="15" t="str">
        <f>IFERROR(INDEX('Raw Data'!AC:AC,MATCH($B139,'Raw Data'!$C:$C,0)),"")</f>
        <v>Tipper</v>
      </c>
      <c r="B139" s="7" t="s">
        <v>95</v>
      </c>
      <c r="C139" s="10">
        <f>IFERROR(INDEX('Raw Data'!D:D,MATCH($B139,'Raw Data'!$C:$C,0)),"-")</f>
        <v>720.00009999999895</v>
      </c>
      <c r="D139" s="10">
        <f>IFERROR(INDEX('Raw Data'!E:E,MATCH($B139,'Raw Data'!$C:$C,0)),"-")</f>
        <v>685.38329999999905</v>
      </c>
      <c r="E139" s="10">
        <f>IFERROR(INDEX('Raw Data'!H:H,MATCH($B139,'Raw Data'!$C:$C,0)),"-")</f>
        <v>34.616799999999998</v>
      </c>
      <c r="F139" s="10">
        <f>IFERROR(INDEX('Raw Data'!J:J,MATCH($B139,'Raw Data'!$C:$C,0)),"-")</f>
        <v>331.57619999999901</v>
      </c>
      <c r="G139" s="9">
        <f>IFERROR(INDEX('Raw Data'!O:O,MATCH($B139,'Raw Data'!$C:$C,0)),"-")</f>
        <v>0.95192111779999999</v>
      </c>
      <c r="H139" s="9">
        <f>IFERROR(INDEX('Raw Data'!P:P,MATCH($B139,'Raw Data'!$C:$C,0)),"-")</f>
        <v>0.51164217160000003</v>
      </c>
      <c r="I139" s="15" t="str">
        <f>IFERROR(INDEX('Raw Data'!AD:AD,MATCH($B139,'Raw Data'!$C:$C,0)),"-")</f>
        <v>Operational</v>
      </c>
    </row>
    <row r="140" spans="1:9" ht="15" customHeight="1" x14ac:dyDescent="0.35">
      <c r="A140" s="16" t="str">
        <f>IFERROR(INDEX('Raw Data'!AC:AC,MATCH($B140,'Raw Data'!$C:$C,0)),"")</f>
        <v>Tipper</v>
      </c>
      <c r="B140" s="11" t="s">
        <v>96</v>
      </c>
      <c r="C140" s="14">
        <f>IFERROR(INDEX('Raw Data'!D:D,MATCH($B140,'Raw Data'!$C:$C,0)),"-")</f>
        <v>720.00019999999904</v>
      </c>
      <c r="D140" s="14">
        <f>IFERROR(INDEX('Raw Data'!E:E,MATCH($B140,'Raw Data'!$C:$C,0)),"-")</f>
        <v>681.94989999999905</v>
      </c>
      <c r="E140" s="14">
        <f>IFERROR(INDEX('Raw Data'!H:H,MATCH($B140,'Raw Data'!$C:$C,0)),"-")</f>
        <v>38.0503</v>
      </c>
      <c r="F140" s="14">
        <f>IFERROR(INDEX('Raw Data'!J:J,MATCH($B140,'Raw Data'!$C:$C,0)),"-")</f>
        <v>295.45699999999903</v>
      </c>
      <c r="G140" s="13">
        <f>IFERROR(INDEX('Raw Data'!O:O,MATCH($B140,'Raw Data'!$C:$C,0)),"-")</f>
        <v>0.9471523758</v>
      </c>
      <c r="H140" s="13">
        <f>IFERROR(INDEX('Raw Data'!P:P,MATCH($B140,'Raw Data'!$C:$C,0)),"-")</f>
        <v>0.55899986199999996</v>
      </c>
      <c r="I140" s="16" t="str">
        <f>IFERROR(INDEX('Raw Data'!AD:AD,MATCH($B140,'Raw Data'!$C:$C,0)),"-")</f>
        <v>Operational</v>
      </c>
    </row>
    <row r="141" spans="1:9" ht="15" customHeight="1" x14ac:dyDescent="0.35">
      <c r="A141" s="15" t="str">
        <f>IFERROR(INDEX('Raw Data'!AC:AC,MATCH($B141,'Raw Data'!$C:$C,0)),"")</f>
        <v>Tipper</v>
      </c>
      <c r="B141" s="7" t="s">
        <v>98</v>
      </c>
      <c r="C141" s="10">
        <f>IFERROR(INDEX('Raw Data'!D:D,MATCH($B141,'Raw Data'!$C:$C,0)),"-")</f>
        <v>720.00099999999998</v>
      </c>
      <c r="D141" s="10">
        <f>IFERROR(INDEX('Raw Data'!E:E,MATCH($B141,'Raw Data'!$C:$C,0)),"-")</f>
        <v>680.8297</v>
      </c>
      <c r="E141" s="10">
        <f>IFERROR(INDEX('Raw Data'!H:H,MATCH($B141,'Raw Data'!$C:$C,0)),"-")</f>
        <v>39.171300000000002</v>
      </c>
      <c r="F141" s="10">
        <f>IFERROR(INDEX('Raw Data'!J:J,MATCH($B141,'Raw Data'!$C:$C,0)),"-")</f>
        <v>315.66669999999999</v>
      </c>
      <c r="G141" s="9">
        <f>IFERROR(INDEX('Raw Data'!O:O,MATCH($B141,'Raw Data'!$C:$C,0)),"-")</f>
        <v>0.94559549220000005</v>
      </c>
      <c r="H141" s="9">
        <f>IFERROR(INDEX('Raw Data'!P:P,MATCH($B141,'Raw Data'!$C:$C,0)),"-")</f>
        <v>0.52866935739999998</v>
      </c>
      <c r="I141" s="15" t="str">
        <f>IFERROR(INDEX('Raw Data'!AD:AD,MATCH($B141,'Raw Data'!$C:$C,0)),"-")</f>
        <v>Operational</v>
      </c>
    </row>
    <row r="142" spans="1:9" ht="15" customHeight="1" x14ac:dyDescent="0.35">
      <c r="A142" s="16" t="str">
        <f>IFERROR(INDEX('Raw Data'!AC:AC,MATCH($B142,'Raw Data'!$C:$C,0)),"")</f>
        <v>Tipper</v>
      </c>
      <c r="B142" s="11" t="s">
        <v>94</v>
      </c>
      <c r="C142" s="14">
        <f>IFERROR(INDEX('Raw Data'!D:D,MATCH($B142,'Raw Data'!$C:$C,0)),"-")</f>
        <v>720.00019999999995</v>
      </c>
      <c r="D142" s="14">
        <f>IFERROR(INDEX('Raw Data'!E:E,MATCH($B142,'Raw Data'!$C:$C,0)),"-")</f>
        <v>678.13589999999999</v>
      </c>
      <c r="E142" s="14">
        <f>IFERROR(INDEX('Raw Data'!H:H,MATCH($B142,'Raw Data'!$C:$C,0)),"-")</f>
        <v>41.8643</v>
      </c>
      <c r="F142" s="14">
        <f>IFERROR(INDEX('Raw Data'!J:J,MATCH($B142,'Raw Data'!$C:$C,0)),"-")</f>
        <v>348.6105</v>
      </c>
      <c r="G142" s="13">
        <f>IFERROR(INDEX('Raw Data'!O:O,MATCH($B142,'Raw Data'!$C:$C,0)),"-")</f>
        <v>0.94185515500000005</v>
      </c>
      <c r="H142" s="13">
        <f>IFERROR(INDEX('Raw Data'!P:P,MATCH($B142,'Raw Data'!$C:$C,0)),"-")</f>
        <v>0.4787285262</v>
      </c>
      <c r="I142" s="16" t="str">
        <f>IFERROR(INDEX('Raw Data'!AD:AD,MATCH($B142,'Raw Data'!$C:$C,0)),"-")</f>
        <v>Operational</v>
      </c>
    </row>
    <row r="143" spans="1:9" ht="15" customHeight="1" x14ac:dyDescent="0.35">
      <c r="A143" s="15" t="str">
        <f>IFERROR(INDEX('Raw Data'!AC:AC,MATCH($B143,'Raw Data'!$C:$C,0)),"")</f>
        <v>Tipper</v>
      </c>
      <c r="B143" s="7" t="s">
        <v>60</v>
      </c>
      <c r="C143" s="10">
        <f>IFERROR(INDEX('Raw Data'!D:D,MATCH($B143,'Raw Data'!$C:$C,0)),"-")</f>
        <v>720.00139999999897</v>
      </c>
      <c r="D143" s="10">
        <f>IFERROR(INDEX('Raw Data'!E:E,MATCH($B143,'Raw Data'!$C:$C,0)),"-")</f>
        <v>675.46979999999905</v>
      </c>
      <c r="E143" s="10">
        <f>IFERROR(INDEX('Raw Data'!H:H,MATCH($B143,'Raw Data'!$C:$C,0)),"-")</f>
        <v>44.531599999999997</v>
      </c>
      <c r="F143" s="10">
        <f>IFERROR(INDEX('Raw Data'!J:J,MATCH($B143,'Raw Data'!$C:$C,0)),"-")</f>
        <v>368.063099999999</v>
      </c>
      <c r="G143" s="9">
        <f>IFERROR(INDEX('Raw Data'!O:O,MATCH($B143,'Raw Data'!$C:$C,0)),"-")</f>
        <v>0.9381506758</v>
      </c>
      <c r="H143" s="9">
        <f>IFERROR(INDEX('Raw Data'!P:P,MATCH($B143,'Raw Data'!$C:$C,0)),"-")</f>
        <v>0.45013515040000002</v>
      </c>
      <c r="I143" s="15" t="str">
        <f>IFERROR(INDEX('Raw Data'!AD:AD,MATCH($B143,'Raw Data'!$C:$C,0)),"-")</f>
        <v>Operational</v>
      </c>
    </row>
    <row r="144" spans="1:9" ht="15" customHeight="1" x14ac:dyDescent="0.35">
      <c r="A144" s="16" t="str">
        <f>IFERROR(INDEX('Raw Data'!AC:AC,MATCH($B144,'Raw Data'!$C:$C,0)),"")</f>
        <v>Tipper</v>
      </c>
      <c r="B144" s="11" t="s">
        <v>84</v>
      </c>
      <c r="C144" s="14">
        <f>IFERROR(INDEX('Raw Data'!D:D,MATCH($B144,'Raw Data'!$C:$C,0)),"-")</f>
        <v>720.00209999999902</v>
      </c>
      <c r="D144" s="14">
        <f>IFERROR(INDEX('Raw Data'!E:E,MATCH($B144,'Raw Data'!$C:$C,0)),"-")</f>
        <v>673.50969999999904</v>
      </c>
      <c r="E144" s="14">
        <f>IFERROR(INDEX('Raw Data'!H:H,MATCH($B144,'Raw Data'!$C:$C,0)),"-")</f>
        <v>46.492399999999897</v>
      </c>
      <c r="F144" s="14">
        <f>IFERROR(INDEX('Raw Data'!J:J,MATCH($B144,'Raw Data'!$C:$C,0)),"-")</f>
        <v>357.48229999999899</v>
      </c>
      <c r="G144" s="13">
        <f>IFERROR(INDEX('Raw Data'!O:O,MATCH($B144,'Raw Data'!$C:$C,0)),"-")</f>
        <v>0.93542741060000001</v>
      </c>
      <c r="H144" s="13">
        <f>IFERROR(INDEX('Raw Data'!P:P,MATCH($B144,'Raw Data'!$C:$C,0)),"-")</f>
        <v>0.46321589730000001</v>
      </c>
      <c r="I144" s="16" t="str">
        <f>IFERROR(INDEX('Raw Data'!AD:AD,MATCH($B144,'Raw Data'!$C:$C,0)),"-")</f>
        <v>Operational</v>
      </c>
    </row>
    <row r="145" spans="1:9" ht="15" customHeight="1" x14ac:dyDescent="0.35">
      <c r="A145" s="15" t="str">
        <f>IFERROR(INDEX('Raw Data'!AC:AC,MATCH($B145,'Raw Data'!$C:$C,0)),"")</f>
        <v>Tipper</v>
      </c>
      <c r="B145" s="7" t="s">
        <v>91</v>
      </c>
      <c r="C145" s="10">
        <f>IFERROR(INDEX('Raw Data'!D:D,MATCH($B145,'Raw Data'!$C:$C,0)),"-")</f>
        <v>720.00099999999998</v>
      </c>
      <c r="D145" s="10">
        <f>IFERROR(INDEX('Raw Data'!E:E,MATCH($B145,'Raw Data'!$C:$C,0)),"-")</f>
        <v>670.19169999999997</v>
      </c>
      <c r="E145" s="10">
        <f>IFERROR(INDEX('Raw Data'!H:H,MATCH($B145,'Raw Data'!$C:$C,0)),"-")</f>
        <v>49.8093</v>
      </c>
      <c r="F145" s="10">
        <f>IFERROR(INDEX('Raw Data'!J:J,MATCH($B145,'Raw Data'!$C:$C,0)),"-")</f>
        <v>241.08399999999901</v>
      </c>
      <c r="G145" s="9">
        <f>IFERROR(INDEX('Raw Data'!O:O,MATCH($B145,'Raw Data'!$C:$C,0)),"-")</f>
        <v>0.93082051269999999</v>
      </c>
      <c r="H145" s="9">
        <f>IFERROR(INDEX('Raw Data'!P:P,MATCH($B145,'Raw Data'!$C:$C,0)),"-")</f>
        <v>0.6351869174</v>
      </c>
      <c r="I145" s="15" t="str">
        <f>IFERROR(INDEX('Raw Data'!AD:AD,MATCH($B145,'Raw Data'!$C:$C,0)),"-")</f>
        <v>Operational</v>
      </c>
    </row>
    <row r="146" spans="1:9" ht="15" customHeight="1" x14ac:dyDescent="0.35">
      <c r="A146" s="16" t="str">
        <f>IFERROR(INDEX('Raw Data'!AC:AC,MATCH($B146,'Raw Data'!$C:$C,0)),"")</f>
        <v>Tipper</v>
      </c>
      <c r="B146" s="11" t="s">
        <v>97</v>
      </c>
      <c r="C146" s="14">
        <f>IFERROR(INDEX('Raw Data'!D:D,MATCH($B146,'Raw Data'!$C:$C,0)),"-")</f>
        <v>720.00109999999995</v>
      </c>
      <c r="D146" s="14">
        <f>IFERROR(INDEX('Raw Data'!E:E,MATCH($B146,'Raw Data'!$C:$C,0)),"-")</f>
        <v>665.88179999999898</v>
      </c>
      <c r="E146" s="14">
        <f>IFERROR(INDEX('Raw Data'!H:H,MATCH($B146,'Raw Data'!$C:$C,0)),"-")</f>
        <v>54.119300000000003</v>
      </c>
      <c r="F146" s="14">
        <f>IFERROR(INDEX('Raw Data'!J:J,MATCH($B146,'Raw Data'!$C:$C,0)),"-")</f>
        <v>298.31049999999902</v>
      </c>
      <c r="G146" s="13">
        <f>IFERROR(INDEX('Raw Data'!O:O,MATCH($B146,'Raw Data'!$C:$C,0)),"-")</f>
        <v>0.92483442039999997</v>
      </c>
      <c r="H146" s="13">
        <f>IFERROR(INDEX('Raw Data'!P:P,MATCH($B146,'Raw Data'!$C:$C,0)),"-")</f>
        <v>0.54565825349999997</v>
      </c>
      <c r="I146" s="16" t="str">
        <f>IFERROR(INDEX('Raw Data'!AD:AD,MATCH($B146,'Raw Data'!$C:$C,0)),"-")</f>
        <v>Operational</v>
      </c>
    </row>
    <row r="147" spans="1:9" ht="15" customHeight="1" x14ac:dyDescent="0.35">
      <c r="A147" s="15" t="str">
        <f>IFERROR(INDEX('Raw Data'!AC:AC,MATCH($B147,'Raw Data'!$C:$C,0)),"")</f>
        <v>Tipper</v>
      </c>
      <c r="B147" s="7" t="s">
        <v>92</v>
      </c>
      <c r="C147" s="10">
        <f>IFERROR(INDEX('Raw Data'!D:D,MATCH($B147,'Raw Data'!$C:$C,0)),"-")</f>
        <v>720.00109999999995</v>
      </c>
      <c r="D147" s="10">
        <f>IFERROR(INDEX('Raw Data'!E:E,MATCH($B147,'Raw Data'!$C:$C,0)),"-")</f>
        <v>658.84989999999902</v>
      </c>
      <c r="E147" s="10">
        <f>IFERROR(INDEX('Raw Data'!H:H,MATCH($B147,'Raw Data'!$C:$C,0)),"-")</f>
        <v>61.151200000000003</v>
      </c>
      <c r="F147" s="10">
        <f>IFERROR(INDEX('Raw Data'!J:J,MATCH($B147,'Raw Data'!$C:$C,0)),"-")</f>
        <v>253.29839999999899</v>
      </c>
      <c r="G147" s="9">
        <f>IFERROR(INDEX('Raw Data'!O:O,MATCH($B147,'Raw Data'!$C:$C,0)),"-")</f>
        <v>0.9150679075</v>
      </c>
      <c r="H147" s="9">
        <f>IFERROR(INDEX('Raw Data'!P:P,MATCH($B147,'Raw Data'!$C:$C,0)),"-")</f>
        <v>0.60568347970000003</v>
      </c>
      <c r="I147" s="15" t="str">
        <f>IFERROR(INDEX('Raw Data'!AD:AD,MATCH($B147,'Raw Data'!$C:$C,0)),"-")</f>
        <v>Operational</v>
      </c>
    </row>
    <row r="148" spans="1:9" ht="15" customHeight="1" x14ac:dyDescent="0.35">
      <c r="A148" s="16" t="str">
        <f>IFERROR(INDEX('Raw Data'!AC:AC,MATCH($B148,'Raw Data'!$C:$C,0)),"")</f>
        <v>Tipper</v>
      </c>
      <c r="B148" s="11" t="s">
        <v>70</v>
      </c>
      <c r="C148" s="14">
        <f>IFERROR(INDEX('Raw Data'!D:D,MATCH($B148,'Raw Data'!$C:$C,0)),"-")</f>
        <v>716.2894</v>
      </c>
      <c r="D148" s="14">
        <f>IFERROR(INDEX('Raw Data'!E:E,MATCH($B148,'Raw Data'!$C:$C,0)),"-")</f>
        <v>657.18020000000001</v>
      </c>
      <c r="E148" s="14">
        <f>IFERROR(INDEX('Raw Data'!H:H,MATCH($B148,'Raw Data'!$C:$C,0)),"-")</f>
        <v>59.109200000000001</v>
      </c>
      <c r="F148" s="14">
        <f>IFERROR(INDEX('Raw Data'!J:J,MATCH($B148,'Raw Data'!$C:$C,0)),"-")</f>
        <v>600.4674</v>
      </c>
      <c r="G148" s="13">
        <f>IFERROR(INDEX('Raw Data'!O:O,MATCH($B148,'Raw Data'!$C:$C,0)),"-")</f>
        <v>0.91747860569999995</v>
      </c>
      <c r="H148" s="13">
        <f>IFERROR(INDEX('Raw Data'!P:P,MATCH($B148,'Raw Data'!$C:$C,0)),"-")</f>
        <v>8.4766704799999995E-2</v>
      </c>
      <c r="I148" s="16" t="str">
        <f>IFERROR(INDEX('Raw Data'!AD:AD,MATCH($B148,'Raw Data'!$C:$C,0)),"-")</f>
        <v>Operational</v>
      </c>
    </row>
    <row r="149" spans="1:9" ht="15" customHeight="1" x14ac:dyDescent="0.35">
      <c r="A149" s="15" t="str">
        <f>IFERROR(INDEX('Raw Data'!AC:AC,MATCH($B149,'Raw Data'!$C:$C,0)),"")</f>
        <v>Tipper</v>
      </c>
      <c r="B149" s="7" t="s">
        <v>46</v>
      </c>
      <c r="C149" s="10">
        <f>IFERROR(INDEX('Raw Data'!D:D,MATCH($B149,'Raw Data'!$C:$C,0)),"-")</f>
        <v>720.00059999999905</v>
      </c>
      <c r="D149" s="10">
        <f>IFERROR(INDEX('Raw Data'!E:E,MATCH($B149,'Raw Data'!$C:$C,0)),"-")</f>
        <v>654.52739999999994</v>
      </c>
      <c r="E149" s="10">
        <f>IFERROR(INDEX('Raw Data'!H:H,MATCH($B149,'Raw Data'!$C:$C,0)),"-")</f>
        <v>65.473199999999906</v>
      </c>
      <c r="F149" s="10">
        <f>IFERROR(INDEX('Raw Data'!J:J,MATCH($B149,'Raw Data'!$C:$C,0)),"-")</f>
        <v>449.59599999999898</v>
      </c>
      <c r="G149" s="9">
        <f>IFERROR(INDEX('Raw Data'!O:O,MATCH($B149,'Raw Data'!$C:$C,0)),"-")</f>
        <v>0.90906507579999996</v>
      </c>
      <c r="H149" s="9">
        <f>IFERROR(INDEX('Raw Data'!P:P,MATCH($B149,'Raw Data'!$C:$C,0)),"-")</f>
        <v>0.30868226450000003</v>
      </c>
      <c r="I149" s="15" t="str">
        <f>IFERROR(INDEX('Raw Data'!AD:AD,MATCH($B149,'Raw Data'!$C:$C,0)),"-")</f>
        <v>Operational</v>
      </c>
    </row>
    <row r="150" spans="1:9" ht="15" customHeight="1" x14ac:dyDescent="0.35">
      <c r="A150" s="16" t="str">
        <f>IFERROR(INDEX('Raw Data'!AC:AC,MATCH($B150,'Raw Data'!$C:$C,0)),"")</f>
        <v>Tipper</v>
      </c>
      <c r="B150" s="11" t="s">
        <v>49</v>
      </c>
      <c r="C150" s="14">
        <f>IFERROR(INDEX('Raw Data'!D:D,MATCH($B150,'Raw Data'!$C:$C,0)),"-")</f>
        <v>720.00129999999899</v>
      </c>
      <c r="D150" s="14">
        <f>IFERROR(INDEX('Raw Data'!E:E,MATCH($B150,'Raw Data'!$C:$C,0)),"-")</f>
        <v>650.62259999999901</v>
      </c>
      <c r="E150" s="14">
        <f>IFERROR(INDEX('Raw Data'!H:H,MATCH($B150,'Raw Data'!$C:$C,0)),"-")</f>
        <v>69.378699999999895</v>
      </c>
      <c r="F150" s="14">
        <f>IFERROR(INDEX('Raw Data'!J:J,MATCH($B150,'Raw Data'!$C:$C,0)),"-")</f>
        <v>356.63720000000001</v>
      </c>
      <c r="G150" s="13">
        <f>IFERROR(INDEX('Raw Data'!O:O,MATCH($B150,'Raw Data'!$C:$C,0)),"-")</f>
        <v>0.90364086840000002</v>
      </c>
      <c r="H150" s="13">
        <f>IFERROR(INDEX('Raw Data'!P:P,MATCH($B150,'Raw Data'!$C:$C,0)),"-")</f>
        <v>0.44765075789999997</v>
      </c>
      <c r="I150" s="16" t="str">
        <f>IFERROR(INDEX('Raw Data'!AD:AD,MATCH($B150,'Raw Data'!$C:$C,0)),"-")</f>
        <v>Operational</v>
      </c>
    </row>
    <row r="151" spans="1:9" ht="15" customHeight="1" x14ac:dyDescent="0.35">
      <c r="A151" s="15" t="str">
        <f>IFERROR(INDEX('Raw Data'!AC:AC,MATCH($B151,'Raw Data'!$C:$C,0)),"")</f>
        <v>Tipper</v>
      </c>
      <c r="B151" s="7" t="s">
        <v>80</v>
      </c>
      <c r="C151" s="10">
        <f>IFERROR(INDEX('Raw Data'!D:D,MATCH($B151,'Raw Data'!$C:$C,0)),"-")</f>
        <v>720.00019999999995</v>
      </c>
      <c r="D151" s="10">
        <f>IFERROR(INDEX('Raw Data'!E:E,MATCH($B151,'Raw Data'!$C:$C,0)),"-")</f>
        <v>626.212299999999</v>
      </c>
      <c r="E151" s="10">
        <f>IFERROR(INDEX('Raw Data'!H:H,MATCH($B151,'Raw Data'!$C:$C,0)),"-")</f>
        <v>93.787899999999993</v>
      </c>
      <c r="F151" s="10">
        <f>IFERROR(INDEX('Raw Data'!J:J,MATCH($B151,'Raw Data'!$C:$C,0)),"-")</f>
        <v>450.23059999999901</v>
      </c>
      <c r="G151" s="9">
        <f>IFERROR(INDEX('Raw Data'!O:O,MATCH($B151,'Raw Data'!$C:$C,0)),"-")</f>
        <v>0.86973906400000001</v>
      </c>
      <c r="H151" s="9">
        <f>IFERROR(INDEX('Raw Data'!P:P,MATCH($B151,'Raw Data'!$C:$C,0)),"-")</f>
        <v>0.27704310500000001</v>
      </c>
      <c r="I151" s="15" t="str">
        <f>IFERROR(INDEX('Raw Data'!AD:AD,MATCH($B151,'Raw Data'!$C:$C,0)),"-")</f>
        <v>Operational</v>
      </c>
    </row>
    <row r="152" spans="1:9" ht="15" customHeight="1" x14ac:dyDescent="0.35">
      <c r="A152" s="16" t="str">
        <f>IFERROR(INDEX('Raw Data'!AC:AC,MATCH($B152,'Raw Data'!$C:$C,0)),"")</f>
        <v>Tipper</v>
      </c>
      <c r="B152" s="11" t="s">
        <v>74</v>
      </c>
      <c r="C152" s="14">
        <f>IFERROR(INDEX('Raw Data'!D:D,MATCH($B152,'Raw Data'!$C:$C,0)),"-")</f>
        <v>717.872199999999</v>
      </c>
      <c r="D152" s="14">
        <f>IFERROR(INDEX('Raw Data'!E:E,MATCH($B152,'Raw Data'!$C:$C,0)),"-")</f>
        <v>616.73129999999901</v>
      </c>
      <c r="E152" s="14">
        <f>IFERROR(INDEX('Raw Data'!H:H,MATCH($B152,'Raw Data'!$C:$C,0)),"-")</f>
        <v>101.1409</v>
      </c>
      <c r="F152" s="14">
        <f>IFERROR(INDEX('Raw Data'!J:J,MATCH($B152,'Raw Data'!$C:$C,0)),"-")</f>
        <v>289.75209999999902</v>
      </c>
      <c r="G152" s="13">
        <f>IFERROR(INDEX('Raw Data'!O:O,MATCH($B152,'Raw Data'!$C:$C,0)),"-")</f>
        <v>0.8591101592</v>
      </c>
      <c r="H152" s="13">
        <f>IFERROR(INDEX('Raw Data'!P:P,MATCH($B152,'Raw Data'!$C:$C,0)),"-")</f>
        <v>0.50905524010000003</v>
      </c>
      <c r="I152" s="16" t="str">
        <f>IFERROR(INDEX('Raw Data'!AD:AD,MATCH($B152,'Raw Data'!$C:$C,0)),"-")</f>
        <v>Operational</v>
      </c>
    </row>
    <row r="153" spans="1:9" ht="15" customHeight="1" x14ac:dyDescent="0.35">
      <c r="A153" s="15" t="str">
        <f>IFERROR(INDEX('Raw Data'!AC:AC,MATCH($B153,'Raw Data'!$C:$C,0)),"")</f>
        <v>Tipper</v>
      </c>
      <c r="B153" s="7" t="s">
        <v>53</v>
      </c>
      <c r="C153" s="10">
        <f>IFERROR(INDEX('Raw Data'!D:D,MATCH($B153,'Raw Data'!$C:$C,0)),"-")</f>
        <v>720.00049999999896</v>
      </c>
      <c r="D153" s="10">
        <f>IFERROR(INDEX('Raw Data'!E:E,MATCH($B153,'Raw Data'!$C:$C,0)),"-")</f>
        <v>611.90359999999896</v>
      </c>
      <c r="E153" s="10">
        <f>IFERROR(INDEX('Raw Data'!H:H,MATCH($B153,'Raw Data'!$C:$C,0)),"-")</f>
        <v>108.09690000000001</v>
      </c>
      <c r="F153" s="10">
        <f>IFERROR(INDEX('Raw Data'!J:J,MATCH($B153,'Raw Data'!$C:$C,0)),"-")</f>
        <v>269.16399999999902</v>
      </c>
      <c r="G153" s="9">
        <f>IFERROR(INDEX('Raw Data'!O:O,MATCH($B153,'Raw Data'!$C:$C,0)),"-")</f>
        <v>0.8498655209</v>
      </c>
      <c r="H153" s="9">
        <f>IFERROR(INDEX('Raw Data'!P:P,MATCH($B153,'Raw Data'!$C:$C,0)),"-")</f>
        <v>0.55171713320000004</v>
      </c>
      <c r="I153" s="15" t="str">
        <f>IFERROR(INDEX('Raw Data'!AD:AD,MATCH($B153,'Raw Data'!$C:$C,0)),"-")</f>
        <v>Operational</v>
      </c>
    </row>
    <row r="154" spans="1:9" ht="15" customHeight="1" x14ac:dyDescent="0.35">
      <c r="A154" s="16" t="str">
        <f>IFERROR(INDEX('Raw Data'!AC:AC,MATCH($B154,'Raw Data'!$C:$C,0)),"")</f>
        <v>Tipper</v>
      </c>
      <c r="B154" s="11" t="s">
        <v>99</v>
      </c>
      <c r="C154" s="14">
        <f>IFERROR(INDEX('Raw Data'!D:D,MATCH($B154,'Raw Data'!$C:$C,0)),"-")</f>
        <v>720.001699999999</v>
      </c>
      <c r="D154" s="14">
        <f>IFERROR(INDEX('Raw Data'!E:E,MATCH($B154,'Raw Data'!$C:$C,0)),"-")</f>
        <v>610.76229999999896</v>
      </c>
      <c r="E154" s="14">
        <f>IFERROR(INDEX('Raw Data'!H:H,MATCH($B154,'Raw Data'!$C:$C,0)),"-")</f>
        <v>109.2394</v>
      </c>
      <c r="F154" s="14">
        <f>IFERROR(INDEX('Raw Data'!J:J,MATCH($B154,'Raw Data'!$C:$C,0)),"-")</f>
        <v>232.28359999999901</v>
      </c>
      <c r="G154" s="13">
        <f>IFERROR(INDEX('Raw Data'!O:O,MATCH($B154,'Raw Data'!$C:$C,0)),"-")</f>
        <v>0.84827896930000002</v>
      </c>
      <c r="H154" s="13">
        <f>IFERROR(INDEX('Raw Data'!P:P,MATCH($B154,'Raw Data'!$C:$C,0)),"-")</f>
        <v>0.60878708459999997</v>
      </c>
      <c r="I154" s="16" t="str">
        <f>IFERROR(INDEX('Raw Data'!AD:AD,MATCH($B154,'Raw Data'!$C:$C,0)),"-")</f>
        <v>Operational</v>
      </c>
    </row>
    <row r="155" spans="1:9" ht="15" customHeight="1" x14ac:dyDescent="0.35">
      <c r="A155" s="15" t="str">
        <f>IFERROR(INDEX('Raw Data'!AC:AC,MATCH($B155,'Raw Data'!$C:$C,0)),"")</f>
        <v>Tipper</v>
      </c>
      <c r="B155" s="7" t="s">
        <v>66</v>
      </c>
      <c r="C155" s="10">
        <f>IFERROR(INDEX('Raw Data'!D:D,MATCH($B155,'Raw Data'!$C:$C,0)),"-")</f>
        <v>720.00099999999998</v>
      </c>
      <c r="D155" s="10">
        <f>IFERROR(INDEX('Raw Data'!E:E,MATCH($B155,'Raw Data'!$C:$C,0)),"-")</f>
        <v>600.40159999999901</v>
      </c>
      <c r="E155" s="10">
        <f>IFERROR(INDEX('Raw Data'!H:H,MATCH($B155,'Raw Data'!$C:$C,0)),"-")</f>
        <v>119.59939999999899</v>
      </c>
      <c r="F155" s="10">
        <f>IFERROR(INDEX('Raw Data'!J:J,MATCH($B155,'Raw Data'!$C:$C,0)),"-")</f>
        <v>386.54579999999999</v>
      </c>
      <c r="G155" s="9">
        <f>IFERROR(INDEX('Raw Data'!O:O,MATCH($B155,'Raw Data'!$C:$C,0)),"-")</f>
        <v>0.83388995290000001</v>
      </c>
      <c r="H155" s="9">
        <f>IFERROR(INDEX('Raw Data'!P:P,MATCH($B155,'Raw Data'!$C:$C,0)),"-")</f>
        <v>0.3522517262</v>
      </c>
      <c r="I155" s="15" t="str">
        <f>IFERROR(INDEX('Raw Data'!AD:AD,MATCH($B155,'Raw Data'!$C:$C,0)),"-")</f>
        <v>Operational</v>
      </c>
    </row>
    <row r="156" spans="1:9" ht="15" customHeight="1" x14ac:dyDescent="0.35">
      <c r="A156" s="16" t="str">
        <f>IFERROR(INDEX('Raw Data'!AC:AC,MATCH($B156,'Raw Data'!$C:$C,0)),"")</f>
        <v>Tipper</v>
      </c>
      <c r="B156" s="11" t="s">
        <v>69</v>
      </c>
      <c r="C156" s="14">
        <f>IFERROR(INDEX('Raw Data'!D:D,MATCH($B156,'Raw Data'!$C:$C,0)),"-")</f>
        <v>720.00109999999995</v>
      </c>
      <c r="D156" s="14">
        <f>IFERROR(INDEX('Raw Data'!E:E,MATCH($B156,'Raw Data'!$C:$C,0)),"-")</f>
        <v>598.94939999999997</v>
      </c>
      <c r="E156" s="14">
        <f>IFERROR(INDEX('Raw Data'!H:H,MATCH($B156,'Raw Data'!$C:$C,0)),"-")</f>
        <v>121.0517</v>
      </c>
      <c r="F156" s="14">
        <f>IFERROR(INDEX('Raw Data'!J:J,MATCH($B156,'Raw Data'!$C:$C,0)),"-")</f>
        <v>390.13040000000001</v>
      </c>
      <c r="G156" s="13">
        <f>IFERROR(INDEX('Raw Data'!O:O,MATCH($B156,'Raw Data'!$C:$C,0)),"-")</f>
        <v>0.8318728957</v>
      </c>
      <c r="H156" s="13">
        <f>IFERROR(INDEX('Raw Data'!P:P,MATCH($B156,'Raw Data'!$C:$C,0)),"-")</f>
        <v>0.34490292500000003</v>
      </c>
      <c r="I156" s="16" t="str">
        <f>IFERROR(INDEX('Raw Data'!AD:AD,MATCH($B156,'Raw Data'!$C:$C,0)),"-")</f>
        <v>Operational</v>
      </c>
    </row>
    <row r="157" spans="1:9" ht="15" customHeight="1" x14ac:dyDescent="0.35">
      <c r="A157" s="15" t="str">
        <f>IFERROR(INDEX('Raw Data'!AC:AC,MATCH($B157,'Raw Data'!$C:$C,0)),"")</f>
        <v>Tipper</v>
      </c>
      <c r="B157" s="7" t="s">
        <v>90</v>
      </c>
      <c r="C157" s="10">
        <f>IFERROR(INDEX('Raw Data'!D:D,MATCH($B157,'Raw Data'!$C:$C,0)),"-")</f>
        <v>720.00219999999899</v>
      </c>
      <c r="D157" s="10">
        <f>IFERROR(INDEX('Raw Data'!E:E,MATCH($B157,'Raw Data'!$C:$C,0)),"-")</f>
        <v>596.574199999999</v>
      </c>
      <c r="E157" s="10">
        <f>IFERROR(INDEX('Raw Data'!H:H,MATCH($B157,'Raw Data'!$C:$C,0)),"-")</f>
        <v>123.428</v>
      </c>
      <c r="F157" s="10">
        <f>IFERROR(INDEX('Raw Data'!J:J,MATCH($B157,'Raw Data'!$C:$C,0)),"-")</f>
        <v>244.652099999999</v>
      </c>
      <c r="G157" s="9">
        <f>IFERROR(INDEX('Raw Data'!O:O,MATCH($B157,'Raw Data'!$C:$C,0)),"-")</f>
        <v>0.82857274599999997</v>
      </c>
      <c r="H157" s="9">
        <f>IFERROR(INDEX('Raw Data'!P:P,MATCH($B157,'Raw Data'!$C:$C,0)),"-")</f>
        <v>0.57896050480000005</v>
      </c>
      <c r="I157" s="15" t="str">
        <f>IFERROR(INDEX('Raw Data'!AD:AD,MATCH($B157,'Raw Data'!$C:$C,0)),"-")</f>
        <v>Operational</v>
      </c>
    </row>
    <row r="158" spans="1:9" ht="15" customHeight="1" x14ac:dyDescent="0.35">
      <c r="A158" s="16" t="str">
        <f>IFERROR(INDEX('Raw Data'!AC:AC,MATCH($B158,'Raw Data'!$C:$C,0)),"")</f>
        <v>Tipper</v>
      </c>
      <c r="B158" s="11" t="s">
        <v>72</v>
      </c>
      <c r="C158" s="14">
        <f>IFERROR(INDEX('Raw Data'!D:D,MATCH($B158,'Raw Data'!$C:$C,0)),"-")</f>
        <v>720.001699999999</v>
      </c>
      <c r="D158" s="14">
        <f>IFERROR(INDEX('Raw Data'!E:E,MATCH($B158,'Raw Data'!$C:$C,0)),"-")</f>
        <v>592.23759999999902</v>
      </c>
      <c r="E158" s="14">
        <f>IFERROR(INDEX('Raw Data'!H:H,MATCH($B158,'Raw Data'!$C:$C,0)),"-")</f>
        <v>127.764099999999</v>
      </c>
      <c r="F158" s="14">
        <f>IFERROR(INDEX('Raw Data'!J:J,MATCH($B158,'Raw Data'!$C:$C,0)),"-")</f>
        <v>300.72059999999902</v>
      </c>
      <c r="G158" s="13">
        <f>IFERROR(INDEX('Raw Data'!O:O,MATCH($B158,'Raw Data'!$C:$C,0)),"-")</f>
        <v>0.82255028009999998</v>
      </c>
      <c r="H158" s="13">
        <f>IFERROR(INDEX('Raw Data'!P:P,MATCH($B158,'Raw Data'!$C:$C,0)),"-")</f>
        <v>0.48733903420000002</v>
      </c>
      <c r="I158" s="16" t="str">
        <f>IFERROR(INDEX('Raw Data'!AD:AD,MATCH($B158,'Raw Data'!$C:$C,0)),"-")</f>
        <v>Operational</v>
      </c>
    </row>
    <row r="159" spans="1:9" ht="15" customHeight="1" x14ac:dyDescent="0.35">
      <c r="A159" s="15" t="str">
        <f>IFERROR(INDEX('Raw Data'!AC:AC,MATCH($B159,'Raw Data'!$C:$C,0)),"")</f>
        <v>Tipper</v>
      </c>
      <c r="B159" s="7" t="s">
        <v>88</v>
      </c>
      <c r="C159" s="10">
        <f>IFERROR(INDEX('Raw Data'!D:D,MATCH($B159,'Raw Data'!$C:$C,0)),"-")</f>
        <v>720.00039999999899</v>
      </c>
      <c r="D159" s="10">
        <f>IFERROR(INDEX('Raw Data'!E:E,MATCH($B159,'Raw Data'!$C:$C,0)),"-")</f>
        <v>588.29839999999899</v>
      </c>
      <c r="E159" s="10">
        <f>IFERROR(INDEX('Raw Data'!H:H,MATCH($B159,'Raw Data'!$C:$C,0)),"-")</f>
        <v>131.702</v>
      </c>
      <c r="F159" s="10">
        <f>IFERROR(INDEX('Raw Data'!J:J,MATCH($B159,'Raw Data'!$C:$C,0)),"-")</f>
        <v>309.747199999999</v>
      </c>
      <c r="G159" s="9">
        <f>IFERROR(INDEX('Raw Data'!O:O,MATCH($B159,'Raw Data'!$C:$C,0)),"-")</f>
        <v>0.8170806572</v>
      </c>
      <c r="H159" s="9">
        <f>IFERROR(INDEX('Raw Data'!P:P,MATCH($B159,'Raw Data'!$C:$C,0)),"-")</f>
        <v>0.46927443619999998</v>
      </c>
      <c r="I159" s="15" t="str">
        <f>IFERROR(INDEX('Raw Data'!AD:AD,MATCH($B159,'Raw Data'!$C:$C,0)),"-")</f>
        <v>Operational</v>
      </c>
    </row>
    <row r="160" spans="1:9" ht="15" customHeight="1" x14ac:dyDescent="0.35">
      <c r="A160" s="16" t="str">
        <f>IFERROR(INDEX('Raw Data'!AC:AC,MATCH($B160,'Raw Data'!$C:$C,0)),"")</f>
        <v>Tipper</v>
      </c>
      <c r="B160" s="11" t="s">
        <v>75</v>
      </c>
      <c r="C160" s="14">
        <f>IFERROR(INDEX('Raw Data'!D:D,MATCH($B160,'Raw Data'!$C:$C,0)),"-")</f>
        <v>720.00209999999902</v>
      </c>
      <c r="D160" s="14">
        <f>IFERROR(INDEX('Raw Data'!E:E,MATCH($B160,'Raw Data'!$C:$C,0)),"-")</f>
        <v>587.37549999999896</v>
      </c>
      <c r="E160" s="14">
        <f>IFERROR(INDEX('Raw Data'!H:H,MATCH($B160,'Raw Data'!$C:$C,0)),"-")</f>
        <v>132.6266</v>
      </c>
      <c r="F160" s="14">
        <f>IFERROR(INDEX('Raw Data'!J:J,MATCH($B160,'Raw Data'!$C:$C,0)),"-")</f>
        <v>308.20669999999899</v>
      </c>
      <c r="G160" s="13">
        <f>IFERROR(INDEX('Raw Data'!O:O,MATCH($B160,'Raw Data'!$C:$C,0)),"-")</f>
        <v>0.81579692609999999</v>
      </c>
      <c r="H160" s="13">
        <f>IFERROR(INDEX('Raw Data'!P:P,MATCH($B160,'Raw Data'!$C:$C,0)),"-")</f>
        <v>0.46810873110000001</v>
      </c>
      <c r="I160" s="16" t="str">
        <f>IFERROR(INDEX('Raw Data'!AD:AD,MATCH($B160,'Raw Data'!$C:$C,0)),"-")</f>
        <v>Operational</v>
      </c>
    </row>
    <row r="161" spans="1:9" ht="15" customHeight="1" x14ac:dyDescent="0.35">
      <c r="A161" s="15" t="str">
        <f>IFERROR(INDEX('Raw Data'!AC:AC,MATCH($B161,'Raw Data'!$C:$C,0)),"")</f>
        <v>Tipper</v>
      </c>
      <c r="B161" s="7" t="s">
        <v>85</v>
      </c>
      <c r="C161" s="10">
        <f>IFERROR(INDEX('Raw Data'!D:D,MATCH($B161,'Raw Data'!$C:$C,0)),"-")</f>
        <v>715.84799999999905</v>
      </c>
      <c r="D161" s="10">
        <f>IFERROR(INDEX('Raw Data'!E:E,MATCH($B161,'Raw Data'!$C:$C,0)),"-")</f>
        <v>586.19979999999896</v>
      </c>
      <c r="E161" s="10">
        <f>IFERROR(INDEX('Raw Data'!H:H,MATCH($B161,'Raw Data'!$C:$C,0)),"-")</f>
        <v>129.6482</v>
      </c>
      <c r="F161" s="10">
        <f>IFERROR(INDEX('Raw Data'!J:J,MATCH($B161,'Raw Data'!$C:$C,0)),"-")</f>
        <v>242.21859999999899</v>
      </c>
      <c r="G161" s="9">
        <f>IFERROR(INDEX('Raw Data'!O:O,MATCH($B161,'Raw Data'!$C:$C,0)),"-")</f>
        <v>0.81888864679999995</v>
      </c>
      <c r="H161" s="9">
        <f>IFERROR(INDEX('Raw Data'!P:P,MATCH($B161,'Raw Data'!$C:$C,0)),"-")</f>
        <v>0.58148535700000004</v>
      </c>
      <c r="I161" s="15" t="str">
        <f>IFERROR(INDEX('Raw Data'!AD:AD,MATCH($B161,'Raw Data'!$C:$C,0)),"-")</f>
        <v>Operational</v>
      </c>
    </row>
    <row r="162" spans="1:9" ht="15" customHeight="1" x14ac:dyDescent="0.35">
      <c r="A162" s="16" t="str">
        <f>IFERROR(INDEX('Raw Data'!AC:AC,MATCH($B162,'Raw Data'!$C:$C,0)),"")</f>
        <v>Tipper</v>
      </c>
      <c r="B162" s="11" t="s">
        <v>56</v>
      </c>
      <c r="C162" s="14">
        <f>IFERROR(INDEX('Raw Data'!D:D,MATCH($B162,'Raw Data'!$C:$C,0)),"-")</f>
        <v>720.00109999999995</v>
      </c>
      <c r="D162" s="14">
        <f>IFERROR(INDEX('Raw Data'!E:E,MATCH($B162,'Raw Data'!$C:$C,0)),"-")</f>
        <v>582.8098</v>
      </c>
      <c r="E162" s="14">
        <f>IFERROR(INDEX('Raw Data'!H:H,MATCH($B162,'Raw Data'!$C:$C,0)),"-")</f>
        <v>137.19130000000001</v>
      </c>
      <c r="F162" s="14">
        <f>IFERROR(INDEX('Raw Data'!J:J,MATCH($B162,'Raw Data'!$C:$C,0)),"-")</f>
        <v>380.01069999999999</v>
      </c>
      <c r="G162" s="13">
        <f>IFERROR(INDEX('Raw Data'!O:O,MATCH($B162,'Raw Data'!$C:$C,0)),"-")</f>
        <v>0.80945681889999999</v>
      </c>
      <c r="H162" s="13">
        <f>IFERROR(INDEX('Raw Data'!P:P,MATCH($B162,'Raw Data'!$C:$C,0)),"-")</f>
        <v>0.34230515680000001</v>
      </c>
      <c r="I162" s="16" t="str">
        <f>IFERROR(INDEX('Raw Data'!AD:AD,MATCH($B162,'Raw Data'!$C:$C,0)),"-")</f>
        <v>Operational</v>
      </c>
    </row>
    <row r="163" spans="1:9" ht="15" customHeight="1" x14ac:dyDescent="0.35">
      <c r="A163" s="15" t="str">
        <f>IFERROR(INDEX('Raw Data'!AC:AC,MATCH($B163,'Raw Data'!$C:$C,0)),"")</f>
        <v>Tipper</v>
      </c>
      <c r="B163" s="7" t="s">
        <v>93</v>
      </c>
      <c r="C163" s="10">
        <f>IFERROR(INDEX('Raw Data'!D:D,MATCH($B163,'Raw Data'!$C:$C,0)),"-")</f>
        <v>720.00129999999899</v>
      </c>
      <c r="D163" s="10">
        <f>IFERROR(INDEX('Raw Data'!E:E,MATCH($B163,'Raw Data'!$C:$C,0)),"-")</f>
        <v>572.929699999999</v>
      </c>
      <c r="E163" s="10">
        <f>IFERROR(INDEX('Raw Data'!H:H,MATCH($B163,'Raw Data'!$C:$C,0)),"-")</f>
        <v>147.07159999999899</v>
      </c>
      <c r="F163" s="10">
        <f>IFERROR(INDEX('Raw Data'!J:J,MATCH($B163,'Raw Data'!$C:$C,0)),"-")</f>
        <v>248.40429999999901</v>
      </c>
      <c r="G163" s="9">
        <f>IFERROR(INDEX('Raw Data'!O:O,MATCH($B163,'Raw Data'!$C:$C,0)),"-")</f>
        <v>0.79573425769999995</v>
      </c>
      <c r="H163" s="9">
        <f>IFERROR(INDEX('Raw Data'!P:P,MATCH($B163,'Raw Data'!$C:$C,0)),"-")</f>
        <v>0.56105295290000001</v>
      </c>
      <c r="I163" s="15" t="str">
        <f>IFERROR(INDEX('Raw Data'!AD:AD,MATCH($B163,'Raw Data'!$C:$C,0)),"-")</f>
        <v>Operational</v>
      </c>
    </row>
    <row r="164" spans="1:9" ht="15" customHeight="1" x14ac:dyDescent="0.35">
      <c r="A164" s="16" t="str">
        <f>IFERROR(INDEX('Raw Data'!AC:AC,MATCH($B164,'Raw Data'!$C:$C,0)),"")</f>
        <v>Tipper</v>
      </c>
      <c r="B164" s="11" t="s">
        <v>73</v>
      </c>
      <c r="C164" s="14">
        <f>IFERROR(INDEX('Raw Data'!D:D,MATCH($B164,'Raw Data'!$C:$C,0)),"-")</f>
        <v>720.001699999999</v>
      </c>
      <c r="D164" s="14">
        <f>IFERROR(INDEX('Raw Data'!E:E,MATCH($B164,'Raw Data'!$C:$C,0)),"-")</f>
        <v>572.86410000000001</v>
      </c>
      <c r="E164" s="14">
        <f>IFERROR(INDEX('Raw Data'!H:H,MATCH($B164,'Raw Data'!$C:$C,0)),"-")</f>
        <v>147.13759999999999</v>
      </c>
      <c r="F164" s="14">
        <f>IFERROR(INDEX('Raw Data'!J:J,MATCH($B164,'Raw Data'!$C:$C,0)),"-")</f>
        <v>280.15859999999998</v>
      </c>
      <c r="G164" s="13">
        <f>IFERROR(INDEX('Raw Data'!O:O,MATCH($B164,'Raw Data'!$C:$C,0)),"-")</f>
        <v>0.79564270469999998</v>
      </c>
      <c r="H164" s="13">
        <f>IFERROR(INDEX('Raw Data'!P:P,MATCH($B164,'Raw Data'!$C:$C,0)),"-")</f>
        <v>0.50584265969999997</v>
      </c>
      <c r="I164" s="16" t="str">
        <f>IFERROR(INDEX('Raw Data'!AD:AD,MATCH($B164,'Raw Data'!$C:$C,0)),"-")</f>
        <v>Operational</v>
      </c>
    </row>
    <row r="165" spans="1:9" ht="15" customHeight="1" x14ac:dyDescent="0.35">
      <c r="A165" s="15" t="str">
        <f>IFERROR(INDEX('Raw Data'!AC:AC,MATCH($B165,'Raw Data'!$C:$C,0)),"")</f>
        <v>Tipper</v>
      </c>
      <c r="B165" s="7" t="s">
        <v>79</v>
      </c>
      <c r="C165" s="10">
        <f>IFERROR(INDEX('Raw Data'!D:D,MATCH($B165,'Raw Data'!$C:$C,0)),"-")</f>
        <v>720.00329999999894</v>
      </c>
      <c r="D165" s="10">
        <f>IFERROR(INDEX('Raw Data'!E:E,MATCH($B165,'Raw Data'!$C:$C,0)),"-")</f>
        <v>567.42469999999901</v>
      </c>
      <c r="E165" s="10">
        <f>IFERROR(INDEX('Raw Data'!H:H,MATCH($B165,'Raw Data'!$C:$C,0)),"-")</f>
        <v>152.57859999999999</v>
      </c>
      <c r="F165" s="10">
        <f>IFERROR(INDEX('Raw Data'!J:J,MATCH($B165,'Raw Data'!$C:$C,0)),"-")</f>
        <v>254.941499999999</v>
      </c>
      <c r="G165" s="9">
        <f>IFERROR(INDEX('Raw Data'!O:O,MATCH($B165,'Raw Data'!$C:$C,0)),"-")</f>
        <v>0.78808624900000002</v>
      </c>
      <c r="H165" s="9">
        <f>IFERROR(INDEX('Raw Data'!P:P,MATCH($B165,'Raw Data'!$C:$C,0)),"-")</f>
        <v>0.54302024569999996</v>
      </c>
      <c r="I165" s="15" t="str">
        <f>IFERROR(INDEX('Raw Data'!AD:AD,MATCH($B165,'Raw Data'!$C:$C,0)),"-")</f>
        <v>Operational</v>
      </c>
    </row>
    <row r="166" spans="1:9" ht="15" customHeight="1" x14ac:dyDescent="0.35">
      <c r="A166" s="16" t="str">
        <f>IFERROR(INDEX('Raw Data'!AC:AC,MATCH($B166,'Raw Data'!$C:$C,0)),"")</f>
        <v>Tipper</v>
      </c>
      <c r="B166" s="11" t="s">
        <v>62</v>
      </c>
      <c r="C166" s="14">
        <f>IFERROR(INDEX('Raw Data'!D:D,MATCH($B166,'Raw Data'!$C:$C,0)),"-")</f>
        <v>720.00209999999902</v>
      </c>
      <c r="D166" s="14">
        <f>IFERROR(INDEX('Raw Data'!E:E,MATCH($B166,'Raw Data'!$C:$C,0)),"-")</f>
        <v>550.31369999999902</v>
      </c>
      <c r="E166" s="14">
        <f>IFERROR(INDEX('Raw Data'!H:H,MATCH($B166,'Raw Data'!$C:$C,0)),"-")</f>
        <v>169.6884</v>
      </c>
      <c r="F166" s="14">
        <f>IFERROR(INDEX('Raw Data'!J:J,MATCH($B166,'Raw Data'!$C:$C,0)),"-")</f>
        <v>252.730099999999</v>
      </c>
      <c r="G166" s="13">
        <f>IFERROR(INDEX('Raw Data'!O:O,MATCH($B166,'Raw Data'!$C:$C,0)),"-")</f>
        <v>0.76432235410000005</v>
      </c>
      <c r="H166" s="13">
        <f>IFERROR(INDEX('Raw Data'!P:P,MATCH($B166,'Raw Data'!$C:$C,0)),"-")</f>
        <v>0.53621270919999997</v>
      </c>
      <c r="I166" s="16" t="str">
        <f>IFERROR(INDEX('Raw Data'!AD:AD,MATCH($B166,'Raw Data'!$C:$C,0)),"-")</f>
        <v>Operational</v>
      </c>
    </row>
    <row r="167" spans="1:9" ht="15" customHeight="1" x14ac:dyDescent="0.35">
      <c r="A167" s="15" t="str">
        <f>IFERROR(INDEX('Raw Data'!AC:AC,MATCH($B167,'Raw Data'!$C:$C,0)),"")</f>
        <v>Tipper</v>
      </c>
      <c r="B167" s="7" t="s">
        <v>71</v>
      </c>
      <c r="C167" s="10">
        <f>IFERROR(INDEX('Raw Data'!D:D,MATCH($B167,'Raw Data'!$C:$C,0)),"-")</f>
        <v>720.00069999999903</v>
      </c>
      <c r="D167" s="10">
        <f>IFERROR(INDEX('Raw Data'!E:E,MATCH($B167,'Raw Data'!$C:$C,0)),"-")</f>
        <v>549.39039999999898</v>
      </c>
      <c r="E167" s="10">
        <f>IFERROR(INDEX('Raw Data'!H:H,MATCH($B167,'Raw Data'!$C:$C,0)),"-")</f>
        <v>170.6103</v>
      </c>
      <c r="F167" s="10">
        <f>IFERROR(INDEX('Raw Data'!J:J,MATCH($B167,'Raw Data'!$C:$C,0)),"-")</f>
        <v>295.86569999999898</v>
      </c>
      <c r="G167" s="9">
        <f>IFERROR(INDEX('Raw Data'!O:O,MATCH($B167,'Raw Data'!$C:$C,0)),"-")</f>
        <v>0.76304148039999997</v>
      </c>
      <c r="H167" s="9">
        <f>IFERROR(INDEX('Raw Data'!P:P,MATCH($B167,'Raw Data'!$C:$C,0)),"-")</f>
        <v>0.4577684648</v>
      </c>
      <c r="I167" s="15" t="str">
        <f>IFERROR(INDEX('Raw Data'!AD:AD,MATCH($B167,'Raw Data'!$C:$C,0)),"-")</f>
        <v>Operational</v>
      </c>
    </row>
    <row r="168" spans="1:9" ht="15" customHeight="1" x14ac:dyDescent="0.35">
      <c r="A168" s="16" t="str">
        <f>IFERROR(INDEX('Raw Data'!AC:AC,MATCH($B168,'Raw Data'!$C:$C,0)),"")</f>
        <v>Tipper</v>
      </c>
      <c r="B168" s="11" t="s">
        <v>82</v>
      </c>
      <c r="C168" s="14">
        <f>IFERROR(INDEX('Raw Data'!D:D,MATCH($B168,'Raw Data'!$C:$C,0)),"-")</f>
        <v>720.00159999999903</v>
      </c>
      <c r="D168" s="14">
        <f>IFERROR(INDEX('Raw Data'!E:E,MATCH($B168,'Raw Data'!$C:$C,0)),"-")</f>
        <v>543.92229999999904</v>
      </c>
      <c r="E168" s="14">
        <f>IFERROR(INDEX('Raw Data'!H:H,MATCH($B168,'Raw Data'!$C:$C,0)),"-")</f>
        <v>176.07929999999999</v>
      </c>
      <c r="F168" s="14">
        <f>IFERROR(INDEX('Raw Data'!J:J,MATCH($B168,'Raw Data'!$C:$C,0)),"-")</f>
        <v>265.358599999999</v>
      </c>
      <c r="G168" s="13">
        <f>IFERROR(INDEX('Raw Data'!O:O,MATCH($B168,'Raw Data'!$C:$C,0)),"-")</f>
        <v>0.75544596009999998</v>
      </c>
      <c r="H168" s="13">
        <f>IFERROR(INDEX('Raw Data'!P:P,MATCH($B168,'Raw Data'!$C:$C,0)),"-")</f>
        <v>0.50724101590000004</v>
      </c>
      <c r="I168" s="16" t="str">
        <f>IFERROR(INDEX('Raw Data'!AD:AD,MATCH($B168,'Raw Data'!$C:$C,0)),"-")</f>
        <v>Operational</v>
      </c>
    </row>
    <row r="169" spans="1:9" ht="15" customHeight="1" x14ac:dyDescent="0.35">
      <c r="A169" s="15" t="str">
        <f>IFERROR(INDEX('Raw Data'!AC:AC,MATCH($B169,'Raw Data'!$C:$C,0)),"")</f>
        <v>Tipper</v>
      </c>
      <c r="B169" s="7" t="s">
        <v>87</v>
      </c>
      <c r="C169" s="10">
        <f>IFERROR(INDEX('Raw Data'!D:D,MATCH($B169,'Raw Data'!$C:$C,0)),"-")</f>
        <v>716.60729999999899</v>
      </c>
      <c r="D169" s="10">
        <f>IFERROR(INDEX('Raw Data'!E:E,MATCH($B169,'Raw Data'!$C:$C,0)),"-")</f>
        <v>532.73809999999901</v>
      </c>
      <c r="E169" s="10">
        <f>IFERROR(INDEX('Raw Data'!H:H,MATCH($B169,'Raw Data'!$C:$C,0)),"-")</f>
        <v>183.86920000000001</v>
      </c>
      <c r="F169" s="10">
        <f>IFERROR(INDEX('Raw Data'!J:J,MATCH($B169,'Raw Data'!$C:$C,0)),"-")</f>
        <v>201.205199999999</v>
      </c>
      <c r="G169" s="9">
        <f>IFERROR(INDEX('Raw Data'!O:O,MATCH($B169,'Raw Data'!$C:$C,0)),"-")</f>
        <v>0.74341707099999998</v>
      </c>
      <c r="H169" s="9">
        <f>IFERROR(INDEX('Raw Data'!P:P,MATCH($B169,'Raw Data'!$C:$C,0)),"-")</f>
        <v>0.61718018669999997</v>
      </c>
      <c r="I169" s="15" t="str">
        <f>IFERROR(INDEX('Raw Data'!AD:AD,MATCH($B169,'Raw Data'!$C:$C,0)),"-")</f>
        <v>Operational</v>
      </c>
    </row>
    <row r="170" spans="1:9" ht="15" customHeight="1" x14ac:dyDescent="0.35">
      <c r="A170" s="16" t="str">
        <f>IFERROR(INDEX('Raw Data'!AC:AC,MATCH($B170,'Raw Data'!$C:$C,0)),"")</f>
        <v>Tipper</v>
      </c>
      <c r="B170" s="11" t="s">
        <v>51</v>
      </c>
      <c r="C170" s="14">
        <f>IFERROR(INDEX('Raw Data'!D:D,MATCH($B170,'Raw Data'!$C:$C,0)),"-")</f>
        <v>720.00289999999904</v>
      </c>
      <c r="D170" s="14">
        <f>IFERROR(INDEX('Raw Data'!E:E,MATCH($B170,'Raw Data'!$C:$C,0)),"-")</f>
        <v>521.65219999999897</v>
      </c>
      <c r="E170" s="14">
        <f>IFERROR(INDEX('Raw Data'!H:H,MATCH($B170,'Raw Data'!$C:$C,0)),"-")</f>
        <v>198.35069999999999</v>
      </c>
      <c r="F170" s="14">
        <f>IFERROR(INDEX('Raw Data'!J:J,MATCH($B170,'Raw Data'!$C:$C,0)),"-")</f>
        <v>298.30819999999898</v>
      </c>
      <c r="G170" s="13">
        <f>IFERROR(INDEX('Raw Data'!O:O,MATCH($B170,'Raw Data'!$C:$C,0)),"-")</f>
        <v>0.72451402629999995</v>
      </c>
      <c r="H170" s="13">
        <f>IFERROR(INDEX('Raw Data'!P:P,MATCH($B170,'Raw Data'!$C:$C,0)),"-")</f>
        <v>0.4256535293</v>
      </c>
      <c r="I170" s="16" t="str">
        <f>IFERROR(INDEX('Raw Data'!AD:AD,MATCH($B170,'Raw Data'!$C:$C,0)),"-")</f>
        <v>Operational</v>
      </c>
    </row>
    <row r="171" spans="1:9" ht="15" customHeight="1" x14ac:dyDescent="0.35">
      <c r="A171" s="15" t="str">
        <f>IFERROR(INDEX('Raw Data'!AC:AC,MATCH($B171,'Raw Data'!$C:$C,0)),"")</f>
        <v>Tipper</v>
      </c>
      <c r="B171" s="7" t="s">
        <v>78</v>
      </c>
      <c r="C171" s="10">
        <f>IFERROR(INDEX('Raw Data'!D:D,MATCH($B171,'Raw Data'!$C:$C,0)),"-")</f>
        <v>720.00279999999998</v>
      </c>
      <c r="D171" s="10">
        <f>IFERROR(INDEX('Raw Data'!E:E,MATCH($B171,'Raw Data'!$C:$C,0)),"-")</f>
        <v>517.69920000000002</v>
      </c>
      <c r="E171" s="10">
        <f>IFERROR(INDEX('Raw Data'!H:H,MATCH($B171,'Raw Data'!$C:$C,0)),"-")</f>
        <v>202.30359999999999</v>
      </c>
      <c r="F171" s="10">
        <f>IFERROR(INDEX('Raw Data'!J:J,MATCH($B171,'Raw Data'!$C:$C,0)),"-")</f>
        <v>299.4314</v>
      </c>
      <c r="G171" s="9">
        <f>IFERROR(INDEX('Raw Data'!O:O,MATCH($B171,'Raw Data'!$C:$C,0)),"-")</f>
        <v>0.71902387050000005</v>
      </c>
      <c r="H171" s="9">
        <f>IFERROR(INDEX('Raw Data'!P:P,MATCH($B171,'Raw Data'!$C:$C,0)),"-")</f>
        <v>0.41160310849999998</v>
      </c>
      <c r="I171" s="15" t="str">
        <f>IFERROR(INDEX('Raw Data'!AD:AD,MATCH($B171,'Raw Data'!$C:$C,0)),"-")</f>
        <v>Operational</v>
      </c>
    </row>
    <row r="172" spans="1:9" ht="15" customHeight="1" x14ac:dyDescent="0.35">
      <c r="A172" s="16" t="str">
        <f>IFERROR(INDEX('Raw Data'!AC:AC,MATCH($B172,'Raw Data'!$C:$C,0)),"")</f>
        <v>Tipper</v>
      </c>
      <c r="B172" s="11" t="s">
        <v>55</v>
      </c>
      <c r="C172" s="14">
        <f>IFERROR(INDEX('Raw Data'!D:D,MATCH($B172,'Raw Data'!$C:$C,0)),"-")</f>
        <v>720.00109999999904</v>
      </c>
      <c r="D172" s="14">
        <f>IFERROR(INDEX('Raw Data'!E:E,MATCH($B172,'Raw Data'!$C:$C,0)),"-")</f>
        <v>501.64949999999902</v>
      </c>
      <c r="E172" s="14">
        <f>IFERROR(INDEX('Raw Data'!H:H,MATCH($B172,'Raw Data'!$C:$C,0)),"-")</f>
        <v>218.35159999999999</v>
      </c>
      <c r="F172" s="14">
        <f>IFERROR(INDEX('Raw Data'!J:J,MATCH($B172,'Raw Data'!$C:$C,0)),"-")</f>
        <v>296.19879999999898</v>
      </c>
      <c r="G172" s="13">
        <f>IFERROR(INDEX('Raw Data'!O:O,MATCH($B172,'Raw Data'!$C:$C,0)),"-")</f>
        <v>0.69673435220000002</v>
      </c>
      <c r="H172" s="13">
        <f>IFERROR(INDEX('Raw Data'!P:P,MATCH($B172,'Raw Data'!$C:$C,0)),"-")</f>
        <v>0.40370238580000001</v>
      </c>
      <c r="I172" s="16" t="str">
        <f>IFERROR(INDEX('Raw Data'!AD:AD,MATCH($B172,'Raw Data'!$C:$C,0)),"-")</f>
        <v>Operational</v>
      </c>
    </row>
    <row r="173" spans="1:9" ht="15" customHeight="1" x14ac:dyDescent="0.35">
      <c r="A173" s="15" t="str">
        <f>IFERROR(INDEX('Raw Data'!AC:AC,MATCH($B173,'Raw Data'!$C:$C,0)),"")</f>
        <v>Tipper</v>
      </c>
      <c r="B173" s="7" t="s">
        <v>89</v>
      </c>
      <c r="C173" s="10">
        <f>IFERROR(INDEX('Raw Data'!D:D,MATCH($B173,'Raw Data'!$C:$C,0)),"-")</f>
        <v>720.00139999999999</v>
      </c>
      <c r="D173" s="10">
        <f>IFERROR(INDEX('Raw Data'!E:E,MATCH($B173,'Raw Data'!$C:$C,0)),"-")</f>
        <v>494.6542</v>
      </c>
      <c r="E173" s="10">
        <f>IFERROR(INDEX('Raw Data'!H:H,MATCH($B173,'Raw Data'!$C:$C,0)),"-")</f>
        <v>225.34719999999999</v>
      </c>
      <c r="F173" s="10">
        <f>IFERROR(INDEX('Raw Data'!J:J,MATCH($B173,'Raw Data'!$C:$C,0)),"-")</f>
        <v>242.33489999999901</v>
      </c>
      <c r="G173" s="9">
        <f>IFERROR(INDEX('Raw Data'!O:O,MATCH($B173,'Raw Data'!$C:$C,0)),"-")</f>
        <v>0.68701838640000001</v>
      </c>
      <c r="H173" s="9">
        <f>IFERROR(INDEX('Raw Data'!P:P,MATCH($B173,'Raw Data'!$C:$C,0)),"-")</f>
        <v>0.45581074620000001</v>
      </c>
      <c r="I173" s="15" t="str">
        <f>IFERROR(INDEX('Raw Data'!AD:AD,MATCH($B173,'Raw Data'!$C:$C,0)),"-")</f>
        <v>Operational</v>
      </c>
    </row>
    <row r="174" spans="1:9" ht="15" customHeight="1" x14ac:dyDescent="0.35">
      <c r="A174" s="16" t="str">
        <f>IFERROR(INDEX('Raw Data'!AC:AC,MATCH($B174,'Raw Data'!$C:$C,0)),"")</f>
        <v>Tipper</v>
      </c>
      <c r="B174" s="11" t="s">
        <v>59</v>
      </c>
      <c r="C174" s="14">
        <f>IFERROR(INDEX('Raw Data'!D:D,MATCH($B174,'Raw Data'!$C:$C,0)),"-")</f>
        <v>720.00099999999895</v>
      </c>
      <c r="D174" s="14">
        <f>IFERROR(INDEX('Raw Data'!E:E,MATCH($B174,'Raw Data'!$C:$C,0)),"-")</f>
        <v>476.80609999999899</v>
      </c>
      <c r="E174" s="14">
        <f>IFERROR(INDEX('Raw Data'!H:H,MATCH($B174,'Raw Data'!$C:$C,0)),"-")</f>
        <v>243.194899999999</v>
      </c>
      <c r="F174" s="14">
        <f>IFERROR(INDEX('Raw Data'!J:J,MATCH($B174,'Raw Data'!$C:$C,0)),"-")</f>
        <v>293.43049999999897</v>
      </c>
      <c r="G174" s="13">
        <f>IFERROR(INDEX('Raw Data'!O:O,MATCH($B174,'Raw Data'!$C:$C,0)),"-")</f>
        <v>0.6622297747</v>
      </c>
      <c r="H174" s="13">
        <f>IFERROR(INDEX('Raw Data'!P:P,MATCH($B174,'Raw Data'!$C:$C,0)),"-")</f>
        <v>0.37855555959999998</v>
      </c>
      <c r="I174" s="16" t="str">
        <f>IFERROR(INDEX('Raw Data'!AD:AD,MATCH($B174,'Raw Data'!$C:$C,0)),"-")</f>
        <v>Operational</v>
      </c>
    </row>
    <row r="175" spans="1:9" ht="15" customHeight="1" x14ac:dyDescent="0.35">
      <c r="A175" s="15" t="str">
        <f>IFERROR(INDEX('Raw Data'!AC:AC,MATCH($B175,'Raw Data'!$C:$C,0)),"")</f>
        <v>Tipper</v>
      </c>
      <c r="B175" s="7" t="s">
        <v>63</v>
      </c>
      <c r="C175" s="10">
        <f>IFERROR(INDEX('Raw Data'!D:D,MATCH($B175,'Raw Data'!$C:$C,0)),"-")</f>
        <v>720.00109999999995</v>
      </c>
      <c r="D175" s="10">
        <f>IFERROR(INDEX('Raw Data'!E:E,MATCH($B175,'Raw Data'!$C:$C,0)),"-")</f>
        <v>472.27719999999903</v>
      </c>
      <c r="E175" s="10">
        <f>IFERROR(INDEX('Raw Data'!H:H,MATCH($B175,'Raw Data'!$C:$C,0)),"-")</f>
        <v>247.72389999999999</v>
      </c>
      <c r="F175" s="10">
        <f>IFERROR(INDEX('Raw Data'!J:J,MATCH($B175,'Raw Data'!$C:$C,0)),"-")</f>
        <v>262.94880000000001</v>
      </c>
      <c r="G175" s="9">
        <f>IFERROR(INDEX('Raw Data'!O:O,MATCH($B175,'Raw Data'!$C:$C,0)),"-")</f>
        <v>0.65593955339999999</v>
      </c>
      <c r="H175" s="9">
        <f>IFERROR(INDEX('Raw Data'!P:P,MATCH($B175,'Raw Data'!$C:$C,0)),"-")</f>
        <v>0.43903241570000001</v>
      </c>
      <c r="I175" s="15" t="str">
        <f>IFERROR(INDEX('Raw Data'!AD:AD,MATCH($B175,'Raw Data'!$C:$C,0)),"-")</f>
        <v>Operational</v>
      </c>
    </row>
    <row r="176" spans="1:9" ht="15" customHeight="1" x14ac:dyDescent="0.35">
      <c r="A176" s="16" t="str">
        <f>IFERROR(INDEX('Raw Data'!AC:AC,MATCH($B176,'Raw Data'!$C:$C,0)),"")</f>
        <v>Tipper</v>
      </c>
      <c r="B176" s="11" t="s">
        <v>76</v>
      </c>
      <c r="C176" s="14">
        <f>IFERROR(INDEX('Raw Data'!D:D,MATCH($B176,'Raw Data'!$C:$C,0)),"-")</f>
        <v>720.00099999999998</v>
      </c>
      <c r="D176" s="14">
        <f>IFERROR(INDEX('Raw Data'!E:E,MATCH($B176,'Raw Data'!$C:$C,0)),"-")</f>
        <v>462.91739999999999</v>
      </c>
      <c r="E176" s="14">
        <f>IFERROR(INDEX('Raw Data'!H:H,MATCH($B176,'Raw Data'!$C:$C,0)),"-")</f>
        <v>257.08359999999999</v>
      </c>
      <c r="F176" s="14">
        <f>IFERROR(INDEX('Raw Data'!J:J,MATCH($B176,'Raw Data'!$C:$C,0)),"-")</f>
        <v>285.93479999999897</v>
      </c>
      <c r="G176" s="13">
        <f>IFERROR(INDEX('Raw Data'!O:O,MATCH($B176,'Raw Data'!$C:$C,0)),"-")</f>
        <v>0.64293994040000002</v>
      </c>
      <c r="H176" s="13">
        <f>IFERROR(INDEX('Raw Data'!P:P,MATCH($B176,'Raw Data'!$C:$C,0)),"-")</f>
        <v>0.37473683209999997</v>
      </c>
      <c r="I176" s="16" t="str">
        <f>IFERROR(INDEX('Raw Data'!AD:AD,MATCH($B176,'Raw Data'!$C:$C,0)),"-")</f>
        <v>Operational</v>
      </c>
    </row>
    <row r="177" spans="1:9" ht="15" customHeight="1" x14ac:dyDescent="0.35">
      <c r="A177" s="15" t="str">
        <f>IFERROR(INDEX('Raw Data'!AC:AC,MATCH($B177,'Raw Data'!$C:$C,0)),"")</f>
        <v>Tipper</v>
      </c>
      <c r="B177" s="7" t="s">
        <v>64</v>
      </c>
      <c r="C177" s="10">
        <f>IFERROR(INDEX('Raw Data'!D:D,MATCH($B177,'Raw Data'!$C:$C,0)),"-")</f>
        <v>720.00099999999895</v>
      </c>
      <c r="D177" s="10">
        <f>IFERROR(INDEX('Raw Data'!E:E,MATCH($B177,'Raw Data'!$C:$C,0)),"-")</f>
        <v>451.60959999999898</v>
      </c>
      <c r="E177" s="10">
        <f>IFERROR(INDEX('Raw Data'!H:H,MATCH($B177,'Raw Data'!$C:$C,0)),"-")</f>
        <v>268.39139999999998</v>
      </c>
      <c r="F177" s="10">
        <f>IFERROR(INDEX('Raw Data'!J:J,MATCH($B177,'Raw Data'!$C:$C,0)),"-")</f>
        <v>268.75299999999902</v>
      </c>
      <c r="G177" s="9">
        <f>IFERROR(INDEX('Raw Data'!O:O,MATCH($B177,'Raw Data'!$C:$C,0)),"-")</f>
        <v>0.62723468439999996</v>
      </c>
      <c r="H177" s="9">
        <f>IFERROR(INDEX('Raw Data'!P:P,MATCH($B177,'Raw Data'!$C:$C,0)),"-")</f>
        <v>0.4001380839</v>
      </c>
      <c r="I177" s="15" t="str">
        <f>IFERROR(INDEX('Raw Data'!AD:AD,MATCH($B177,'Raw Data'!$C:$C,0)),"-")</f>
        <v>Operational</v>
      </c>
    </row>
    <row r="178" spans="1:9" ht="15" customHeight="1" x14ac:dyDescent="0.35">
      <c r="A178" s="16" t="str">
        <f>IFERROR(INDEX('Raw Data'!AC:AC,MATCH($B178,'Raw Data'!$C:$C,0)),"")</f>
        <v>Tipper</v>
      </c>
      <c r="B178" s="11" t="s">
        <v>48</v>
      </c>
      <c r="C178" s="14">
        <f>IFERROR(INDEX('Raw Data'!D:D,MATCH($B178,'Raw Data'!$C:$C,0)),"-")</f>
        <v>720.00019999999995</v>
      </c>
      <c r="D178" s="14">
        <f>IFERROR(INDEX('Raw Data'!E:E,MATCH($B178,'Raw Data'!$C:$C,0)),"-")</f>
        <v>451.474999999999</v>
      </c>
      <c r="E178" s="14">
        <f>IFERROR(INDEX('Raw Data'!H:H,MATCH($B178,'Raw Data'!$C:$C,0)),"-")</f>
        <v>268.52519999999998</v>
      </c>
      <c r="F178" s="14">
        <f>IFERROR(INDEX('Raw Data'!J:J,MATCH($B178,'Raw Data'!$C:$C,0)),"-")</f>
        <v>370.50299999999999</v>
      </c>
      <c r="G178" s="13">
        <f>IFERROR(INDEX('Raw Data'!O:O,MATCH($B178,'Raw Data'!$C:$C,0)),"-")</f>
        <v>0.62704843690000001</v>
      </c>
      <c r="H178" s="13">
        <f>IFERROR(INDEX('Raw Data'!P:P,MATCH($B178,'Raw Data'!$C:$C,0)),"-")</f>
        <v>0.17736485960000001</v>
      </c>
      <c r="I178" s="16" t="str">
        <f>IFERROR(INDEX('Raw Data'!AD:AD,MATCH($B178,'Raw Data'!$C:$C,0)),"-")</f>
        <v>Operational</v>
      </c>
    </row>
    <row r="179" spans="1:9" ht="15" customHeight="1" x14ac:dyDescent="0.35">
      <c r="A179" s="15" t="str">
        <f>IFERROR(INDEX('Raw Data'!AC:AC,MATCH($B179,'Raw Data'!$C:$C,0)),"")</f>
        <v>Tipper</v>
      </c>
      <c r="B179" s="7" t="s">
        <v>81</v>
      </c>
      <c r="C179" s="10">
        <f>IFERROR(INDEX('Raw Data'!D:D,MATCH($B179,'Raw Data'!$C:$C,0)),"-")</f>
        <v>720.00089999999898</v>
      </c>
      <c r="D179" s="10">
        <f>IFERROR(INDEX('Raw Data'!E:E,MATCH($B179,'Raw Data'!$C:$C,0)),"-")</f>
        <v>443.94739999999899</v>
      </c>
      <c r="E179" s="10">
        <f>IFERROR(INDEX('Raw Data'!H:H,MATCH($B179,'Raw Data'!$C:$C,0)),"-")</f>
        <v>276.05349999999999</v>
      </c>
      <c r="F179" s="10">
        <f>IFERROR(INDEX('Raw Data'!J:J,MATCH($B179,'Raw Data'!$C:$C,0)),"-")</f>
        <v>283.36299999999898</v>
      </c>
      <c r="G179" s="9">
        <f>IFERROR(INDEX('Raw Data'!O:O,MATCH($B179,'Raw Data'!$C:$C,0)),"-")</f>
        <v>0.61659284039999995</v>
      </c>
      <c r="H179" s="9">
        <f>IFERROR(INDEX('Raw Data'!P:P,MATCH($B179,'Raw Data'!$C:$C,0)),"-")</f>
        <v>0.35751510199999997</v>
      </c>
      <c r="I179" s="15" t="str">
        <f>IFERROR(INDEX('Raw Data'!AD:AD,MATCH($B179,'Raw Data'!$C:$C,0)),"-")</f>
        <v>Operational</v>
      </c>
    </row>
    <row r="180" spans="1:9" ht="15" customHeight="1" x14ac:dyDescent="0.35">
      <c r="A180" s="16" t="str">
        <f>IFERROR(INDEX('Raw Data'!AC:AC,MATCH($B180,'Raw Data'!$C:$C,0)),"")</f>
        <v>Tipper</v>
      </c>
      <c r="B180" s="11" t="s">
        <v>41</v>
      </c>
      <c r="C180" s="14">
        <f>IFERROR(INDEX('Raw Data'!D:D,MATCH($B180,'Raw Data'!$C:$C,0)),"-")</f>
        <v>712.67200000000003</v>
      </c>
      <c r="D180" s="14">
        <f>IFERROR(INDEX('Raw Data'!E:E,MATCH($B180,'Raw Data'!$C:$C,0)),"-")</f>
        <v>406.49</v>
      </c>
      <c r="E180" s="14">
        <f>IFERROR(INDEX('Raw Data'!H:H,MATCH($B180,'Raw Data'!$C:$C,0)),"-")</f>
        <v>306.18200000000002</v>
      </c>
      <c r="F180" s="14">
        <f>IFERROR(INDEX('Raw Data'!J:J,MATCH($B180,'Raw Data'!$C:$C,0)),"-")</f>
        <v>116.88800000000001</v>
      </c>
      <c r="G180" s="13">
        <f>IFERROR(INDEX('Raw Data'!O:O,MATCH($B180,'Raw Data'!$C:$C,0)),"-")</f>
        <v>0.57037459030000004</v>
      </c>
      <c r="H180" s="13">
        <f>IFERROR(INDEX('Raw Data'!P:P,MATCH($B180,'Raw Data'!$C:$C,0)),"-")</f>
        <v>0.15886590079999999</v>
      </c>
      <c r="I180" s="16" t="str">
        <f>IFERROR(INDEX('Raw Data'!AD:AD,MATCH($B180,'Raw Data'!$C:$C,0)),"-")</f>
        <v>Operational</v>
      </c>
    </row>
    <row r="181" spans="1:9" ht="15" customHeight="1" x14ac:dyDescent="0.35">
      <c r="A181" s="15" t="str">
        <f>IFERROR(INDEX('Raw Data'!AC:AC,MATCH($B181,'Raw Data'!$C:$C,0)),"")</f>
        <v>Tipper</v>
      </c>
      <c r="B181" s="7" t="s">
        <v>58</v>
      </c>
      <c r="C181" s="10">
        <f>IFERROR(INDEX('Raw Data'!D:D,MATCH($B181,'Raw Data'!$C:$C,0)),"-")</f>
        <v>720.00089999999898</v>
      </c>
      <c r="D181" s="10">
        <f>IFERROR(INDEX('Raw Data'!E:E,MATCH($B181,'Raw Data'!$C:$C,0)),"-")</f>
        <v>361.17439999999903</v>
      </c>
      <c r="E181" s="10">
        <f>IFERROR(INDEX('Raw Data'!H:H,MATCH($B181,'Raw Data'!$C:$C,0)),"-")</f>
        <v>358.82649999999899</v>
      </c>
      <c r="F181" s="10">
        <f>IFERROR(INDEX('Raw Data'!J:J,MATCH($B181,'Raw Data'!$C:$C,0)),"-")</f>
        <v>209.68789999999899</v>
      </c>
      <c r="G181" s="9">
        <f>IFERROR(INDEX('Raw Data'!O:O,MATCH($B181,'Raw Data'!$C:$C,0)),"-")</f>
        <v>0.5016304841</v>
      </c>
      <c r="H181" s="9">
        <f>IFERROR(INDEX('Raw Data'!P:P,MATCH($B181,'Raw Data'!$C:$C,0)),"-")</f>
        <v>0.41457561780000002</v>
      </c>
      <c r="I181" s="15" t="str">
        <f>IFERROR(INDEX('Raw Data'!AD:AD,MATCH($B181,'Raw Data'!$C:$C,0)),"-")</f>
        <v>Operational</v>
      </c>
    </row>
    <row r="182" spans="1:9" ht="15" customHeight="1" x14ac:dyDescent="0.35">
      <c r="A182" s="16" t="str">
        <f>IFERROR(INDEX('Raw Data'!AC:AC,MATCH($B182,'Raw Data'!$C:$C,0)),"")</f>
        <v>Tipper</v>
      </c>
      <c r="B182" s="11" t="s">
        <v>86</v>
      </c>
      <c r="C182" s="14">
        <f>IFERROR(INDEX('Raw Data'!D:D,MATCH($B182,'Raw Data'!$C:$C,0)),"-")</f>
        <v>720.00109999999995</v>
      </c>
      <c r="D182" s="14">
        <f>IFERROR(INDEX('Raw Data'!E:E,MATCH($B182,'Raw Data'!$C:$C,0)),"-")</f>
        <v>358.83890000000002</v>
      </c>
      <c r="E182" s="14">
        <f>IFERROR(INDEX('Raw Data'!H:H,MATCH($B182,'Raw Data'!$C:$C,0)),"-")</f>
        <v>361.16219999999998</v>
      </c>
      <c r="F182" s="14">
        <f>IFERROR(INDEX('Raw Data'!J:J,MATCH($B182,'Raw Data'!$C:$C,0)),"-")</f>
        <v>354.92540000000002</v>
      </c>
      <c r="G182" s="13">
        <f>IFERROR(INDEX('Raw Data'!O:O,MATCH($B182,'Raw Data'!$C:$C,0)),"-")</f>
        <v>0.49838659969999999</v>
      </c>
      <c r="H182" s="13">
        <f>IFERROR(INDEX('Raw Data'!P:P,MATCH($B182,'Raw Data'!$C:$C,0)),"-")</f>
        <v>0</v>
      </c>
      <c r="I182" s="16" t="str">
        <f>IFERROR(INDEX('Raw Data'!AD:AD,MATCH($B182,'Raw Data'!$C:$C,0)),"-")</f>
        <v>Operational</v>
      </c>
    </row>
    <row r="183" spans="1:9" ht="15" customHeight="1" x14ac:dyDescent="0.35">
      <c r="A183" s="15" t="str">
        <f>IFERROR(INDEX('Raw Data'!AC:AC,MATCH($B183,'Raw Data'!$C:$C,0)),"")</f>
        <v>Tipper</v>
      </c>
      <c r="B183" s="7" t="s">
        <v>65</v>
      </c>
      <c r="C183" s="10">
        <f>IFERROR(INDEX('Raw Data'!D:D,MATCH($B183,'Raw Data'!$C:$C,0)),"-")</f>
        <v>720.00059999999996</v>
      </c>
      <c r="D183" s="10">
        <f>IFERROR(INDEX('Raw Data'!E:E,MATCH($B183,'Raw Data'!$C:$C,0)),"-")</f>
        <v>274.84829999999999</v>
      </c>
      <c r="E183" s="10">
        <f>IFERROR(INDEX('Raw Data'!H:H,MATCH($B183,'Raw Data'!$C:$C,0)),"-")</f>
        <v>445.15230000000003</v>
      </c>
      <c r="F183" s="10">
        <f>IFERROR(INDEX('Raw Data'!J:J,MATCH($B183,'Raw Data'!$C:$C,0)),"-")</f>
        <v>128.63509999999999</v>
      </c>
      <c r="G183" s="9">
        <f>IFERROR(INDEX('Raw Data'!O:O,MATCH($B183,'Raw Data'!$C:$C,0)),"-")</f>
        <v>0.38173343189999998</v>
      </c>
      <c r="H183" s="9">
        <f>IFERROR(INDEX('Raw Data'!P:P,MATCH($B183,'Raw Data'!$C:$C,0)),"-")</f>
        <v>0.5198671413</v>
      </c>
      <c r="I183" s="15" t="str">
        <f>IFERROR(INDEX('Raw Data'!AD:AD,MATCH($B183,'Raw Data'!$C:$C,0)),"-")</f>
        <v>Operational</v>
      </c>
    </row>
    <row r="184" spans="1:9" ht="15" customHeight="1" x14ac:dyDescent="0.35">
      <c r="A184" s="16" t="str">
        <f>IFERROR(INDEX('Raw Data'!AC:AC,MATCH($B184,'Raw Data'!$C:$C,0)),"")</f>
        <v>Tipper</v>
      </c>
      <c r="B184" s="11" t="s">
        <v>40</v>
      </c>
      <c r="C184" s="14">
        <f>IFERROR(INDEX('Raw Data'!D:D,MATCH($B184,'Raw Data'!$C:$C,0)),"-")</f>
        <v>719.99969999999996</v>
      </c>
      <c r="D184" s="14">
        <f>IFERROR(INDEX('Raw Data'!E:E,MATCH($B184,'Raw Data'!$C:$C,0)),"-")</f>
        <v>260.47609999999997</v>
      </c>
      <c r="E184" s="14">
        <f>IFERROR(INDEX('Raw Data'!H:H,MATCH($B184,'Raw Data'!$C:$C,0)),"-")</f>
        <v>459.52359999999999</v>
      </c>
      <c r="F184" s="14">
        <f>IFERROR(INDEX('Raw Data'!J:J,MATCH($B184,'Raw Data'!$C:$C,0)),"-")</f>
        <v>248.46959999999899</v>
      </c>
      <c r="G184" s="13">
        <f>IFERROR(INDEX('Raw Data'!O:O,MATCH($B184,'Raw Data'!$C:$C,0)),"-")</f>
        <v>0.36177251179999997</v>
      </c>
      <c r="H184" s="13">
        <f>IFERROR(INDEX('Raw Data'!P:P,MATCH($B184,'Raw Data'!$C:$C,0)),"-")</f>
        <v>4.2263762400000002E-2</v>
      </c>
      <c r="I184" s="16" t="str">
        <f>IFERROR(INDEX('Raw Data'!AD:AD,MATCH($B184,'Raw Data'!$C:$C,0)),"-")</f>
        <v>Operational</v>
      </c>
    </row>
    <row r="185" spans="1:9" ht="15" customHeight="1" x14ac:dyDescent="0.35">
      <c r="A185" s="15" t="str">
        <f>IFERROR(INDEX('Raw Data'!AC:AC,MATCH($B185,'Raw Data'!$C:$C,0)),"")</f>
        <v>Tipper</v>
      </c>
      <c r="B185" s="7" t="s">
        <v>83</v>
      </c>
      <c r="C185" s="10">
        <f>IFERROR(INDEX('Raw Data'!D:D,MATCH($B185,'Raw Data'!$C:$C,0)),"-")</f>
        <v>720.00130000000001</v>
      </c>
      <c r="D185" s="10">
        <f>IFERROR(INDEX('Raw Data'!E:E,MATCH($B185,'Raw Data'!$C:$C,0)),"-")</f>
        <v>226.03790000000001</v>
      </c>
      <c r="E185" s="10">
        <f>IFERROR(INDEX('Raw Data'!H:H,MATCH($B185,'Raw Data'!$C:$C,0)),"-")</f>
        <v>493.96339999999998</v>
      </c>
      <c r="F185" s="10">
        <f>IFERROR(INDEX('Raw Data'!J:J,MATCH($B185,'Raw Data'!$C:$C,0)),"-")</f>
        <v>117.04559999999999</v>
      </c>
      <c r="G185" s="9">
        <f>IFERROR(INDEX('Raw Data'!O:O,MATCH($B185,'Raw Data'!$C:$C,0)),"-")</f>
        <v>0.31394096090000001</v>
      </c>
      <c r="H185" s="9">
        <f>IFERROR(INDEX('Raw Data'!P:P,MATCH($B185,'Raw Data'!$C:$C,0)),"-")</f>
        <v>0.47606043059999997</v>
      </c>
      <c r="I185" s="15" t="str">
        <f>IFERROR(INDEX('Raw Data'!AD:AD,MATCH($B185,'Raw Data'!$C:$C,0)),"-")</f>
        <v>Operational</v>
      </c>
    </row>
    <row r="186" spans="1:9" ht="15" customHeight="1" x14ac:dyDescent="0.35">
      <c r="A186" s="16" t="str">
        <f>IFERROR(INDEX('Raw Data'!AC:AC,MATCH($B186,'Raw Data'!$C:$C,0)),"")</f>
        <v>Tipper</v>
      </c>
      <c r="B186" s="11" t="s">
        <v>61</v>
      </c>
      <c r="C186" s="14">
        <f>IFERROR(INDEX('Raw Data'!D:D,MATCH($B186,'Raw Data'!$C:$C,0)),"-")</f>
        <v>720.00120000000004</v>
      </c>
      <c r="D186" s="14">
        <f>IFERROR(INDEX('Raw Data'!E:E,MATCH($B186,'Raw Data'!$C:$C,0)),"-")</f>
        <v>199.519599999999</v>
      </c>
      <c r="E186" s="14">
        <f>IFERROR(INDEX('Raw Data'!H:H,MATCH($B186,'Raw Data'!$C:$C,0)),"-")</f>
        <v>520.48159999999996</v>
      </c>
      <c r="F186" s="14">
        <f>IFERROR(INDEX('Raw Data'!J:J,MATCH($B186,'Raw Data'!$C:$C,0)),"-")</f>
        <v>102.6386</v>
      </c>
      <c r="G186" s="13">
        <f>IFERROR(INDEX('Raw Data'!O:O,MATCH($B186,'Raw Data'!$C:$C,0)),"-")</f>
        <v>0.2771100937</v>
      </c>
      <c r="H186" s="13">
        <f>IFERROR(INDEX('Raw Data'!P:P,MATCH($B186,'Raw Data'!$C:$C,0)),"-")</f>
        <v>0.4300680234</v>
      </c>
      <c r="I186" s="16" t="str">
        <f>IFERROR(INDEX('Raw Data'!AD:AD,MATCH($B186,'Raw Data'!$C:$C,0)),"-")</f>
        <v>Operational</v>
      </c>
    </row>
    <row r="187" spans="1:9" ht="15" customHeight="1" x14ac:dyDescent="0.35">
      <c r="A187" s="15" t="str">
        <f>IFERROR(INDEX('Raw Data'!AC:AC,MATCH($B187,'Raw Data'!$C:$C,0)),"")</f>
        <v>Tipper</v>
      </c>
      <c r="B187" s="7" t="s">
        <v>67</v>
      </c>
      <c r="C187" s="10">
        <f>IFERROR(INDEX('Raw Data'!D:D,MATCH($B187,'Raw Data'!$C:$C,0)),"-")</f>
        <v>720.00059999999905</v>
      </c>
      <c r="D187" s="10">
        <f>IFERROR(INDEX('Raw Data'!E:E,MATCH($B187,'Raw Data'!$C:$C,0)),"-")</f>
        <v>184.99939999999901</v>
      </c>
      <c r="E187" s="10">
        <f>IFERROR(INDEX('Raw Data'!H:H,MATCH($B187,'Raw Data'!$C:$C,0)),"-")</f>
        <v>535.00119999999902</v>
      </c>
      <c r="F187" s="10">
        <f>IFERROR(INDEX('Raw Data'!J:J,MATCH($B187,'Raw Data'!$C:$C,0)),"-")</f>
        <v>85.457699999999903</v>
      </c>
      <c r="G187" s="9">
        <f>IFERROR(INDEX('Raw Data'!O:O,MATCH($B187,'Raw Data'!$C:$C,0)),"-")</f>
        <v>0.25694339700000002</v>
      </c>
      <c r="H187" s="9">
        <f>IFERROR(INDEX('Raw Data'!P:P,MATCH($B187,'Raw Data'!$C:$C,0)),"-")</f>
        <v>0.53158604840000001</v>
      </c>
      <c r="I187" s="15" t="str">
        <f>IFERROR(INDEX('Raw Data'!AD:AD,MATCH($B187,'Raw Data'!$C:$C,0)),"-")</f>
        <v>Operational</v>
      </c>
    </row>
    <row r="188" spans="1:9" ht="15" customHeight="1" x14ac:dyDescent="0.35">
      <c r="A188" s="16" t="str">
        <f>IFERROR(INDEX('Raw Data'!AC:AC,MATCH($B188,'Raw Data'!$C:$C,0)),"")</f>
        <v>Tipper</v>
      </c>
      <c r="B188" s="11" t="s">
        <v>35</v>
      </c>
      <c r="C188" s="14">
        <f>IFERROR(INDEX('Raw Data'!D:D,MATCH($B188,'Raw Data'!$C:$C,0)),"-")</f>
        <v>712.91780000000006</v>
      </c>
      <c r="D188" s="14">
        <f>IFERROR(INDEX('Raw Data'!E:E,MATCH($B188,'Raw Data'!$C:$C,0)),"-")</f>
        <v>151.59200000000001</v>
      </c>
      <c r="E188" s="14">
        <f>IFERROR(INDEX('Raw Data'!H:H,MATCH($B188,'Raw Data'!$C:$C,0)),"-")</f>
        <v>561.32579999999996</v>
      </c>
      <c r="F188" s="14">
        <f>IFERROR(INDEX('Raw Data'!J:J,MATCH($B188,'Raw Data'!$C:$C,0)),"-")</f>
        <v>79.503200000000007</v>
      </c>
      <c r="G188" s="13">
        <f>IFERROR(INDEX('Raw Data'!O:O,MATCH($B188,'Raw Data'!$C:$C,0)),"-")</f>
        <v>0.21263601500000001</v>
      </c>
      <c r="H188" s="13">
        <f>IFERROR(INDEX('Raw Data'!P:P,MATCH($B188,'Raw Data'!$C:$C,0)),"-")</f>
        <v>0.46952279800000002</v>
      </c>
      <c r="I188" s="16" t="str">
        <f>IFERROR(INDEX('Raw Data'!AD:AD,MATCH($B188,'Raw Data'!$C:$C,0)),"-")</f>
        <v>Operational</v>
      </c>
    </row>
    <row r="189" spans="1:9" ht="15" customHeight="1" x14ac:dyDescent="0.35">
      <c r="A189" s="15" t="str">
        <f>IFERROR(INDEX('Raw Data'!AC:AC,MATCH($B189,'Raw Data'!$C:$C,0)),"")</f>
        <v>Tipper</v>
      </c>
      <c r="B189" s="7" t="s">
        <v>52</v>
      </c>
      <c r="C189" s="10">
        <f>IFERROR(INDEX('Raw Data'!D:D,MATCH($B189,'Raw Data'!$C:$C,0)),"-")</f>
        <v>720.00139999999999</v>
      </c>
      <c r="D189" s="10">
        <f>IFERROR(INDEX('Raw Data'!E:E,MATCH($B189,'Raw Data'!$C:$C,0)),"-")</f>
        <v>150.88309999999899</v>
      </c>
      <c r="E189" s="10">
        <f>IFERROR(INDEX('Raw Data'!H:H,MATCH($B189,'Raw Data'!$C:$C,0)),"-")</f>
        <v>569.11829999999998</v>
      </c>
      <c r="F189" s="10">
        <f>IFERROR(INDEX('Raw Data'!J:J,MATCH($B189,'Raw Data'!$C:$C,0)),"-")</f>
        <v>67.046399999999906</v>
      </c>
      <c r="G189" s="9">
        <f>IFERROR(INDEX('Raw Data'!O:O,MATCH($B189,'Raw Data'!$C:$C,0)),"-")</f>
        <v>0.2095594536</v>
      </c>
      <c r="H189" s="9">
        <f>IFERROR(INDEX('Raw Data'!P:P,MATCH($B189,'Raw Data'!$C:$C,0)),"-")</f>
        <v>0.53931421079999997</v>
      </c>
      <c r="I189" s="15" t="str">
        <f>IFERROR(INDEX('Raw Data'!AD:AD,MATCH($B189,'Raw Data'!$C:$C,0)),"-")</f>
        <v>Operational</v>
      </c>
    </row>
    <row r="190" spans="1:9" ht="15" customHeight="1" x14ac:dyDescent="0.35">
      <c r="A190" s="16" t="str">
        <f>IFERROR(INDEX('Raw Data'!AC:AC,MATCH($B190,'Raw Data'!$C:$C,0)),"")</f>
        <v>Tipper</v>
      </c>
      <c r="B190" s="11" t="s">
        <v>77</v>
      </c>
      <c r="C190" s="14">
        <f>IFERROR(INDEX('Raw Data'!D:D,MATCH($B190,'Raw Data'!$C:$C,0)),"-")</f>
        <v>720.000799999999</v>
      </c>
      <c r="D190" s="14">
        <f>IFERROR(INDEX('Raw Data'!E:E,MATCH($B190,'Raw Data'!$C:$C,0)),"-")</f>
        <v>139.3167</v>
      </c>
      <c r="E190" s="14">
        <f>IFERROR(INDEX('Raw Data'!H:H,MATCH($B190,'Raw Data'!$C:$C,0)),"-")</f>
        <v>580.68409999999994</v>
      </c>
      <c r="F190" s="14">
        <f>IFERROR(INDEX('Raw Data'!J:J,MATCH($B190,'Raw Data'!$C:$C,0)),"-")</f>
        <v>62.844700000000003</v>
      </c>
      <c r="G190" s="13">
        <f>IFERROR(INDEX('Raw Data'!O:O,MATCH($B190,'Raw Data'!$C:$C,0)),"-")</f>
        <v>0.19349520170000001</v>
      </c>
      <c r="H190" s="13">
        <f>IFERROR(INDEX('Raw Data'!P:P,MATCH($B190,'Raw Data'!$C:$C,0)),"-")</f>
        <v>0.53961226470000001</v>
      </c>
      <c r="I190" s="16" t="str">
        <f>IFERROR(INDEX('Raw Data'!AD:AD,MATCH($B190,'Raw Data'!$C:$C,0)),"-")</f>
        <v>Operational</v>
      </c>
    </row>
    <row r="191" spans="1:9" ht="15" customHeight="1" x14ac:dyDescent="0.35">
      <c r="A191" s="15" t="str">
        <f>IFERROR(INDEX('Raw Data'!AC:AC,MATCH($B191,'Raw Data'!$C:$C,0)),"")</f>
        <v>Tipper</v>
      </c>
      <c r="B191" s="7" t="s">
        <v>38</v>
      </c>
      <c r="C191" s="10">
        <f>IFERROR(INDEX('Raw Data'!D:D,MATCH($B191,'Raw Data'!$C:$C,0)),"-")</f>
        <v>720</v>
      </c>
      <c r="D191" s="10">
        <f>IFERROR(INDEX('Raw Data'!E:E,MATCH($B191,'Raw Data'!$C:$C,0)),"-")</f>
        <v>115.58969999999999</v>
      </c>
      <c r="E191" s="10">
        <f>IFERROR(INDEX('Raw Data'!H:H,MATCH($B191,'Raw Data'!$C:$C,0)),"-")</f>
        <v>604.41030000000001</v>
      </c>
      <c r="F191" s="10">
        <f>IFERROR(INDEX('Raw Data'!J:J,MATCH($B191,'Raw Data'!$C:$C,0)),"-")</f>
        <v>92.898700000000005</v>
      </c>
      <c r="G191" s="9">
        <f>IFERROR(INDEX('Raw Data'!O:O,MATCH($B191,'Raw Data'!$C:$C,0)),"-")</f>
        <v>0.16054125</v>
      </c>
      <c r="H191" s="9">
        <f>IFERROR(INDEX('Raw Data'!P:P,MATCH($B191,'Raw Data'!$C:$C,0)),"-")</f>
        <v>0.1835596078</v>
      </c>
      <c r="I191" s="15" t="str">
        <f>IFERROR(INDEX('Raw Data'!AD:AD,MATCH($B191,'Raw Data'!$C:$C,0)),"-")</f>
        <v>Operational</v>
      </c>
    </row>
    <row r="192" spans="1:9" ht="15" customHeight="1" x14ac:dyDescent="0.35">
      <c r="A192" s="15" t="str">
        <f>IFERROR(INDEX('Raw Data'!AC:AC,MATCH($B192,'Raw Data'!$C:$C,0)),"")</f>
        <v>Tipper</v>
      </c>
      <c r="B192" s="7" t="s">
        <v>54</v>
      </c>
      <c r="C192" s="10">
        <f>IFERROR(INDEX('Raw Data'!D:D,MATCH($B192,'Raw Data'!$C:$C,0)),"-")</f>
        <v>719.99990000000003</v>
      </c>
      <c r="D192" s="10">
        <f>IFERROR(INDEX('Raw Data'!E:E,MATCH($B192,'Raw Data'!$C:$C,0)),"-")</f>
        <v>52.527999999999999</v>
      </c>
      <c r="E192" s="10">
        <f>IFERROR(INDEX('Raw Data'!H:H,MATCH($B192,'Raw Data'!$C:$C,0)),"-")</f>
        <v>667.47190000000001</v>
      </c>
      <c r="F192" s="10">
        <f>IFERROR(INDEX('Raw Data'!J:J,MATCH($B192,'Raw Data'!$C:$C,0)),"-")</f>
        <v>41.993699999999997</v>
      </c>
      <c r="G192" s="9">
        <f>IFERROR(INDEX('Raw Data'!O:O,MATCH($B192,'Raw Data'!$C:$C,0)),"-")</f>
        <v>7.2955565700000002E-2</v>
      </c>
      <c r="H192" s="9">
        <f>IFERROR(INDEX('Raw Data'!P:P,MATCH($B192,'Raw Data'!$C:$C,0)),"-")</f>
        <v>0.16239339019999999</v>
      </c>
      <c r="I192" s="15" t="str">
        <f>IFERROR(INDEX('Raw Data'!AD:AD,MATCH($B192,'Raw Data'!$C:$C,0)),"-")</f>
        <v>Operational</v>
      </c>
    </row>
    <row r="193" spans="1:9" ht="15" customHeight="1" x14ac:dyDescent="0.35">
      <c r="A193" s="16" t="str">
        <f>IFERROR(INDEX('Raw Data'!AC:AC,MATCH($B193,'Raw Data'!$C:$C,0)),"")</f>
        <v>Tipper</v>
      </c>
      <c r="B193" s="11" t="s">
        <v>37</v>
      </c>
      <c r="C193" s="14">
        <f>IFERROR(INDEX('Raw Data'!D:D,MATCH($B193,'Raw Data'!$C:$C,0)),"-")</f>
        <v>720.00029999999902</v>
      </c>
      <c r="D193" s="14">
        <f>IFERROR(INDEX('Raw Data'!E:E,MATCH($B193,'Raw Data'!$C:$C,0)),"-")</f>
        <v>26.489699999999999</v>
      </c>
      <c r="E193" s="14">
        <f>IFERROR(INDEX('Raw Data'!H:H,MATCH($B193,'Raw Data'!$C:$C,0)),"-")</f>
        <v>693.51059999999904</v>
      </c>
      <c r="F193" s="14">
        <f>IFERROR(INDEX('Raw Data'!J:J,MATCH($B193,'Raw Data'!$C:$C,0)),"-")</f>
        <v>20.341999999999999</v>
      </c>
      <c r="G193" s="13">
        <f>IFERROR(INDEX('Raw Data'!O:O,MATCH($B193,'Raw Data'!$C:$C,0)),"-")</f>
        <v>3.6791234700000001E-2</v>
      </c>
      <c r="H193" s="13">
        <f>IFERROR(INDEX('Raw Data'!P:P,MATCH($B193,'Raw Data'!$C:$C,0)),"-")</f>
        <v>0.1981336142</v>
      </c>
      <c r="I193" s="16" t="str">
        <f>IFERROR(INDEX('Raw Data'!AD:AD,MATCH($B193,'Raw Data'!$C:$C,0)),"-")</f>
        <v>Operational</v>
      </c>
    </row>
    <row r="194" spans="1:9" ht="15" customHeight="1" x14ac:dyDescent="0.35">
      <c r="A194" s="15" t="str">
        <f>IFERROR(INDEX('Raw Data'!AC:AC,MATCH($B194,'Raw Data'!$C:$C,0)),"")</f>
        <v>Tipper</v>
      </c>
      <c r="B194" s="7" t="s">
        <v>57</v>
      </c>
      <c r="C194" s="10">
        <f>IFERROR(INDEX('Raw Data'!D:D,MATCH($B194,'Raw Data'!$C:$C,0)),"-")</f>
        <v>720.00009999999997</v>
      </c>
      <c r="D194" s="10">
        <f>IFERROR(INDEX('Raw Data'!E:E,MATCH($B194,'Raw Data'!$C:$C,0)),"-")</f>
        <v>1.10919999999999</v>
      </c>
      <c r="E194" s="10">
        <f>IFERROR(INDEX('Raw Data'!H:H,MATCH($B194,'Raw Data'!$C:$C,0)),"-")</f>
        <v>718.89089999999999</v>
      </c>
      <c r="F194" s="10">
        <f>IFERROR(INDEX('Raw Data'!J:J,MATCH($B194,'Raw Data'!$C:$C,0)),"-")</f>
        <v>0</v>
      </c>
      <c r="G194" s="9">
        <f>IFERROR(INDEX('Raw Data'!O:O,MATCH($B194,'Raw Data'!$C:$C,0)),"-")</f>
        <v>1.5405553E-3</v>
      </c>
      <c r="H194" s="9">
        <f>IFERROR(INDEX('Raw Data'!P:P,MATCH($B194,'Raw Data'!$C:$C,0)),"-")</f>
        <v>0.93085106380000004</v>
      </c>
      <c r="I194" s="15" t="str">
        <f>IFERROR(INDEX('Raw Data'!AD:AD,MATCH($B194,'Raw Data'!$C:$C,0)),"-")</f>
        <v>Operational</v>
      </c>
    </row>
    <row r="195" spans="1:9" ht="15" customHeight="1" x14ac:dyDescent="0.35">
      <c r="A195" s="16" t="str">
        <f>IFERROR(INDEX('Raw Data'!AC:AC,MATCH($B195,'Raw Data'!$C:$C,0)),"")</f>
        <v>Tipper</v>
      </c>
      <c r="B195" s="11" t="s">
        <v>43</v>
      </c>
      <c r="C195" s="14">
        <f>IFERROR(INDEX('Raw Data'!D:D,MATCH($B195,'Raw Data'!$C:$C,0)),"-")</f>
        <v>720.00009999999997</v>
      </c>
      <c r="D195" s="14">
        <f>IFERROR(INDEX('Raw Data'!E:E,MATCH($B195,'Raw Data'!$C:$C,0)),"-")</f>
        <v>0.15720000000000001</v>
      </c>
      <c r="E195" s="14">
        <f>IFERROR(INDEX('Raw Data'!H:H,MATCH($B195,'Raw Data'!$C:$C,0)),"-")</f>
        <v>719.84289999999999</v>
      </c>
      <c r="F195" s="14">
        <f>IFERROR(INDEX('Raw Data'!J:J,MATCH($B195,'Raw Data'!$C:$C,0)),"-")</f>
        <v>0</v>
      </c>
      <c r="G195" s="13">
        <f>IFERROR(INDEX('Raw Data'!O:O,MATCH($B195,'Raw Data'!$C:$C,0)),"-")</f>
        <v>2.1833329999999999E-4</v>
      </c>
      <c r="H195" s="13">
        <f>IFERROR(INDEX('Raw Data'!P:P,MATCH($B195,'Raw Data'!$C:$C,0)),"-")</f>
        <v>0.98536895670000002</v>
      </c>
      <c r="I195" s="16" t="str">
        <f>IFERROR(INDEX('Raw Data'!AD:AD,MATCH($B195,'Raw Data'!$C:$C,0)),"-")</f>
        <v>Operational</v>
      </c>
    </row>
    <row r="196" spans="1:9" ht="15" customHeight="1" x14ac:dyDescent="0.35">
      <c r="A196" s="15" t="str">
        <f>IFERROR(INDEX('Raw Data'!AC:AC,MATCH($B196,'Raw Data'!$C:$C,0)),"")</f>
        <v>Tipper</v>
      </c>
      <c r="B196" s="7" t="s">
        <v>33</v>
      </c>
      <c r="C196" s="10">
        <f>IFERROR(INDEX('Raw Data'!D:D,MATCH($B196,'Raw Data'!$C:$C,0)),"-")</f>
        <v>720</v>
      </c>
      <c r="D196" s="10">
        <f>IFERROR(INDEX('Raw Data'!E:E,MATCH($B196,'Raw Data'!$C:$C,0)),"-")</f>
        <v>5.9700000000000003E-2</v>
      </c>
      <c r="E196" s="10">
        <f>IFERROR(INDEX('Raw Data'!H:H,MATCH($B196,'Raw Data'!$C:$C,0)),"-")</f>
        <v>719.94029999999998</v>
      </c>
      <c r="F196" s="10">
        <f>IFERROR(INDEX('Raw Data'!J:J,MATCH($B196,'Raw Data'!$C:$C,0)),"-")</f>
        <v>0</v>
      </c>
      <c r="G196" s="9">
        <f>IFERROR(INDEX('Raw Data'!O:O,MATCH($B196,'Raw Data'!$C:$C,0)),"-")</f>
        <v>8.2916699999999998E-5</v>
      </c>
      <c r="H196" s="9">
        <f>IFERROR(INDEX('Raw Data'!P:P,MATCH($B196,'Raw Data'!$C:$C,0)),"-")</f>
        <v>1</v>
      </c>
      <c r="I196" s="15" t="str">
        <f>IFERROR(INDEX('Raw Data'!AD:AD,MATCH($B196,'Raw Data'!$C:$C,0)),"-")</f>
        <v>Operational</v>
      </c>
    </row>
    <row r="197" spans="1:9" ht="15" customHeight="1" x14ac:dyDescent="0.35">
      <c r="A197" s="16" t="str">
        <f>IFERROR(INDEX('Raw Data'!AC:AC,MATCH($B197,'Raw Data'!$C:$C,0)),"")</f>
        <v>Tipper</v>
      </c>
      <c r="B197" s="11" t="s">
        <v>44</v>
      </c>
      <c r="C197" s="14">
        <f>IFERROR(INDEX('Raw Data'!D:D,MATCH($B197,'Raw Data'!$C:$C,0)),"-")</f>
        <v>719.99990000000003</v>
      </c>
      <c r="D197" s="14">
        <f>IFERROR(INDEX('Raw Data'!E:E,MATCH($B197,'Raw Data'!$C:$C,0)),"-")</f>
        <v>3.4700000000000002E-2</v>
      </c>
      <c r="E197" s="14">
        <f>IFERROR(INDEX('Raw Data'!H:H,MATCH($B197,'Raw Data'!$C:$C,0)),"-")</f>
        <v>719.96519999999998</v>
      </c>
      <c r="F197" s="14">
        <f>IFERROR(INDEX('Raw Data'!J:J,MATCH($B197,'Raw Data'!$C:$C,0)),"-")</f>
        <v>0</v>
      </c>
      <c r="G197" s="13">
        <f>IFERROR(INDEX('Raw Data'!O:O,MATCH($B197,'Raw Data'!$C:$C,0)),"-")</f>
        <v>4.8194500000000001E-5</v>
      </c>
      <c r="H197" s="13">
        <f>IFERROR(INDEX('Raw Data'!P:P,MATCH($B197,'Raw Data'!$C:$C,0)),"-")</f>
        <v>0.95965417870000003</v>
      </c>
      <c r="I197" s="16" t="str">
        <f>IFERROR(INDEX('Raw Data'!AD:AD,MATCH($B197,'Raw Data'!$C:$C,0)),"-")</f>
        <v>Operational</v>
      </c>
    </row>
    <row r="198" spans="1:9" ht="15" customHeight="1" x14ac:dyDescent="0.35">
      <c r="A198" s="15" t="str">
        <f>IFERROR(INDEX('Raw Data'!AC:AC,MATCH($B198,'Raw Data'!$C:$C,0)),"")</f>
        <v>Tipper</v>
      </c>
      <c r="B198" s="7" t="s">
        <v>42</v>
      </c>
      <c r="C198" s="10">
        <f>IFERROR(INDEX('Raw Data'!D:D,MATCH($B198,'Raw Data'!$C:$C,0)),"-")</f>
        <v>720.00009999999997</v>
      </c>
      <c r="D198" s="10">
        <f>IFERROR(INDEX('Raw Data'!E:E,MATCH($B198,'Raw Data'!$C:$C,0)),"-")</f>
        <v>3.0599999999999999E-2</v>
      </c>
      <c r="E198" s="10">
        <f>IFERROR(INDEX('Raw Data'!H:H,MATCH($B198,'Raw Data'!$C:$C,0)),"-")</f>
        <v>719.96950000000004</v>
      </c>
      <c r="F198" s="10">
        <f>IFERROR(INDEX('Raw Data'!J:J,MATCH($B198,'Raw Data'!$C:$C,0)),"-")</f>
        <v>0</v>
      </c>
      <c r="G198" s="9">
        <f>IFERROR(INDEX('Raw Data'!O:O,MATCH($B198,'Raw Data'!$C:$C,0)),"-")</f>
        <v>4.2500000000000003E-5</v>
      </c>
      <c r="H198" s="9">
        <f>IFERROR(INDEX('Raw Data'!P:P,MATCH($B198,'Raw Data'!$C:$C,0)),"-")</f>
        <v>0.95751633989999996</v>
      </c>
      <c r="I198" s="15" t="str">
        <f>IFERROR(INDEX('Raw Data'!AD:AD,MATCH($B198,'Raw Data'!$C:$C,0)),"-")</f>
        <v>Operational</v>
      </c>
    </row>
    <row r="199" spans="1:9" ht="15" customHeight="1" x14ac:dyDescent="0.35">
      <c r="A199" s="16" t="str">
        <f>IFERROR(INDEX('Raw Data'!AC:AC,MATCH($B199,'Raw Data'!$C:$C,0)),"")</f>
        <v>Tipper</v>
      </c>
      <c r="B199" s="11" t="s">
        <v>34</v>
      </c>
      <c r="C199" s="14">
        <f>IFERROR(INDEX('Raw Data'!D:D,MATCH($B199,'Raw Data'!$C:$C,0)),"-")</f>
        <v>720</v>
      </c>
      <c r="D199" s="14">
        <f>IFERROR(INDEX('Raw Data'!E:E,MATCH($B199,'Raw Data'!$C:$C,0)),"-")</f>
        <v>0</v>
      </c>
      <c r="E199" s="14">
        <f>IFERROR(INDEX('Raw Data'!H:H,MATCH($B199,'Raw Data'!$C:$C,0)),"-")</f>
        <v>720</v>
      </c>
      <c r="F199" s="14">
        <f>IFERROR(INDEX('Raw Data'!J:J,MATCH($B199,'Raw Data'!$C:$C,0)),"-")</f>
        <v>0</v>
      </c>
      <c r="G199" s="13">
        <f>IFERROR(INDEX('Raw Data'!O:O,MATCH($B199,'Raw Data'!$C:$C,0)),"-")</f>
        <v>0</v>
      </c>
      <c r="H199" s="13">
        <f>IFERROR(INDEX('Raw Data'!P:P,MATCH($B199,'Raw Data'!$C:$C,0)),"-")</f>
        <v>0</v>
      </c>
      <c r="I199" s="16" t="str">
        <f>IFERROR(INDEX('Raw Data'!AD:AD,MATCH($B199,'Raw Data'!$C:$C,0)),"-")</f>
        <v>Non-Operational</v>
      </c>
    </row>
    <row r="200" spans="1:9" ht="15" customHeight="1" x14ac:dyDescent="0.35">
      <c r="A200" s="15" t="str">
        <f>IFERROR(INDEX('Raw Data'!AC:AC,MATCH($B200,'Raw Data'!$C:$C,0)),"")</f>
        <v>Tipper</v>
      </c>
      <c r="B200" s="7" t="s">
        <v>36</v>
      </c>
      <c r="C200" s="10">
        <f>IFERROR(INDEX('Raw Data'!D:D,MATCH($B200,'Raw Data'!$C:$C,0)),"-")</f>
        <v>720</v>
      </c>
      <c r="D200" s="10">
        <f>IFERROR(INDEX('Raw Data'!E:E,MATCH($B200,'Raw Data'!$C:$C,0)),"-")</f>
        <v>0</v>
      </c>
      <c r="E200" s="10">
        <f>IFERROR(INDEX('Raw Data'!H:H,MATCH($B200,'Raw Data'!$C:$C,0)),"-")</f>
        <v>720</v>
      </c>
      <c r="F200" s="10">
        <f>IFERROR(INDEX('Raw Data'!J:J,MATCH($B200,'Raw Data'!$C:$C,0)),"-")</f>
        <v>0</v>
      </c>
      <c r="G200" s="9">
        <f>IFERROR(INDEX('Raw Data'!O:O,MATCH($B200,'Raw Data'!$C:$C,0)),"-")</f>
        <v>0</v>
      </c>
      <c r="H200" s="9">
        <f>IFERROR(INDEX('Raw Data'!P:P,MATCH($B200,'Raw Data'!$C:$C,0)),"-")</f>
        <v>0</v>
      </c>
      <c r="I200" s="15" t="str">
        <f>IFERROR(INDEX('Raw Data'!AD:AD,MATCH($B200,'Raw Data'!$C:$C,0)),"-")</f>
        <v>Non-Operational</v>
      </c>
    </row>
    <row r="201" spans="1:9" ht="15" customHeight="1" x14ac:dyDescent="0.35">
      <c r="A201" s="16" t="str">
        <f>IFERROR(INDEX('Raw Data'!AC:AC,MATCH($B201,'Raw Data'!$C:$C,0)),"")</f>
        <v>Tipper</v>
      </c>
      <c r="B201" s="11" t="s">
        <v>39</v>
      </c>
      <c r="C201" s="14">
        <f>IFERROR(INDEX('Raw Data'!D:D,MATCH($B201,'Raw Data'!$C:$C,0)),"-")</f>
        <v>720</v>
      </c>
      <c r="D201" s="14">
        <f>IFERROR(INDEX('Raw Data'!E:E,MATCH($B201,'Raw Data'!$C:$C,0)),"-")</f>
        <v>0</v>
      </c>
      <c r="E201" s="14">
        <f>IFERROR(INDEX('Raw Data'!H:H,MATCH($B201,'Raw Data'!$C:$C,0)),"-")</f>
        <v>720</v>
      </c>
      <c r="F201" s="14">
        <f>IFERROR(INDEX('Raw Data'!J:J,MATCH($B201,'Raw Data'!$C:$C,0)),"-")</f>
        <v>0</v>
      </c>
      <c r="G201" s="13">
        <f>IFERROR(INDEX('Raw Data'!O:O,MATCH($B201,'Raw Data'!$C:$C,0)),"-")</f>
        <v>0</v>
      </c>
      <c r="H201" s="13">
        <f>IFERROR(INDEX('Raw Data'!P:P,MATCH($B201,'Raw Data'!$C:$C,0)),"-")</f>
        <v>0</v>
      </c>
      <c r="I201" s="16" t="str">
        <f>IFERROR(INDEX('Raw Data'!AD:AD,MATCH($B201,'Raw Data'!$C:$C,0)),"-")</f>
        <v>Non-Operational</v>
      </c>
    </row>
    <row r="202" spans="1:9" ht="15" customHeight="1" x14ac:dyDescent="0.35">
      <c r="A202" s="15" t="str">
        <f>IFERROR(INDEX('Raw Data'!AC:AC,MATCH($B202,'Raw Data'!$C:$C,0)),"")</f>
        <v>Tipper</v>
      </c>
      <c r="B202" s="7" t="s">
        <v>50</v>
      </c>
      <c r="C202" s="10">
        <f>IFERROR(INDEX('Raw Data'!D:D,MATCH($B202,'Raw Data'!$C:$C,0)),"-")</f>
        <v>720</v>
      </c>
      <c r="D202" s="10">
        <f>IFERROR(INDEX('Raw Data'!E:E,MATCH($B202,'Raw Data'!$C:$C,0)),"-")</f>
        <v>0</v>
      </c>
      <c r="E202" s="10">
        <f>IFERROR(INDEX('Raw Data'!H:H,MATCH($B202,'Raw Data'!$C:$C,0)),"-")</f>
        <v>720</v>
      </c>
      <c r="F202" s="10">
        <f>IFERROR(INDEX('Raw Data'!J:J,MATCH($B202,'Raw Data'!$C:$C,0)),"-")</f>
        <v>0</v>
      </c>
      <c r="G202" s="9">
        <f>IFERROR(INDEX('Raw Data'!O:O,MATCH($B202,'Raw Data'!$C:$C,0)),"-")</f>
        <v>0</v>
      </c>
      <c r="H202" s="9">
        <f>IFERROR(INDEX('Raw Data'!P:P,MATCH($B202,'Raw Data'!$C:$C,0)),"-")</f>
        <v>0</v>
      </c>
      <c r="I202" s="15" t="str">
        <f>IFERROR(INDEX('Raw Data'!AD:AD,MATCH($B202,'Raw Data'!$C:$C,0)),"-")</f>
        <v>Non-Operational</v>
      </c>
    </row>
    <row r="204" spans="1:9" ht="14" customHeight="1" x14ac:dyDescent="0.35">
      <c r="A204" s="77" t="s">
        <v>282</v>
      </c>
      <c r="B204" s="62"/>
      <c r="C204" s="62"/>
      <c r="D204" s="62"/>
    </row>
    <row r="205" spans="1:9" ht="14" customHeight="1" x14ac:dyDescent="0.35">
      <c r="A205" s="76" t="s">
        <v>283</v>
      </c>
      <c r="B205" s="62"/>
      <c r="C205" s="62"/>
      <c r="D205" s="62"/>
    </row>
    <row r="206" spans="1:9" ht="14" customHeight="1" x14ac:dyDescent="0.35">
      <c r="A206" s="74" t="s">
        <v>284</v>
      </c>
      <c r="B206" s="62"/>
      <c r="C206" s="62"/>
      <c r="D206" s="62"/>
    </row>
  </sheetData>
  <mergeCells count="10">
    <mergeCell ref="A5:I5"/>
    <mergeCell ref="A204:D204"/>
    <mergeCell ref="A1:I1"/>
    <mergeCell ref="A3:I3"/>
    <mergeCell ref="A83:I83"/>
    <mergeCell ref="A206:D206"/>
    <mergeCell ref="A129:I129"/>
    <mergeCell ref="A205:D205"/>
    <mergeCell ref="A112:I112"/>
    <mergeCell ref="A136:I136"/>
  </mergeCells>
  <conditionalFormatting sqref="G5:G203">
    <cfRule type="cellIs" dxfId="11" priority="1" operator="lessThan">
      <formula>0.5</formula>
    </cfRule>
    <cfRule type="cellIs" dxfId="10" priority="2" operator="between">
      <formula>0.5</formula>
      <formula>0.75</formula>
    </cfRule>
    <cfRule type="cellIs" dxfId="9" priority="3" operator="greaterThanOrEqual">
      <formula>0.75</formula>
    </cfRule>
  </conditionalFormatting>
  <conditionalFormatting sqref="H5:H203">
    <cfRule type="cellIs" dxfId="8" priority="4" operator="lessThan">
      <formula>0.7</formula>
    </cfRule>
    <cfRule type="cellIs" dxfId="7" priority="5" operator="between">
      <formula>0.7</formula>
      <formula>0.8</formula>
    </cfRule>
    <cfRule type="cellIs" dxfId="6" priority="6" operator="greaterThanOrEqual">
      <formula>0.8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4"/>
  <sheetViews>
    <sheetView showGridLines="0" workbookViewId="0">
      <pane ySplit="2" topLeftCell="A3" activePane="bottomLeft" state="frozen"/>
      <selection pane="bottomLeft" activeCell="K14" sqref="K14"/>
    </sheetView>
  </sheetViews>
  <sheetFormatPr defaultRowHeight="14.5" x14ac:dyDescent="0.35"/>
  <cols>
    <col min="1" max="1" width="20" customWidth="1"/>
    <col min="2" max="3" width="14" customWidth="1"/>
    <col min="4" max="4" width="12" customWidth="1"/>
    <col min="5" max="5" width="16" customWidth="1"/>
    <col min="6" max="6" width="12" customWidth="1"/>
    <col min="7" max="7" width="14" customWidth="1"/>
    <col min="8" max="8" width="12" customWidth="1"/>
  </cols>
  <sheetData>
    <row r="1" spans="1:8" ht="28" customHeight="1" x14ac:dyDescent="0.35">
      <c r="A1" s="63" t="s">
        <v>285</v>
      </c>
      <c r="B1" s="62"/>
      <c r="C1" s="62"/>
      <c r="D1" s="62"/>
      <c r="E1" s="62"/>
      <c r="F1" s="62"/>
      <c r="G1" s="62"/>
      <c r="H1" s="62"/>
    </row>
    <row r="3" spans="1:8" ht="18" customHeight="1" x14ac:dyDescent="0.35">
      <c r="A3" s="70" t="s">
        <v>286</v>
      </c>
      <c r="B3" s="62"/>
      <c r="C3" s="62"/>
      <c r="D3" s="62"/>
      <c r="E3" s="62"/>
      <c r="F3" s="62"/>
      <c r="G3" s="62"/>
      <c r="H3" s="62"/>
    </row>
    <row r="4" spans="1:8" ht="26" customHeight="1" x14ac:dyDescent="0.35">
      <c r="A4" s="6" t="s">
        <v>246</v>
      </c>
      <c r="B4" s="6" t="s">
        <v>287</v>
      </c>
      <c r="C4" s="6" t="s">
        <v>252</v>
      </c>
      <c r="D4" s="6" t="s">
        <v>288</v>
      </c>
      <c r="E4" s="6" t="s">
        <v>289</v>
      </c>
      <c r="F4" s="6" t="s">
        <v>262</v>
      </c>
      <c r="G4" s="6" t="s">
        <v>263</v>
      </c>
      <c r="H4" s="6" t="s">
        <v>250</v>
      </c>
    </row>
    <row r="5" spans="1:8" ht="16" customHeight="1" x14ac:dyDescent="0.35">
      <c r="A5" s="7" t="s">
        <v>32</v>
      </c>
      <c r="B5" s="8">
        <f>COUNTIFS('Raw Data'!AC:AC,"Tipper",'Raw Data'!AD:AD,"Operational",'Raw Data'!AE:AE,"Individual")</f>
        <v>62</v>
      </c>
      <c r="C5" s="8">
        <f>SUMIFS('Raw Data'!W:W,'Raw Data'!AC:AC,"Tipper",'Raw Data'!AE:AE,"Individual")</f>
        <v>189994.41999999987</v>
      </c>
      <c r="D5" s="17">
        <f>IFERROR(AVERAGEIFS('Raw Data'!X:X,'Raw Data'!AC:AC,"Tipper",'Raw Data'!AD:AD,"Operational",'Raw Data'!AE:AE,"Individual"),0)</f>
        <v>13.098870742887099</v>
      </c>
      <c r="E5" s="8">
        <f>SUMIFS('Raw Data'!U:U,'Raw Data'!AC:AC,"Tipper",'Raw Data'!AE:AE,"Individual")</f>
        <v>11635</v>
      </c>
      <c r="F5" s="8">
        <f>SUMIFS('Raw Data'!R:R,'Raw Data'!AC:AC,"Tipper",'Raw Data'!AE:AE,"Individual")</f>
        <v>1007304.3</v>
      </c>
      <c r="G5" s="8">
        <f>SUMIFS('Raw Data'!J:J,'Raw Data'!AC:AC,"Tipper",'Raw Data'!AE:AE,"Individual")</f>
        <v>14448.158699999967</v>
      </c>
      <c r="H5" s="9">
        <f>IFERROR(AVERAGEIFS('Raw Data'!O:O,'Raw Data'!AC:AC,"Tipper",'Raw Data'!AD:AD,"Operational",'Raw Data'!AE:AE,"Individual"),0)</f>
        <v>0.63356260463387082</v>
      </c>
    </row>
    <row r="6" spans="1:8" ht="16" customHeight="1" x14ac:dyDescent="0.35">
      <c r="A6" s="11" t="s">
        <v>101</v>
      </c>
      <c r="B6" s="12">
        <f>COUNTIFS('Raw Data'!AC:AC,"Dumper",'Raw Data'!AD:AD,"Operational",'Raw Data'!AE:AE,"Individual")</f>
        <v>75</v>
      </c>
      <c r="C6" s="12">
        <f>SUMIFS('Raw Data'!W:W,'Raw Data'!AC:AC,"Dumper",'Raw Data'!AE:AE,"Individual")</f>
        <v>561685.82999999961</v>
      </c>
      <c r="D6" s="18">
        <f>IFERROR(AVERAGEIFS('Raw Data'!X:X,'Raw Data'!AC:AC,"Dumper",'Raw Data'!AD:AD,"Operational",'Raw Data'!AE:AE,"Individual"),0)</f>
        <v>20.098459704373337</v>
      </c>
      <c r="E6" s="12">
        <f>SUMIFS('Raw Data'!U:U,'Raw Data'!AC:AC,"Dumper",'Raw Data'!AE:AE,"Individual")</f>
        <v>1469194</v>
      </c>
      <c r="F6" s="12">
        <f>SUMIFS('Raw Data'!R:R,'Raw Data'!AC:AC,"Dumper",'Raw Data'!AE:AE,"Individual")</f>
        <v>1935.3000000000002</v>
      </c>
      <c r="G6" s="12">
        <f>SUMIFS('Raw Data'!J:J,'Raw Data'!AC:AC,"Dumper",'Raw Data'!AE:AE,"Individual")</f>
        <v>5051.5937999999942</v>
      </c>
      <c r="H6" s="13">
        <f>IFERROR(AVERAGEIFS('Raw Data'!O:O,'Raw Data'!AC:AC,"Dumper",'Raw Data'!AD:AD,"Operational",'Raw Data'!AE:AE,"Individual"),0)</f>
        <v>0.60892491489466638</v>
      </c>
    </row>
    <row r="7" spans="1:8" ht="16" customHeight="1" x14ac:dyDescent="0.35">
      <c r="A7" s="7" t="s">
        <v>199</v>
      </c>
      <c r="B7" s="8">
        <f>COUNTIFS('Raw Data'!AC:AC,"Excavator",'Raw Data'!AD:AD,"Operational",'Raw Data'!AE:AE,"Individual")</f>
        <v>27</v>
      </c>
      <c r="C7" s="8">
        <f>SUMIFS('Raw Data'!W:W,'Raw Data'!AC:AC,"Excavator",'Raw Data'!AE:AE,"Individual")</f>
        <v>526973.99999999884</v>
      </c>
      <c r="D7" s="17">
        <f>IFERROR(AVERAGEIFS('Raw Data'!X:X,'Raw Data'!AC:AC,"Excavator",'Raw Data'!AD:AD,"Operational",'Raw Data'!AE:AE,"Individual"),0)</f>
        <v>1983.1259643420631</v>
      </c>
      <c r="E7" s="8">
        <f>SUMIFS('Raw Data'!U:U,'Raw Data'!AC:AC,"Excavator",'Raw Data'!AE:AE,"Individual")</f>
        <v>0</v>
      </c>
      <c r="F7" s="8">
        <f>SUMIFS('Raw Data'!R:R,'Raw Data'!AC:AC,"Excavator",'Raw Data'!AE:AE,"Individual")</f>
        <v>0</v>
      </c>
      <c r="G7" s="8">
        <f>SUMIFS('Raw Data'!J:J,'Raw Data'!AC:AC,"Excavator",'Raw Data'!AE:AE,"Individual")</f>
        <v>1359.2696999999996</v>
      </c>
      <c r="H7" s="9">
        <f>IFERROR(AVERAGEIFS('Raw Data'!O:O,'Raw Data'!AC:AC,"Excavator",'Raw Data'!AD:AD,"Operational",'Raw Data'!AE:AE,"Individual"),0)</f>
        <v>0.57197431885185168</v>
      </c>
    </row>
    <row r="8" spans="1:8" ht="16" customHeight="1" x14ac:dyDescent="0.35">
      <c r="A8" s="11" t="s">
        <v>181</v>
      </c>
      <c r="B8" s="12">
        <f>COUNTIFS('Raw Data'!AC:AC,"Front End Loader",'Raw Data'!AD:AD,"Operational",'Raw Data'!AE:AE,"Individual")</f>
        <v>15</v>
      </c>
      <c r="C8" s="12">
        <f>SUMIFS('Raw Data'!W:W,'Raw Data'!AC:AC,"Front End Loader",'Raw Data'!AE:AE,"Individual")</f>
        <v>104808.77999999985</v>
      </c>
      <c r="D8" s="18">
        <f>IFERROR(AVERAGEIFS('Raw Data'!X:X,'Raw Data'!AC:AC,"Front End Loader",'Raw Data'!AD:AD,"Operational",'Raw Data'!AE:AE,"Individual"),0)</f>
        <v>36.002014557866659</v>
      </c>
      <c r="E8" s="12">
        <f>SUMIFS('Raw Data'!U:U,'Raw Data'!AC:AC,"Front End Loader",'Raw Data'!AE:AE,"Individual")</f>
        <v>0</v>
      </c>
      <c r="F8" s="12">
        <f>SUMIFS('Raw Data'!R:R,'Raw Data'!AC:AC,"Front End Loader",'Raw Data'!AE:AE,"Individual")</f>
        <v>0</v>
      </c>
      <c r="G8" s="12">
        <f>SUMIFS('Raw Data'!J:J,'Raw Data'!AC:AC,"Front End Loader",'Raw Data'!AE:AE,"Individual")</f>
        <v>3821.2327999999916</v>
      </c>
      <c r="H8" s="13">
        <f>IFERROR(AVERAGEIFS('Raw Data'!O:O,'Raw Data'!AC:AC,"Front End Loader",'Raw Data'!AD:AD,"Operational",'Raw Data'!AE:AE,"Individual"),0)</f>
        <v>0.69993884588666677</v>
      </c>
    </row>
    <row r="9" spans="1:8" ht="16" customHeight="1" x14ac:dyDescent="0.35">
      <c r="A9" s="7" t="s">
        <v>228</v>
      </c>
      <c r="B9" s="8">
        <f>COUNTIFS('Raw Data'!AC:AC,"Surface Miner",'Raw Data'!AD:AD,"Operational",'Raw Data'!AE:AE,"Individual")</f>
        <v>5</v>
      </c>
      <c r="C9" s="8">
        <f>SUMIFS('Raw Data'!W:W,'Raw Data'!AC:AC,"Surface Miner",'Raw Data'!AE:AE,"Individual")</f>
        <v>131057.09999999989</v>
      </c>
      <c r="D9" s="17">
        <f>IFERROR(AVERAGEIFS('Raw Data'!X:X,'Raw Data'!AC:AC,"Surface Miner",'Raw Data'!AD:AD,"Operational",'Raw Data'!AE:AE,"Individual"),0)</f>
        <v>67.865172680000001</v>
      </c>
      <c r="E9" s="8">
        <f>SUMIFS('Raw Data'!U:U,'Raw Data'!AC:AC,"Surface Miner",'Raw Data'!AE:AE,"Individual")</f>
        <v>0</v>
      </c>
      <c r="F9" s="8">
        <f>SUMIFS('Raw Data'!R:R,'Raw Data'!AC:AC,"Surface Miner",'Raw Data'!AE:AE,"Individual")</f>
        <v>0</v>
      </c>
      <c r="G9" s="8">
        <f>SUMIFS('Raw Data'!J:J,'Raw Data'!AC:AC,"Surface Miner",'Raw Data'!AE:AE,"Individual")</f>
        <v>153.57480000000001</v>
      </c>
      <c r="H9" s="9">
        <f>IFERROR(AVERAGEIFS('Raw Data'!O:O,'Raw Data'!AC:AC,"Surface Miner",'Raw Data'!AD:AD,"Operational",'Raw Data'!AE:AE,"Individual"),0)</f>
        <v>0.52831483909999999</v>
      </c>
    </row>
    <row r="10" spans="1:8" ht="16" customHeight="1" x14ac:dyDescent="0.35">
      <c r="A10" s="11" t="s">
        <v>236</v>
      </c>
      <c r="B10" s="12">
        <f>COUNTIFS('Raw Data'!AC:AC,"Diesel Bowser",'Raw Data'!AD:AD,"Operational",'Raw Data'!AE:AE,"Individual")</f>
        <v>6</v>
      </c>
      <c r="C10" s="12">
        <f>SUMIFS('Raw Data'!W:W,'Raw Data'!AC:AC,"Diesel Bowser",'Raw Data'!AE:AE,"Individual")</f>
        <v>4386.17</v>
      </c>
      <c r="D10" s="18">
        <f>IFERROR(AVERAGEIFS('Raw Data'!X:X,'Raw Data'!AC:AC,"Diesel Bowser",'Raw Data'!AD:AD,"Operational",'Raw Data'!AE:AE,"Individual"),0)</f>
        <v>14.18192331133333</v>
      </c>
      <c r="E10" s="12">
        <f>SUMIFS('Raw Data'!U:U,'Raw Data'!AC:AC,"Diesel Bowser",'Raw Data'!AE:AE,"Individual")</f>
        <v>0</v>
      </c>
      <c r="F10" s="12">
        <f>SUMIFS('Raw Data'!R:R,'Raw Data'!AC:AC,"Diesel Bowser",'Raw Data'!AE:AE,"Individual")</f>
        <v>0</v>
      </c>
      <c r="G10" s="12">
        <f>SUMIFS('Raw Data'!J:J,'Raw Data'!AC:AC,"Diesel Bowser",'Raw Data'!AE:AE,"Individual")</f>
        <v>1748.908099999999</v>
      </c>
      <c r="H10" s="13">
        <f>IFERROR(AVERAGEIFS('Raw Data'!O:O,'Raw Data'!AC:AC,"Diesel Bowser",'Raw Data'!AD:AD,"Operational",'Raw Data'!AE:AE,"Individual"),0)</f>
        <v>0.67771641496666657</v>
      </c>
    </row>
    <row r="13" spans="1:8" ht="18" customHeight="1" x14ac:dyDescent="0.35">
      <c r="A13" s="70" t="s">
        <v>290</v>
      </c>
      <c r="B13" s="62"/>
      <c r="C13" s="62"/>
      <c r="D13" s="62"/>
      <c r="E13" s="62"/>
      <c r="F13" s="62"/>
      <c r="G13" s="62"/>
      <c r="H13" s="62"/>
    </row>
    <row r="14" spans="1:8" ht="26" customHeight="1" x14ac:dyDescent="0.35">
      <c r="A14" s="6" t="s">
        <v>29</v>
      </c>
      <c r="B14" s="6" t="s">
        <v>3</v>
      </c>
      <c r="C14" s="6" t="s">
        <v>252</v>
      </c>
      <c r="D14" s="6" t="s">
        <v>291</v>
      </c>
      <c r="E14" s="6" t="s">
        <v>292</v>
      </c>
      <c r="F14" s="6" t="s">
        <v>293</v>
      </c>
      <c r="G14" s="6" t="s">
        <v>253</v>
      </c>
      <c r="H14" s="6" t="s">
        <v>294</v>
      </c>
    </row>
    <row r="15" spans="1:8" ht="15" customHeight="1" x14ac:dyDescent="0.35">
      <c r="A15" s="15" t="str">
        <f>IFERROR(INDEX('Raw Data'!AC:AC,MATCH($B15,'Raw Data'!$C:$C,0)),"-")</f>
        <v>Excavator</v>
      </c>
      <c r="B15" s="7" t="s">
        <v>200</v>
      </c>
      <c r="C15" s="8">
        <f>IFERROR(INDEX('Raw Data'!W:W,MATCH($B15,'Raw Data'!$C:$C,0)),"-")</f>
        <v>74157.34</v>
      </c>
      <c r="D15" s="17">
        <f>IFERROR(INDEX('Raw Data'!X:X,MATCH($B15,'Raw Data'!$C:$C,0)),"-")</f>
        <v>120.3011985</v>
      </c>
      <c r="E15" s="17">
        <f>IFERROR(INDEX('Raw Data'!Y:Y,MATCH($B15,'Raw Data'!$C:$C,0)),"-")</f>
        <v>74157.34</v>
      </c>
      <c r="F15" s="10">
        <f>IFERROR(INDEX('Raw Data'!F:F,MATCH($B15,'Raw Data'!$C:$C,0)),"-")</f>
        <v>637.39699999999903</v>
      </c>
      <c r="G15" s="8">
        <f>IFERROR(INDEX('Raw Data'!U:U,MATCH($B15,'Raw Data'!$C:$C,0)),"-")</f>
        <v>0</v>
      </c>
      <c r="H15" s="8">
        <f>IFERROR(INDEX('Raw Data'!R:R,MATCH($B15,'Raw Data'!$C:$C,0)),"-")</f>
        <v>0</v>
      </c>
    </row>
    <row r="16" spans="1:8" ht="15" customHeight="1" x14ac:dyDescent="0.35">
      <c r="A16" s="16" t="str">
        <f>IFERROR(INDEX('Raw Data'!AC:AC,MATCH($B16,'Raw Data'!$C:$C,0)),"-")</f>
        <v>Excavator</v>
      </c>
      <c r="B16" s="11" t="s">
        <v>226</v>
      </c>
      <c r="C16" s="12">
        <f>IFERROR(INDEX('Raw Data'!W:W,MATCH($B16,'Raw Data'!$C:$C,0)),"-")</f>
        <v>34169.980000000003</v>
      </c>
      <c r="D16" s="18">
        <f>IFERROR(INDEX('Raw Data'!X:X,MATCH($B16,'Raw Data'!$C:$C,0)),"-")</f>
        <v>57.178824910000003</v>
      </c>
      <c r="E16" s="18">
        <f>IFERROR(INDEX('Raw Data'!Y:Y,MATCH($B16,'Raw Data'!$C:$C,0)),"-")</f>
        <v>34169.980000000003</v>
      </c>
      <c r="F16" s="14">
        <f>IFERROR(INDEX('Raw Data'!F:F,MATCH($B16,'Raw Data'!$C:$C,0)),"-")</f>
        <v>614.39189999999996</v>
      </c>
      <c r="G16" s="12">
        <f>IFERROR(INDEX('Raw Data'!U:U,MATCH($B16,'Raw Data'!$C:$C,0)),"-")</f>
        <v>0</v>
      </c>
      <c r="H16" s="12">
        <f>IFERROR(INDEX('Raw Data'!R:R,MATCH($B16,'Raw Data'!$C:$C,0)),"-")</f>
        <v>0</v>
      </c>
    </row>
    <row r="17" spans="1:8" ht="15" customHeight="1" x14ac:dyDescent="0.35">
      <c r="A17" s="15" t="str">
        <f>IFERROR(INDEX('Raw Data'!AC:AC,MATCH($B17,'Raw Data'!$C:$C,0)),"-")</f>
        <v>Excavator</v>
      </c>
      <c r="B17" s="7" t="s">
        <v>225</v>
      </c>
      <c r="C17" s="8">
        <f>IFERROR(INDEX('Raw Data'!W:W,MATCH($B17,'Raw Data'!$C:$C,0)),"-")</f>
        <v>33699.43</v>
      </c>
      <c r="D17" s="17">
        <f>IFERROR(INDEX('Raw Data'!X:X,MATCH($B17,'Raw Data'!$C:$C,0)),"-")</f>
        <v>60.223183390000003</v>
      </c>
      <c r="E17" s="17">
        <f>IFERROR(INDEX('Raw Data'!Y:Y,MATCH($B17,'Raw Data'!$C:$C,0)),"-")</f>
        <v>33699.43</v>
      </c>
      <c r="F17" s="10">
        <f>IFERROR(INDEX('Raw Data'!F:F,MATCH($B17,'Raw Data'!$C:$C,0)),"-")</f>
        <v>574.62099999999998</v>
      </c>
      <c r="G17" s="8">
        <f>IFERROR(INDEX('Raw Data'!U:U,MATCH($B17,'Raw Data'!$C:$C,0)),"-")</f>
        <v>0</v>
      </c>
      <c r="H17" s="8">
        <f>IFERROR(INDEX('Raw Data'!R:R,MATCH($B17,'Raw Data'!$C:$C,0)),"-")</f>
        <v>0</v>
      </c>
    </row>
    <row r="18" spans="1:8" ht="15" customHeight="1" x14ac:dyDescent="0.35">
      <c r="A18" s="16" t="str">
        <f>IFERROR(INDEX('Raw Data'!AC:AC,MATCH($B18,'Raw Data'!$C:$C,0)),"-")</f>
        <v>Surface Miner</v>
      </c>
      <c r="B18" s="11" t="s">
        <v>233</v>
      </c>
      <c r="C18" s="12">
        <f>IFERROR(INDEX('Raw Data'!W:W,MATCH($B18,'Raw Data'!$C:$C,0)),"-")</f>
        <v>33431.1499999999</v>
      </c>
      <c r="D18" s="18">
        <f>IFERROR(INDEX('Raw Data'!X:X,MATCH($B18,'Raw Data'!$C:$C,0)),"-")</f>
        <v>86.278410829999999</v>
      </c>
      <c r="E18" s="18">
        <f>IFERROR(INDEX('Raw Data'!Y:Y,MATCH($B18,'Raw Data'!$C:$C,0)),"-")</f>
        <v>33431.1499999999</v>
      </c>
      <c r="F18" s="14">
        <f>IFERROR(INDEX('Raw Data'!F:F,MATCH($B18,'Raw Data'!$C:$C,0)),"-")</f>
        <v>397.63739999999899</v>
      </c>
      <c r="G18" s="12">
        <f>IFERROR(INDEX('Raw Data'!U:U,MATCH($B18,'Raw Data'!$C:$C,0)),"-")</f>
        <v>0</v>
      </c>
      <c r="H18" s="12">
        <f>IFERROR(INDEX('Raw Data'!R:R,MATCH($B18,'Raw Data'!$C:$C,0)),"-")</f>
        <v>0</v>
      </c>
    </row>
    <row r="19" spans="1:8" ht="15" customHeight="1" x14ac:dyDescent="0.35">
      <c r="A19" s="15" t="str">
        <f>IFERROR(INDEX('Raw Data'!AC:AC,MATCH($B19,'Raw Data'!$C:$C,0)),"-")</f>
        <v>Excavator</v>
      </c>
      <c r="B19" s="7" t="s">
        <v>215</v>
      </c>
      <c r="C19" s="8">
        <f>IFERROR(INDEX('Raw Data'!W:W,MATCH($B19,'Raw Data'!$C:$C,0)),"-")</f>
        <v>30935.5799999999</v>
      </c>
      <c r="D19" s="17">
        <f>IFERROR(INDEX('Raw Data'!X:X,MATCH($B19,'Raw Data'!$C:$C,0)),"-")</f>
        <v>52.189523289999997</v>
      </c>
      <c r="E19" s="17">
        <f>IFERROR(INDEX('Raw Data'!Y:Y,MATCH($B19,'Raw Data'!$C:$C,0)),"-")</f>
        <v>30935.5799999999</v>
      </c>
      <c r="F19" s="10">
        <f>IFERROR(INDEX('Raw Data'!F:F,MATCH($B19,'Raw Data'!$C:$C,0)),"-")</f>
        <v>610.16089999999997</v>
      </c>
      <c r="G19" s="8">
        <f>IFERROR(INDEX('Raw Data'!U:U,MATCH($B19,'Raw Data'!$C:$C,0)),"-")</f>
        <v>0</v>
      </c>
      <c r="H19" s="8">
        <f>IFERROR(INDEX('Raw Data'!R:R,MATCH($B19,'Raw Data'!$C:$C,0)),"-")</f>
        <v>0</v>
      </c>
    </row>
    <row r="20" spans="1:8" ht="15" customHeight="1" x14ac:dyDescent="0.35">
      <c r="A20" s="16" t="str">
        <f>IFERROR(INDEX('Raw Data'!AC:AC,MATCH($B20,'Raw Data'!$C:$C,0)),"-")</f>
        <v>Excavator</v>
      </c>
      <c r="B20" s="11" t="s">
        <v>222</v>
      </c>
      <c r="C20" s="12">
        <f>IFERROR(INDEX('Raw Data'!W:W,MATCH($B20,'Raw Data'!$C:$C,0)),"-")</f>
        <v>30435.449999999899</v>
      </c>
      <c r="D20" s="18">
        <f>IFERROR(INDEX('Raw Data'!X:X,MATCH($B20,'Raw Data'!$C:$C,0)),"-")</f>
        <v>52222.803706245701</v>
      </c>
      <c r="E20" s="18">
        <f>IFERROR(INDEX('Raw Data'!Y:Y,MATCH($B20,'Raw Data'!$C:$C,0)),"-")</f>
        <v>30435.449999999899</v>
      </c>
      <c r="F20" s="14">
        <f>IFERROR(INDEX('Raw Data'!F:F,MATCH($B20,'Raw Data'!$C:$C,0)),"-")</f>
        <v>0.58279999999999998</v>
      </c>
      <c r="G20" s="12">
        <f>IFERROR(INDEX('Raw Data'!U:U,MATCH($B20,'Raw Data'!$C:$C,0)),"-")</f>
        <v>0</v>
      </c>
      <c r="H20" s="12">
        <f>IFERROR(INDEX('Raw Data'!R:R,MATCH($B20,'Raw Data'!$C:$C,0)),"-")</f>
        <v>0</v>
      </c>
    </row>
    <row r="21" spans="1:8" ht="15" customHeight="1" x14ac:dyDescent="0.35">
      <c r="A21" s="15" t="str">
        <f>IFERROR(INDEX('Raw Data'!AC:AC,MATCH($B21,'Raw Data'!$C:$C,0)),"-")</f>
        <v>Surface Miner</v>
      </c>
      <c r="B21" s="7" t="s">
        <v>234</v>
      </c>
      <c r="C21" s="8">
        <f>IFERROR(INDEX('Raw Data'!W:W,MATCH($B21,'Raw Data'!$C:$C,0)),"-")</f>
        <v>29524.560000000001</v>
      </c>
      <c r="D21" s="17">
        <f>IFERROR(INDEX('Raw Data'!X:X,MATCH($B21,'Raw Data'!$C:$C,0)),"-")</f>
        <v>78.639281769999997</v>
      </c>
      <c r="E21" s="17">
        <f>IFERROR(INDEX('Raw Data'!Y:Y,MATCH($B21,'Raw Data'!$C:$C,0)),"-")</f>
        <v>29524.559999999899</v>
      </c>
      <c r="F21" s="10">
        <f>IFERROR(INDEX('Raw Data'!F:F,MATCH($B21,'Raw Data'!$C:$C,0)),"-")</f>
        <v>381.074199999999</v>
      </c>
      <c r="G21" s="8">
        <f>IFERROR(INDEX('Raw Data'!U:U,MATCH($B21,'Raw Data'!$C:$C,0)),"-")</f>
        <v>0</v>
      </c>
      <c r="H21" s="8">
        <f>IFERROR(INDEX('Raw Data'!R:R,MATCH($B21,'Raw Data'!$C:$C,0)),"-")</f>
        <v>0</v>
      </c>
    </row>
    <row r="22" spans="1:8" ht="15" customHeight="1" x14ac:dyDescent="0.35">
      <c r="A22" s="16" t="str">
        <f>IFERROR(INDEX('Raw Data'!AC:AC,MATCH($B22,'Raw Data'!$C:$C,0)),"-")</f>
        <v>Excavator</v>
      </c>
      <c r="B22" s="11" t="s">
        <v>227</v>
      </c>
      <c r="C22" s="12">
        <f>IFERROR(INDEX('Raw Data'!W:W,MATCH($B22,'Raw Data'!$C:$C,0)),"-")</f>
        <v>27856.619999999901</v>
      </c>
      <c r="D22" s="18">
        <f>IFERROR(INDEX('Raw Data'!X:X,MATCH($B22,'Raw Data'!$C:$C,0)),"-")</f>
        <v>97.820370740000001</v>
      </c>
      <c r="E22" s="18">
        <f>IFERROR(INDEX('Raw Data'!Y:Y,MATCH($B22,'Raw Data'!$C:$C,0)),"-")</f>
        <v>27856.619999999901</v>
      </c>
      <c r="F22" s="14">
        <f>IFERROR(INDEX('Raw Data'!F:F,MATCH($B22,'Raw Data'!$C:$C,0)),"-")</f>
        <v>295.89800000000002</v>
      </c>
      <c r="G22" s="12">
        <f>IFERROR(INDEX('Raw Data'!U:U,MATCH($B22,'Raw Data'!$C:$C,0)),"-")</f>
        <v>0</v>
      </c>
      <c r="H22" s="12">
        <f>IFERROR(INDEX('Raw Data'!R:R,MATCH($B22,'Raw Data'!$C:$C,0)),"-")</f>
        <v>0</v>
      </c>
    </row>
    <row r="23" spans="1:8" ht="15" customHeight="1" x14ac:dyDescent="0.35">
      <c r="A23" s="15" t="str">
        <f>IFERROR(INDEX('Raw Data'!AC:AC,MATCH($B23,'Raw Data'!$C:$C,0)),"-")</f>
        <v>Excavator</v>
      </c>
      <c r="B23" s="7" t="s">
        <v>223</v>
      </c>
      <c r="C23" s="8">
        <f>IFERROR(INDEX('Raw Data'!W:W,MATCH($B23,'Raw Data'!$C:$C,0)),"-")</f>
        <v>26508.62</v>
      </c>
      <c r="D23" s="17">
        <f>IFERROR(INDEX('Raw Data'!X:X,MATCH($B23,'Raw Data'!$C:$C,0)),"-")</f>
        <v>46.558782600000001</v>
      </c>
      <c r="E23" s="17">
        <f>IFERROR(INDEX('Raw Data'!Y:Y,MATCH($B23,'Raw Data'!$C:$C,0)),"-")</f>
        <v>26508.62</v>
      </c>
      <c r="F23" s="10">
        <f>IFERROR(INDEX('Raw Data'!F:F,MATCH($B23,'Raw Data'!$C:$C,0)),"-")</f>
        <v>585.61379999999997</v>
      </c>
      <c r="G23" s="8">
        <f>IFERROR(INDEX('Raw Data'!U:U,MATCH($B23,'Raw Data'!$C:$C,0)),"-")</f>
        <v>0</v>
      </c>
      <c r="H23" s="8">
        <f>IFERROR(INDEX('Raw Data'!R:R,MATCH($B23,'Raw Data'!$C:$C,0)),"-")</f>
        <v>0</v>
      </c>
    </row>
    <row r="24" spans="1:8" ht="15" customHeight="1" x14ac:dyDescent="0.35">
      <c r="A24" s="16" t="str">
        <f>IFERROR(INDEX('Raw Data'!AC:AC,MATCH($B24,'Raw Data'!$C:$C,0)),"-")</f>
        <v>Excavator</v>
      </c>
      <c r="B24" s="11" t="s">
        <v>217</v>
      </c>
      <c r="C24" s="12">
        <f>IFERROR(INDEX('Raw Data'!W:W,MATCH($B24,'Raw Data'!$C:$C,0)),"-")</f>
        <v>25907.33</v>
      </c>
      <c r="D24" s="18">
        <f>IFERROR(INDEX('Raw Data'!X:X,MATCH($B24,'Raw Data'!$C:$C,0)),"-")</f>
        <v>48.50807777</v>
      </c>
      <c r="E24" s="18">
        <f>IFERROR(INDEX('Raw Data'!Y:Y,MATCH($B24,'Raw Data'!$C:$C,0)),"-")</f>
        <v>25907.33</v>
      </c>
      <c r="F24" s="14">
        <f>IFERROR(INDEX('Raw Data'!F:F,MATCH($B24,'Raw Data'!$C:$C,0)),"-")</f>
        <v>551.35490000000004</v>
      </c>
      <c r="G24" s="12">
        <f>IFERROR(INDEX('Raw Data'!U:U,MATCH($B24,'Raw Data'!$C:$C,0)),"-")</f>
        <v>0</v>
      </c>
      <c r="H24" s="12">
        <f>IFERROR(INDEX('Raw Data'!R:R,MATCH($B24,'Raw Data'!$C:$C,0)),"-")</f>
        <v>0</v>
      </c>
    </row>
    <row r="25" spans="1:8" ht="15" customHeight="1" x14ac:dyDescent="0.35">
      <c r="A25" s="15" t="str">
        <f>IFERROR(INDEX('Raw Data'!AC:AC,MATCH($B25,'Raw Data'!$C:$C,0)),"-")</f>
        <v>Dumper</v>
      </c>
      <c r="B25" s="7" t="s">
        <v>171</v>
      </c>
      <c r="C25" s="8">
        <f>IFERROR(INDEX('Raw Data'!W:W,MATCH($B25,'Raw Data'!$C:$C,0)),"-")</f>
        <v>25352.609999999899</v>
      </c>
      <c r="D25" s="17">
        <f>IFERROR(INDEX('Raw Data'!X:X,MATCH($B25,'Raw Data'!$C:$C,0)),"-")</f>
        <v>43.782611230000001</v>
      </c>
      <c r="E25" s="17">
        <f>IFERROR(INDEX('Raw Data'!Y:Y,MATCH($B25,'Raw Data'!$C:$C,0)),"-")</f>
        <v>24262.8826977034</v>
      </c>
      <c r="F25" s="10">
        <f>IFERROR(INDEX('Raw Data'!F:F,MATCH($B25,'Raw Data'!$C:$C,0)),"-")</f>
        <v>560.66329999999903</v>
      </c>
      <c r="G25" s="8">
        <f>IFERROR(INDEX('Raw Data'!U:U,MATCH($B25,'Raw Data'!$C:$C,0)),"-")</f>
        <v>60144</v>
      </c>
      <c r="H25" s="8">
        <f>IFERROR(INDEX('Raw Data'!R:R,MATCH($B25,'Raw Data'!$C:$C,0)),"-")</f>
        <v>0</v>
      </c>
    </row>
    <row r="26" spans="1:8" ht="15" customHeight="1" x14ac:dyDescent="0.35">
      <c r="A26" s="16" t="str">
        <f>IFERROR(INDEX('Raw Data'!AC:AC,MATCH($B26,'Raw Data'!$C:$C,0)),"-")</f>
        <v>Excavator</v>
      </c>
      <c r="B26" s="11" t="s">
        <v>220</v>
      </c>
      <c r="C26" s="12">
        <f>IFERROR(INDEX('Raw Data'!W:W,MATCH($B26,'Raw Data'!$C:$C,0)),"-")</f>
        <v>23308.720000000001</v>
      </c>
      <c r="D26" s="18">
        <f>IFERROR(INDEX('Raw Data'!X:X,MATCH($B26,'Raw Data'!$C:$C,0)),"-")</f>
        <v>124.4162896</v>
      </c>
      <c r="E26" s="18">
        <f>IFERROR(INDEX('Raw Data'!Y:Y,MATCH($B26,'Raw Data'!$C:$C,0)),"-")</f>
        <v>23308.720000000001</v>
      </c>
      <c r="F26" s="14">
        <f>IFERROR(INDEX('Raw Data'!F:F,MATCH($B26,'Raw Data'!$C:$C,0)),"-")</f>
        <v>194.50479999999899</v>
      </c>
      <c r="G26" s="12">
        <f>IFERROR(INDEX('Raw Data'!U:U,MATCH($B26,'Raw Data'!$C:$C,0)),"-")</f>
        <v>0</v>
      </c>
      <c r="H26" s="12">
        <f>IFERROR(INDEX('Raw Data'!R:R,MATCH($B26,'Raw Data'!$C:$C,0)),"-")</f>
        <v>0</v>
      </c>
    </row>
    <row r="27" spans="1:8" ht="15" customHeight="1" x14ac:dyDescent="0.35">
      <c r="A27" s="15" t="str">
        <f>IFERROR(INDEX('Raw Data'!AC:AC,MATCH($B27,'Raw Data'!$C:$C,0)),"-")</f>
        <v>Dumper</v>
      </c>
      <c r="B27" s="7" t="s">
        <v>172</v>
      </c>
      <c r="C27" s="8">
        <f>IFERROR(INDEX('Raw Data'!W:W,MATCH($B27,'Raw Data'!$C:$C,0)),"-")</f>
        <v>22108.11</v>
      </c>
      <c r="D27" s="17">
        <f>IFERROR(INDEX('Raw Data'!X:X,MATCH($B27,'Raw Data'!$C:$C,0)),"-")</f>
        <v>42.273143419999997</v>
      </c>
      <c r="E27" s="17">
        <f>IFERROR(INDEX('Raw Data'!Y:Y,MATCH($B27,'Raw Data'!$C:$C,0)),"-")</f>
        <v>21189.303227821802</v>
      </c>
      <c r="F27" s="10">
        <f>IFERROR(INDEX('Raw Data'!F:F,MATCH($B27,'Raw Data'!$C:$C,0)),"-")</f>
        <v>508.51119999999901</v>
      </c>
      <c r="G27" s="8">
        <f>IFERROR(INDEX('Raw Data'!U:U,MATCH($B27,'Raw Data'!$C:$C,0)),"-")</f>
        <v>54222</v>
      </c>
      <c r="H27" s="8">
        <f>IFERROR(INDEX('Raw Data'!R:R,MATCH($B27,'Raw Data'!$C:$C,0)),"-")</f>
        <v>0</v>
      </c>
    </row>
    <row r="28" spans="1:8" ht="15" customHeight="1" x14ac:dyDescent="0.35">
      <c r="A28" s="16" t="str">
        <f>IFERROR(INDEX('Raw Data'!AC:AC,MATCH($B28,'Raw Data'!$C:$C,0)),"-")</f>
        <v>Dumper</v>
      </c>
      <c r="B28" s="11" t="s">
        <v>175</v>
      </c>
      <c r="C28" s="12">
        <f>IFERROR(INDEX('Raw Data'!W:W,MATCH($B28,'Raw Data'!$C:$C,0)),"-")</f>
        <v>21594.39</v>
      </c>
      <c r="D28" s="18">
        <f>IFERROR(INDEX('Raw Data'!X:X,MATCH($B28,'Raw Data'!$C:$C,0)),"-")</f>
        <v>42.091111169999998</v>
      </c>
      <c r="E28" s="18">
        <f>IFERROR(INDEX('Raw Data'!Y:Y,MATCH($B28,'Raw Data'!$C:$C,0)),"-")</f>
        <v>20794.2211402793</v>
      </c>
      <c r="F28" s="14">
        <f>IFERROR(INDEX('Raw Data'!F:F,MATCH($B28,'Raw Data'!$C:$C,0)),"-")</f>
        <v>499.92250000000001</v>
      </c>
      <c r="G28" s="12">
        <f>IFERROR(INDEX('Raw Data'!U:U,MATCH($B28,'Raw Data'!$C:$C,0)),"-")</f>
        <v>50274</v>
      </c>
      <c r="H28" s="12">
        <f>IFERROR(INDEX('Raw Data'!R:R,MATCH($B28,'Raw Data'!$C:$C,0)),"-")</f>
        <v>0</v>
      </c>
    </row>
    <row r="29" spans="1:8" ht="15" customHeight="1" x14ac:dyDescent="0.35">
      <c r="A29" s="16" t="str">
        <f>IFERROR(INDEX('Raw Data'!AC:AC,MATCH($B29,'Raw Data'!$C:$C,0)),"-")</f>
        <v>Dumper</v>
      </c>
      <c r="B29" s="11" t="s">
        <v>170</v>
      </c>
      <c r="C29" s="12">
        <f>IFERROR(INDEX('Raw Data'!W:W,MATCH($B29,'Raw Data'!$C:$C,0)),"-")</f>
        <v>20016.89</v>
      </c>
      <c r="D29" s="18">
        <f>IFERROR(INDEX('Raw Data'!X:X,MATCH($B29,'Raw Data'!$C:$C,0)),"-")</f>
        <v>43.8914428</v>
      </c>
      <c r="E29" s="18">
        <f>IFERROR(INDEX('Raw Data'!Y:Y,MATCH($B29,'Raw Data'!$C:$C,0)),"-")</f>
        <v>19024.2762428108</v>
      </c>
      <c r="F29" s="14">
        <f>IFERROR(INDEX('Raw Data'!F:F,MATCH($B29,'Raw Data'!$C:$C,0)),"-")</f>
        <v>439.303</v>
      </c>
      <c r="G29" s="12">
        <f>IFERROR(INDEX('Raw Data'!U:U,MATCH($B29,'Raw Data'!$C:$C,0)),"-")</f>
        <v>42462</v>
      </c>
      <c r="H29" s="12">
        <f>IFERROR(INDEX('Raw Data'!R:R,MATCH($B29,'Raw Data'!$C:$C,0)),"-")</f>
        <v>0</v>
      </c>
    </row>
    <row r="30" spans="1:8" ht="15" customHeight="1" x14ac:dyDescent="0.35">
      <c r="A30" s="15" t="str">
        <f>IFERROR(INDEX('Raw Data'!AC:AC,MATCH($B30,'Raw Data'!$C:$C,0)),"-")</f>
        <v>Dumper</v>
      </c>
      <c r="B30" s="7" t="s">
        <v>177</v>
      </c>
      <c r="C30" s="8">
        <f>IFERROR(INDEX('Raw Data'!W:W,MATCH($B30,'Raw Data'!$C:$C,0)),"-")</f>
        <v>19943.53</v>
      </c>
      <c r="D30" s="17">
        <f>IFERROR(INDEX('Raw Data'!X:X,MATCH($B30,'Raw Data'!$C:$C,0)),"-")</f>
        <v>46.711103850000001</v>
      </c>
      <c r="E30" s="17">
        <f>IFERROR(INDEX('Raw Data'!Y:Y,MATCH($B30,'Raw Data'!$C:$C,0)),"-")</f>
        <v>19322.7394298974</v>
      </c>
      <c r="F30" s="10">
        <f>IFERROR(INDEX('Raw Data'!F:F,MATCH($B30,'Raw Data'!$C:$C,0)),"-")</f>
        <v>419.85649999999902</v>
      </c>
      <c r="G30" s="8">
        <f>IFERROR(INDEX('Raw Data'!U:U,MATCH($B30,'Raw Data'!$C:$C,0)),"-")</f>
        <v>42252</v>
      </c>
      <c r="H30" s="8">
        <f>IFERROR(INDEX('Raw Data'!R:R,MATCH($B30,'Raw Data'!$C:$C,0)),"-")</f>
        <v>0</v>
      </c>
    </row>
    <row r="31" spans="1:8" ht="15" customHeight="1" x14ac:dyDescent="0.35">
      <c r="A31" s="16" t="str">
        <f>IFERROR(INDEX('Raw Data'!AC:AC,MATCH($B31,'Raw Data'!$C:$C,0)),"-")</f>
        <v>Excavator</v>
      </c>
      <c r="B31" s="11" t="s">
        <v>208</v>
      </c>
      <c r="C31" s="12">
        <f>IFERROR(INDEX('Raw Data'!W:W,MATCH($B31,'Raw Data'!$C:$C,0)),"-")</f>
        <v>19786.519999999899</v>
      </c>
      <c r="D31" s="18">
        <f>IFERROR(INDEX('Raw Data'!X:X,MATCH($B31,'Raw Data'!$C:$C,0)),"-")</f>
        <v>34.790464440000001</v>
      </c>
      <c r="E31" s="18">
        <f>IFERROR(INDEX('Raw Data'!Y:Y,MATCH($B31,'Raw Data'!$C:$C,0)),"-")</f>
        <v>19786.519999999899</v>
      </c>
      <c r="F31" s="14">
        <f>IFERROR(INDEX('Raw Data'!F:F,MATCH($B31,'Raw Data'!$C:$C,0)),"-")</f>
        <v>587.82379999999898</v>
      </c>
      <c r="G31" s="12">
        <f>IFERROR(INDEX('Raw Data'!U:U,MATCH($B31,'Raw Data'!$C:$C,0)),"-")</f>
        <v>0</v>
      </c>
      <c r="H31" s="12">
        <f>IFERROR(INDEX('Raw Data'!R:R,MATCH($B31,'Raw Data'!$C:$C,0)),"-")</f>
        <v>0</v>
      </c>
    </row>
    <row r="32" spans="1:8" ht="15" customHeight="1" x14ac:dyDescent="0.35">
      <c r="A32" s="15" t="str">
        <f>IFERROR(INDEX('Raw Data'!AC:AC,MATCH($B32,'Raw Data'!$C:$C,0)),"-")</f>
        <v>Surface Miner</v>
      </c>
      <c r="B32" s="7" t="s">
        <v>230</v>
      </c>
      <c r="C32" s="8">
        <f>IFERROR(INDEX('Raw Data'!W:W,MATCH($B32,'Raw Data'!$C:$C,0)),"-")</f>
        <v>19186.39</v>
      </c>
      <c r="D32" s="17">
        <f>IFERROR(INDEX('Raw Data'!X:X,MATCH($B32,'Raw Data'!$C:$C,0)),"-")</f>
        <v>71.553682069999994</v>
      </c>
      <c r="E32" s="17">
        <f>IFERROR(INDEX('Raw Data'!Y:Y,MATCH($B32,'Raw Data'!$C:$C,0)),"-")</f>
        <v>19186.39</v>
      </c>
      <c r="F32" s="10">
        <f>IFERROR(INDEX('Raw Data'!F:F,MATCH($B32,'Raw Data'!$C:$C,0)),"-")</f>
        <v>275.67430000000002</v>
      </c>
      <c r="G32" s="8">
        <f>IFERROR(INDEX('Raw Data'!U:U,MATCH($B32,'Raw Data'!$C:$C,0)),"-")</f>
        <v>0</v>
      </c>
      <c r="H32" s="8">
        <f>IFERROR(INDEX('Raw Data'!R:R,MATCH($B32,'Raw Data'!$C:$C,0)),"-")</f>
        <v>0</v>
      </c>
    </row>
    <row r="33" spans="1:8" ht="15" customHeight="1" x14ac:dyDescent="0.35">
      <c r="A33" s="16" t="str">
        <f>IFERROR(INDEX('Raw Data'!AC:AC,MATCH($B33,'Raw Data'!$C:$C,0)),"-")</f>
        <v>Dumper</v>
      </c>
      <c r="B33" s="11" t="s">
        <v>174</v>
      </c>
      <c r="C33" s="12">
        <f>IFERROR(INDEX('Raw Data'!W:W,MATCH($B33,'Raw Data'!$C:$C,0)),"-")</f>
        <v>18095.879999999899</v>
      </c>
      <c r="D33" s="18">
        <f>IFERROR(INDEX('Raw Data'!X:X,MATCH($B33,'Raw Data'!$C:$C,0)),"-")</f>
        <v>45.152251380000003</v>
      </c>
      <c r="E33" s="18">
        <f>IFERROR(INDEX('Raw Data'!Y:Y,MATCH($B33,'Raw Data'!$C:$C,0)),"-")</f>
        <v>17530.7182999625</v>
      </c>
      <c r="F33" s="14">
        <f>IFERROR(INDEX('Raw Data'!F:F,MATCH($B33,'Raw Data'!$C:$C,0)),"-")</f>
        <v>391.70159999999902</v>
      </c>
      <c r="G33" s="12">
        <f>IFERROR(INDEX('Raw Data'!U:U,MATCH($B33,'Raw Data'!$C:$C,0)),"-")</f>
        <v>36540</v>
      </c>
      <c r="H33" s="12">
        <f>IFERROR(INDEX('Raw Data'!R:R,MATCH($B33,'Raw Data'!$C:$C,0)),"-")</f>
        <v>0</v>
      </c>
    </row>
    <row r="34" spans="1:8" ht="15" customHeight="1" x14ac:dyDescent="0.35">
      <c r="A34" s="15" t="str">
        <f>IFERROR(INDEX('Raw Data'!AC:AC,MATCH($B34,'Raw Data'!$C:$C,0)),"-")</f>
        <v>Surface Miner</v>
      </c>
      <c r="B34" s="7" t="s">
        <v>232</v>
      </c>
      <c r="C34" s="8">
        <f>IFERROR(INDEX('Raw Data'!W:W,MATCH($B34,'Raw Data'!$C:$C,0)),"-")</f>
        <v>17858.84</v>
      </c>
      <c r="D34" s="17">
        <f>IFERROR(INDEX('Raw Data'!X:X,MATCH($B34,'Raw Data'!$C:$C,0)),"-")</f>
        <v>64.183451529999999</v>
      </c>
      <c r="E34" s="17">
        <f>IFERROR(INDEX('Raw Data'!Y:Y,MATCH($B34,'Raw Data'!$C:$C,0)),"-")</f>
        <v>17858.84</v>
      </c>
      <c r="F34" s="10">
        <f>IFERROR(INDEX('Raw Data'!F:F,MATCH($B34,'Raw Data'!$C:$C,0)),"-")</f>
        <v>284.94719999999899</v>
      </c>
      <c r="G34" s="8">
        <f>IFERROR(INDEX('Raw Data'!U:U,MATCH($B34,'Raw Data'!$C:$C,0)),"-")</f>
        <v>0</v>
      </c>
      <c r="H34" s="8">
        <f>IFERROR(INDEX('Raw Data'!R:R,MATCH($B34,'Raw Data'!$C:$C,0)),"-")</f>
        <v>0</v>
      </c>
    </row>
    <row r="35" spans="1:8" ht="15" customHeight="1" x14ac:dyDescent="0.35">
      <c r="A35" s="16" t="str">
        <f>IFERROR(INDEX('Raw Data'!AC:AC,MATCH($B35,'Raw Data'!$C:$C,0)),"-")</f>
        <v>Excavator</v>
      </c>
      <c r="B35" s="11" t="s">
        <v>209</v>
      </c>
      <c r="C35" s="12">
        <f>IFERROR(INDEX('Raw Data'!W:W,MATCH($B35,'Raw Data'!$C:$C,0)),"-")</f>
        <v>17659.5799999999</v>
      </c>
      <c r="D35" s="18">
        <f>IFERROR(INDEX('Raw Data'!X:X,MATCH($B35,'Raw Data'!$C:$C,0)),"-")</f>
        <v>32.049152880000001</v>
      </c>
      <c r="E35" s="18">
        <f>IFERROR(INDEX('Raw Data'!Y:Y,MATCH($B35,'Raw Data'!$C:$C,0)),"-")</f>
        <v>17659.5799999999</v>
      </c>
      <c r="F35" s="14">
        <f>IFERROR(INDEX('Raw Data'!F:F,MATCH($B35,'Raw Data'!$C:$C,0)),"-")</f>
        <v>572.43729999999903</v>
      </c>
      <c r="G35" s="12">
        <f>IFERROR(INDEX('Raw Data'!U:U,MATCH($B35,'Raw Data'!$C:$C,0)),"-")</f>
        <v>0</v>
      </c>
      <c r="H35" s="12">
        <f>IFERROR(INDEX('Raw Data'!R:R,MATCH($B35,'Raw Data'!$C:$C,0)),"-")</f>
        <v>0</v>
      </c>
    </row>
    <row r="36" spans="1:8" ht="15" customHeight="1" x14ac:dyDescent="0.35">
      <c r="A36" s="15" t="str">
        <f>IFERROR(INDEX('Raw Data'!AC:AC,MATCH($B36,'Raw Data'!$C:$C,0)),"-")</f>
        <v>Excavator</v>
      </c>
      <c r="B36" s="7" t="s">
        <v>212</v>
      </c>
      <c r="C36" s="8">
        <f>IFERROR(INDEX('Raw Data'!W:W,MATCH($B36,'Raw Data'!$C:$C,0)),"-")</f>
        <v>16941.86</v>
      </c>
      <c r="D36" s="17">
        <f>IFERROR(INDEX('Raw Data'!X:X,MATCH($B36,'Raw Data'!$C:$C,0)),"-")</f>
        <v>34.434814780000004</v>
      </c>
      <c r="E36" s="17">
        <f>IFERROR(INDEX('Raw Data'!Y:Y,MATCH($B36,'Raw Data'!$C:$C,0)),"-")</f>
        <v>16941.86</v>
      </c>
      <c r="F36" s="10">
        <f>IFERROR(INDEX('Raw Data'!F:F,MATCH($B36,'Raw Data'!$C:$C,0)),"-")</f>
        <v>507.99849999999998</v>
      </c>
      <c r="G36" s="8">
        <f>IFERROR(INDEX('Raw Data'!U:U,MATCH($B36,'Raw Data'!$C:$C,0)),"-")</f>
        <v>0</v>
      </c>
      <c r="H36" s="8">
        <f>IFERROR(INDEX('Raw Data'!R:R,MATCH($B36,'Raw Data'!$C:$C,0)),"-")</f>
        <v>0</v>
      </c>
    </row>
    <row r="37" spans="1:8" ht="15" customHeight="1" x14ac:dyDescent="0.35">
      <c r="A37" s="16" t="str">
        <f>IFERROR(INDEX('Raw Data'!AC:AC,MATCH($B37,'Raw Data'!$C:$C,0)),"-")</f>
        <v>Excavator</v>
      </c>
      <c r="B37" s="11" t="s">
        <v>210</v>
      </c>
      <c r="C37" s="12">
        <f>IFERROR(INDEX('Raw Data'!W:W,MATCH($B37,'Raw Data'!$C:$C,0)),"-")</f>
        <v>16216.29</v>
      </c>
      <c r="D37" s="18">
        <f>IFERROR(INDEX('Raw Data'!X:X,MATCH($B37,'Raw Data'!$C:$C,0)),"-")</f>
        <v>217.92925220000001</v>
      </c>
      <c r="E37" s="18">
        <f>IFERROR(INDEX('Raw Data'!Y:Y,MATCH($B37,'Raw Data'!$C:$C,0)),"-")</f>
        <v>16216.29</v>
      </c>
      <c r="F37" s="14">
        <f>IFERROR(INDEX('Raw Data'!F:F,MATCH($B37,'Raw Data'!$C:$C,0)),"-")</f>
        <v>85.359099999999899</v>
      </c>
      <c r="G37" s="12">
        <f>IFERROR(INDEX('Raw Data'!U:U,MATCH($B37,'Raw Data'!$C:$C,0)),"-")</f>
        <v>0</v>
      </c>
      <c r="H37" s="12">
        <f>IFERROR(INDEX('Raw Data'!R:R,MATCH($B37,'Raw Data'!$C:$C,0)),"-")</f>
        <v>0</v>
      </c>
    </row>
    <row r="38" spans="1:8" ht="15" customHeight="1" x14ac:dyDescent="0.35">
      <c r="A38" s="15" t="str">
        <f>IFERROR(INDEX('Raw Data'!AC:AC,MATCH($B38,'Raw Data'!$C:$C,0)),"-")</f>
        <v>Excavator</v>
      </c>
      <c r="B38" s="7" t="s">
        <v>214</v>
      </c>
      <c r="C38" s="8">
        <f>IFERROR(INDEX('Raw Data'!W:W,MATCH($B38,'Raw Data'!$C:$C,0)),"-")</f>
        <v>15321.3999999999</v>
      </c>
      <c r="D38" s="17">
        <f>IFERROR(INDEX('Raw Data'!X:X,MATCH($B38,'Raw Data'!$C:$C,0)),"-")</f>
        <v>29.87072539</v>
      </c>
      <c r="E38" s="17">
        <f>IFERROR(INDEX('Raw Data'!Y:Y,MATCH($B38,'Raw Data'!$C:$C,0)),"-")</f>
        <v>15321.3999999999</v>
      </c>
      <c r="F38" s="10">
        <f>IFERROR(INDEX('Raw Data'!F:F,MATCH($B38,'Raw Data'!$C:$C,0)),"-")</f>
        <v>531.3211</v>
      </c>
      <c r="G38" s="8">
        <f>IFERROR(INDEX('Raw Data'!U:U,MATCH($B38,'Raw Data'!$C:$C,0)),"-")</f>
        <v>0</v>
      </c>
      <c r="H38" s="8">
        <f>IFERROR(INDEX('Raw Data'!R:R,MATCH($B38,'Raw Data'!$C:$C,0)),"-")</f>
        <v>0</v>
      </c>
    </row>
    <row r="39" spans="1:8" ht="15" customHeight="1" x14ac:dyDescent="0.35">
      <c r="A39" s="16" t="str">
        <f>IFERROR(INDEX('Raw Data'!AC:AC,MATCH($B39,'Raw Data'!$C:$C,0)),"-")</f>
        <v>Excavator</v>
      </c>
      <c r="B39" s="11" t="s">
        <v>219</v>
      </c>
      <c r="C39" s="12">
        <f>IFERROR(INDEX('Raw Data'!W:W,MATCH($B39,'Raw Data'!$C:$C,0)),"-")</f>
        <v>14292.47</v>
      </c>
      <c r="D39" s="18">
        <f>IFERROR(INDEX('Raw Data'!X:X,MATCH($B39,'Raw Data'!$C:$C,0)),"-")</f>
        <v>32.310692400000001</v>
      </c>
      <c r="E39" s="18">
        <f>IFERROR(INDEX('Raw Data'!Y:Y,MATCH($B39,'Raw Data'!$C:$C,0)),"-")</f>
        <v>14292.47</v>
      </c>
      <c r="F39" s="14">
        <f>IFERROR(INDEX('Raw Data'!F:F,MATCH($B39,'Raw Data'!$C:$C,0)),"-")</f>
        <v>458.31479999999999</v>
      </c>
      <c r="G39" s="12">
        <f>IFERROR(INDEX('Raw Data'!U:U,MATCH($B39,'Raw Data'!$C:$C,0)),"-")</f>
        <v>0</v>
      </c>
      <c r="H39" s="12">
        <f>IFERROR(INDEX('Raw Data'!R:R,MATCH($B39,'Raw Data'!$C:$C,0)),"-")</f>
        <v>0</v>
      </c>
    </row>
    <row r="40" spans="1:8" ht="15" customHeight="1" x14ac:dyDescent="0.35">
      <c r="A40" s="15" t="str">
        <f>IFERROR(INDEX('Raw Data'!AC:AC,MATCH($B40,'Raw Data'!$C:$C,0)),"-")</f>
        <v>Surface Miner</v>
      </c>
      <c r="B40" s="7" t="s">
        <v>231</v>
      </c>
      <c r="C40" s="8">
        <f>IFERROR(INDEX('Raw Data'!W:W,MATCH($B40,'Raw Data'!$C:$C,0)),"-")</f>
        <v>14258.46</v>
      </c>
      <c r="D40" s="17">
        <f>IFERROR(INDEX('Raw Data'!X:X,MATCH($B40,'Raw Data'!$C:$C,0)),"-")</f>
        <v>38.671037200000001</v>
      </c>
      <c r="E40" s="17">
        <f>IFERROR(INDEX('Raw Data'!Y:Y,MATCH($B40,'Raw Data'!$C:$C,0)),"-")</f>
        <v>14258.46</v>
      </c>
      <c r="F40" s="10">
        <f>IFERROR(INDEX('Raw Data'!F:F,MATCH($B40,'Raw Data'!$C:$C,0)),"-")</f>
        <v>393.08850000000001</v>
      </c>
      <c r="G40" s="8">
        <f>IFERROR(INDEX('Raw Data'!U:U,MATCH($B40,'Raw Data'!$C:$C,0)),"-")</f>
        <v>0</v>
      </c>
      <c r="H40" s="8">
        <f>IFERROR(INDEX('Raw Data'!R:R,MATCH($B40,'Raw Data'!$C:$C,0)),"-")</f>
        <v>0</v>
      </c>
    </row>
    <row r="41" spans="1:8" ht="15" customHeight="1" x14ac:dyDescent="0.35">
      <c r="A41" s="16" t="str">
        <f>IFERROR(INDEX('Raw Data'!AC:AC,MATCH($B41,'Raw Data'!$C:$C,0)),"-")</f>
        <v>Excavator</v>
      </c>
      <c r="B41" s="11" t="s">
        <v>218</v>
      </c>
      <c r="C41" s="12">
        <f>IFERROR(INDEX('Raw Data'!W:W,MATCH($B41,'Raw Data'!$C:$C,0)),"-")</f>
        <v>14131.699999999901</v>
      </c>
      <c r="D41" s="18">
        <f>IFERROR(INDEX('Raw Data'!X:X,MATCH($B41,'Raw Data'!$C:$C,0)),"-")</f>
        <v>53.72330315</v>
      </c>
      <c r="E41" s="18">
        <f>IFERROR(INDEX('Raw Data'!Y:Y,MATCH($B41,'Raw Data'!$C:$C,0)),"-")</f>
        <v>14131.699999999901</v>
      </c>
      <c r="F41" s="14">
        <f>IFERROR(INDEX('Raw Data'!F:F,MATCH($B41,'Raw Data'!$C:$C,0)),"-")</f>
        <v>265.97649999999999</v>
      </c>
      <c r="G41" s="12">
        <f>IFERROR(INDEX('Raw Data'!U:U,MATCH($B41,'Raw Data'!$C:$C,0)),"-")</f>
        <v>0</v>
      </c>
      <c r="H41" s="12">
        <f>IFERROR(INDEX('Raw Data'!R:R,MATCH($B41,'Raw Data'!$C:$C,0)),"-")</f>
        <v>0</v>
      </c>
    </row>
    <row r="42" spans="1:8" ht="15" customHeight="1" x14ac:dyDescent="0.35">
      <c r="A42" s="15" t="str">
        <f>IFERROR(INDEX('Raw Data'!AC:AC,MATCH($B42,'Raw Data'!$C:$C,0)),"-")</f>
        <v>Dumper</v>
      </c>
      <c r="B42" s="7" t="s">
        <v>178</v>
      </c>
      <c r="C42" s="8">
        <f>IFERROR(INDEX('Raw Data'!W:W,MATCH($B42,'Raw Data'!$C:$C,0)),"-")</f>
        <v>13858.52</v>
      </c>
      <c r="D42" s="17">
        <f>IFERROR(INDEX('Raw Data'!X:X,MATCH($B42,'Raw Data'!$C:$C,0)),"-")</f>
        <v>48.536839749999999</v>
      </c>
      <c r="E42" s="17">
        <f>IFERROR(INDEX('Raw Data'!Y:Y,MATCH($B42,'Raw Data'!$C:$C,0)),"-")</f>
        <v>13445.981130517799</v>
      </c>
      <c r="F42" s="10">
        <f>IFERROR(INDEX('Raw Data'!F:F,MATCH($B42,'Raw Data'!$C:$C,0)),"-")</f>
        <v>282.988599999999</v>
      </c>
      <c r="G42" s="8">
        <f>IFERROR(INDEX('Raw Data'!U:U,MATCH($B42,'Raw Data'!$C:$C,0)),"-")</f>
        <v>23688</v>
      </c>
      <c r="H42" s="8">
        <f>IFERROR(INDEX('Raw Data'!R:R,MATCH($B42,'Raw Data'!$C:$C,0)),"-")</f>
        <v>0</v>
      </c>
    </row>
    <row r="43" spans="1:8" ht="15" customHeight="1" x14ac:dyDescent="0.35">
      <c r="A43" s="16" t="str">
        <f>IFERROR(INDEX('Raw Data'!AC:AC,MATCH($B43,'Raw Data'!$C:$C,0)),"-")</f>
        <v>Excavator</v>
      </c>
      <c r="B43" s="11" t="s">
        <v>213</v>
      </c>
      <c r="C43" s="12">
        <f>IFERROR(INDEX('Raw Data'!W:W,MATCH($B43,'Raw Data'!$C:$C,0)),"-")</f>
        <v>12480.88</v>
      </c>
      <c r="D43" s="18">
        <f>IFERROR(INDEX('Raw Data'!X:X,MATCH($B43,'Raw Data'!$C:$C,0)),"-")</f>
        <v>50.389359550000002</v>
      </c>
      <c r="E43" s="18">
        <f>IFERROR(INDEX('Raw Data'!Y:Y,MATCH($B43,'Raw Data'!$C:$C,0)),"-")</f>
        <v>12480.88</v>
      </c>
      <c r="F43" s="14">
        <f>IFERROR(INDEX('Raw Data'!F:F,MATCH($B43,'Raw Data'!$C:$C,0)),"-")</f>
        <v>256.3827</v>
      </c>
      <c r="G43" s="12">
        <f>IFERROR(INDEX('Raw Data'!U:U,MATCH($B43,'Raw Data'!$C:$C,0)),"-")</f>
        <v>0</v>
      </c>
      <c r="H43" s="12">
        <f>IFERROR(INDEX('Raw Data'!R:R,MATCH($B43,'Raw Data'!$C:$C,0)),"-")</f>
        <v>0</v>
      </c>
    </row>
    <row r="44" spans="1:8" ht="15" customHeight="1" x14ac:dyDescent="0.35">
      <c r="A44" s="15" t="str">
        <f>IFERROR(INDEX('Raw Data'!AC:AC,MATCH($B44,'Raw Data'!$C:$C,0)),"-")</f>
        <v>Excavator</v>
      </c>
      <c r="B44" s="7" t="s">
        <v>211</v>
      </c>
      <c r="C44" s="8">
        <f>IFERROR(INDEX('Raw Data'!W:W,MATCH($B44,'Raw Data'!$C:$C,0)),"-")</f>
        <v>11645.5799999999</v>
      </c>
      <c r="D44" s="17">
        <f>IFERROR(INDEX('Raw Data'!X:X,MATCH($B44,'Raw Data'!$C:$C,0)),"-")</f>
        <v>28.749599140000001</v>
      </c>
      <c r="E44" s="17">
        <f>IFERROR(INDEX('Raw Data'!Y:Y,MATCH($B44,'Raw Data'!$C:$C,0)),"-")</f>
        <v>11645.5799999999</v>
      </c>
      <c r="F44" s="10">
        <f>IFERROR(INDEX('Raw Data'!F:F,MATCH($B44,'Raw Data'!$C:$C,0)),"-")</f>
        <v>419.2801</v>
      </c>
      <c r="G44" s="8">
        <f>IFERROR(INDEX('Raw Data'!U:U,MATCH($B44,'Raw Data'!$C:$C,0)),"-")</f>
        <v>0</v>
      </c>
      <c r="H44" s="8">
        <f>IFERROR(INDEX('Raw Data'!R:R,MATCH($B44,'Raw Data'!$C:$C,0)),"-")</f>
        <v>0</v>
      </c>
    </row>
    <row r="45" spans="1:8" ht="15" customHeight="1" x14ac:dyDescent="0.35">
      <c r="A45" s="16" t="str">
        <f>IFERROR(INDEX('Raw Data'!AC:AC,MATCH($B45,'Raw Data'!$C:$C,0)),"-")</f>
        <v>Excavator</v>
      </c>
      <c r="B45" s="11" t="s">
        <v>206</v>
      </c>
      <c r="C45" s="12">
        <f>IFERROR(INDEX('Raw Data'!W:W,MATCH($B45,'Raw Data'!$C:$C,0)),"-")</f>
        <v>11612.8499999999</v>
      </c>
      <c r="D45" s="18">
        <f>IFERROR(INDEX('Raw Data'!X:X,MATCH($B45,'Raw Data'!$C:$C,0)),"-")</f>
        <v>25.37069593</v>
      </c>
      <c r="E45" s="18">
        <f>IFERROR(INDEX('Raw Data'!Y:Y,MATCH($B45,'Raw Data'!$C:$C,0)),"-")</f>
        <v>11612.8499999999</v>
      </c>
      <c r="F45" s="14">
        <f>IFERROR(INDEX('Raw Data'!F:F,MATCH($B45,'Raw Data'!$C:$C,0)),"-")</f>
        <v>465.7867</v>
      </c>
      <c r="G45" s="12">
        <f>IFERROR(INDEX('Raw Data'!U:U,MATCH($B45,'Raw Data'!$C:$C,0)),"-")</f>
        <v>0</v>
      </c>
      <c r="H45" s="12">
        <f>IFERROR(INDEX('Raw Data'!R:R,MATCH($B45,'Raw Data'!$C:$C,0)),"-")</f>
        <v>0</v>
      </c>
    </row>
    <row r="46" spans="1:8" ht="15" customHeight="1" x14ac:dyDescent="0.35">
      <c r="A46" s="15" t="str">
        <f>IFERROR(INDEX('Raw Data'!AC:AC,MATCH($B46,'Raw Data'!$C:$C,0)),"-")</f>
        <v>Front End Loader</v>
      </c>
      <c r="B46" s="7" t="s">
        <v>195</v>
      </c>
      <c r="C46" s="8">
        <f>IFERROR(INDEX('Raw Data'!W:W,MATCH($B46,'Raw Data'!$C:$C,0)),"-")</f>
        <v>10821.119999999901</v>
      </c>
      <c r="D46" s="17">
        <f>IFERROR(INDEX('Raw Data'!X:X,MATCH($B46,'Raw Data'!$C:$C,0)),"-")</f>
        <v>28.442388439999998</v>
      </c>
      <c r="E46" s="17">
        <f>IFERROR(INDEX('Raw Data'!Y:Y,MATCH($B46,'Raw Data'!$C:$C,0)),"-")</f>
        <v>10229.0547095115</v>
      </c>
      <c r="F46" s="10">
        <f>IFERROR(INDEX('Raw Data'!F:F,MATCH($B46,'Raw Data'!$C:$C,0)),"-")</f>
        <v>365.14419999999899</v>
      </c>
      <c r="G46" s="8">
        <f>IFERROR(INDEX('Raw Data'!U:U,MATCH($B46,'Raw Data'!$C:$C,0)),"-")</f>
        <v>0</v>
      </c>
      <c r="H46" s="8">
        <f>IFERROR(INDEX('Raw Data'!R:R,MATCH($B46,'Raw Data'!$C:$C,0)),"-")</f>
        <v>0</v>
      </c>
    </row>
    <row r="47" spans="1:8" ht="15" customHeight="1" x14ac:dyDescent="0.35">
      <c r="A47" s="16" t="str">
        <f>IFERROR(INDEX('Raw Data'!AC:AC,MATCH($B47,'Raw Data'!$C:$C,0)),"-")</f>
        <v>Front End Loader</v>
      </c>
      <c r="B47" s="11" t="s">
        <v>194</v>
      </c>
      <c r="C47" s="12">
        <f>IFERROR(INDEX('Raw Data'!W:W,MATCH($B47,'Raw Data'!$C:$C,0)),"-")</f>
        <v>10638.63</v>
      </c>
      <c r="D47" s="18">
        <f>IFERROR(INDEX('Raw Data'!X:X,MATCH($B47,'Raw Data'!$C:$C,0)),"-")</f>
        <v>23.565821790000001</v>
      </c>
      <c r="E47" s="18">
        <f>IFERROR(INDEX('Raw Data'!Y:Y,MATCH($B47,'Raw Data'!$C:$C,0)),"-")</f>
        <v>10221.745899351199</v>
      </c>
      <c r="F47" s="14">
        <f>IFERROR(INDEX('Raw Data'!F:F,MATCH($B47,'Raw Data'!$C:$C,0)),"-")</f>
        <v>438.45519999999902</v>
      </c>
      <c r="G47" s="12">
        <f>IFERROR(INDEX('Raw Data'!U:U,MATCH($B47,'Raw Data'!$C:$C,0)),"-")</f>
        <v>0</v>
      </c>
      <c r="H47" s="12">
        <f>IFERROR(INDEX('Raw Data'!R:R,MATCH($B47,'Raw Data'!$C:$C,0)),"-")</f>
        <v>0</v>
      </c>
    </row>
    <row r="48" spans="1:8" ht="15" customHeight="1" x14ac:dyDescent="0.35">
      <c r="A48" s="15" t="str">
        <f>IFERROR(INDEX('Raw Data'!AC:AC,MATCH($B48,'Raw Data'!$C:$C,0)),"-")</f>
        <v>Front End Loader</v>
      </c>
      <c r="B48" s="7" t="s">
        <v>189</v>
      </c>
      <c r="C48" s="8">
        <f>IFERROR(INDEX('Raw Data'!W:W,MATCH($B48,'Raw Data'!$C:$C,0)),"-")</f>
        <v>10593.53</v>
      </c>
      <c r="D48" s="17">
        <f>IFERROR(INDEX('Raw Data'!X:X,MATCH($B48,'Raw Data'!$C:$C,0)),"-")</f>
        <v>26.476232939999999</v>
      </c>
      <c r="E48" s="17">
        <f>IFERROR(INDEX('Raw Data'!Y:Y,MATCH($B48,'Raw Data'!$C:$C,0)),"-")</f>
        <v>9448.6262019999995</v>
      </c>
      <c r="F48" s="10">
        <f>IFERROR(INDEX('Raw Data'!F:F,MATCH($B48,'Raw Data'!$C:$C,0)),"-")</f>
        <v>356.87200000000001</v>
      </c>
      <c r="G48" s="8">
        <f>IFERROR(INDEX('Raw Data'!U:U,MATCH($B48,'Raw Data'!$C:$C,0)),"-")</f>
        <v>0</v>
      </c>
      <c r="H48" s="8">
        <f>IFERROR(INDEX('Raw Data'!R:R,MATCH($B48,'Raw Data'!$C:$C,0)),"-")</f>
        <v>0</v>
      </c>
    </row>
    <row r="49" spans="1:8" ht="15" customHeight="1" x14ac:dyDescent="0.35">
      <c r="A49" s="16" t="str">
        <f>IFERROR(INDEX('Raw Data'!AC:AC,MATCH($B49,'Raw Data'!$C:$C,0)),"-")</f>
        <v>Excavator</v>
      </c>
      <c r="B49" s="11" t="s">
        <v>202</v>
      </c>
      <c r="C49" s="12">
        <f>IFERROR(INDEX('Raw Data'!W:W,MATCH($B49,'Raw Data'!$C:$C,0)),"-")</f>
        <v>10251.369999999901</v>
      </c>
      <c r="D49" s="18">
        <f>IFERROR(INDEX('Raw Data'!X:X,MATCH($B49,'Raw Data'!$C:$C,0)),"-")</f>
        <v>23.888928759999999</v>
      </c>
      <c r="E49" s="18">
        <f>IFERROR(INDEX('Raw Data'!Y:Y,MATCH($B49,'Raw Data'!$C:$C,0)),"-")</f>
        <v>10251.369999999901</v>
      </c>
      <c r="F49" s="14">
        <f>IFERROR(INDEX('Raw Data'!F:F,MATCH($B49,'Raw Data'!$C:$C,0)),"-")</f>
        <v>463.48090000000002</v>
      </c>
      <c r="G49" s="12">
        <f>IFERROR(INDEX('Raw Data'!U:U,MATCH($B49,'Raw Data'!$C:$C,0)),"-")</f>
        <v>0</v>
      </c>
      <c r="H49" s="12">
        <f>IFERROR(INDEX('Raw Data'!R:R,MATCH($B49,'Raw Data'!$C:$C,0)),"-")</f>
        <v>0</v>
      </c>
    </row>
    <row r="50" spans="1:8" ht="15" customHeight="1" x14ac:dyDescent="0.35">
      <c r="A50" s="15" t="str">
        <f>IFERROR(INDEX('Raw Data'!AC:AC,MATCH($B50,'Raw Data'!$C:$C,0)),"-")</f>
        <v>Dumper</v>
      </c>
      <c r="B50" s="7" t="s">
        <v>162</v>
      </c>
      <c r="C50" s="8">
        <f>IFERROR(INDEX('Raw Data'!W:W,MATCH($B50,'Raw Data'!$C:$C,0)),"-")</f>
        <v>9992.0599999999904</v>
      </c>
      <c r="D50" s="17">
        <f>IFERROR(INDEX('Raw Data'!X:X,MATCH($B50,'Raw Data'!$C:$C,0)),"-")</f>
        <v>18.527760229999998</v>
      </c>
      <c r="E50" s="17">
        <f>IFERROR(INDEX('Raw Data'!Y:Y,MATCH($B50,'Raw Data'!$C:$C,0)),"-")</f>
        <v>8952.6526510000003</v>
      </c>
      <c r="F50" s="10">
        <f>IFERROR(INDEX('Raw Data'!F:F,MATCH($B50,'Raw Data'!$C:$C,0)),"-")</f>
        <v>487.42479999999898</v>
      </c>
      <c r="G50" s="8">
        <f>IFERROR(INDEX('Raw Data'!U:U,MATCH($B50,'Raw Data'!$C:$C,0)),"-")</f>
        <v>30884</v>
      </c>
      <c r="H50" s="8">
        <f>IFERROR(INDEX('Raw Data'!R:R,MATCH($B50,'Raw Data'!$C:$C,0)),"-")</f>
        <v>0</v>
      </c>
    </row>
    <row r="51" spans="1:8" ht="15" customHeight="1" x14ac:dyDescent="0.35">
      <c r="A51" s="16" t="str">
        <f>IFERROR(INDEX('Raw Data'!AC:AC,MATCH($B51,'Raw Data'!$C:$C,0)),"-")</f>
        <v>Front End Loader</v>
      </c>
      <c r="B51" s="11" t="s">
        <v>183</v>
      </c>
      <c r="C51" s="12">
        <f>IFERROR(INDEX('Raw Data'!W:W,MATCH($B51,'Raw Data'!$C:$C,0)),"-")</f>
        <v>9975.81</v>
      </c>
      <c r="D51" s="18">
        <f>IFERROR(INDEX('Raw Data'!X:X,MATCH($B51,'Raw Data'!$C:$C,0)),"-")</f>
        <v>41.63551039</v>
      </c>
      <c r="E51" s="18">
        <f>IFERROR(INDEX('Raw Data'!Y:Y,MATCH($B51,'Raw Data'!$C:$C,0)),"-")</f>
        <v>9482.4708370000008</v>
      </c>
      <c r="F51" s="14">
        <f>IFERROR(INDEX('Raw Data'!F:F,MATCH($B51,'Raw Data'!$C:$C,0)),"-")</f>
        <v>230.14249999999899</v>
      </c>
      <c r="G51" s="12">
        <f>IFERROR(INDEX('Raw Data'!U:U,MATCH($B51,'Raw Data'!$C:$C,0)),"-")</f>
        <v>0</v>
      </c>
      <c r="H51" s="12">
        <f>IFERROR(INDEX('Raw Data'!R:R,MATCH($B51,'Raw Data'!$C:$C,0)),"-")</f>
        <v>0</v>
      </c>
    </row>
    <row r="52" spans="1:8" ht="15" customHeight="1" x14ac:dyDescent="0.35">
      <c r="A52" s="15" t="str">
        <f>IFERROR(INDEX('Raw Data'!AC:AC,MATCH($B52,'Raw Data'!$C:$C,0)),"-")</f>
        <v>Dumper</v>
      </c>
      <c r="B52" s="7" t="s">
        <v>158</v>
      </c>
      <c r="C52" s="8">
        <f>IFERROR(INDEX('Raw Data'!W:W,MATCH($B52,'Raw Data'!$C:$C,0)),"-")</f>
        <v>9972.4599999999991</v>
      </c>
      <c r="D52" s="17">
        <f>IFERROR(INDEX('Raw Data'!X:X,MATCH($B52,'Raw Data'!$C:$C,0)),"-")</f>
        <v>17.937918100000001</v>
      </c>
      <c r="E52" s="17">
        <f>IFERROR(INDEX('Raw Data'!Y:Y,MATCH($B52,'Raw Data'!$C:$C,0)),"-")</f>
        <v>9306.3641119999993</v>
      </c>
      <c r="F52" s="10">
        <f>IFERROR(INDEX('Raw Data'!F:F,MATCH($B52,'Raw Data'!$C:$C,0)),"-")</f>
        <v>527.998099999999</v>
      </c>
      <c r="G52" s="8">
        <f>IFERROR(INDEX('Raw Data'!U:U,MATCH($B52,'Raw Data'!$C:$C,0)),"-")</f>
        <v>29064</v>
      </c>
      <c r="H52" s="8">
        <f>IFERROR(INDEX('Raw Data'!R:R,MATCH($B52,'Raw Data'!$C:$C,0)),"-")</f>
        <v>0</v>
      </c>
    </row>
    <row r="53" spans="1:8" ht="15" customHeight="1" x14ac:dyDescent="0.35">
      <c r="A53" s="16" t="str">
        <f>IFERROR(INDEX('Raw Data'!AC:AC,MATCH($B53,'Raw Data'!$C:$C,0)),"-")</f>
        <v>Excavator</v>
      </c>
      <c r="B53" s="11" t="s">
        <v>201</v>
      </c>
      <c r="C53" s="12">
        <f>IFERROR(INDEX('Raw Data'!W:W,MATCH($B53,'Raw Data'!$C:$C,0)),"-")</f>
        <v>9950.68</v>
      </c>
      <c r="D53" s="18">
        <f>IFERROR(INDEX('Raw Data'!X:X,MATCH($B53,'Raw Data'!$C:$C,0)),"-")</f>
        <v>26.574462700000002</v>
      </c>
      <c r="E53" s="18">
        <f>IFERROR(INDEX('Raw Data'!Y:Y,MATCH($B53,'Raw Data'!$C:$C,0)),"-")</f>
        <v>9950.68</v>
      </c>
      <c r="F53" s="14">
        <f>IFERROR(INDEX('Raw Data'!F:F,MATCH($B53,'Raw Data'!$C:$C,0)),"-")</f>
        <v>391.71599999999899</v>
      </c>
      <c r="G53" s="12">
        <f>IFERROR(INDEX('Raw Data'!U:U,MATCH($B53,'Raw Data'!$C:$C,0)),"-")</f>
        <v>0</v>
      </c>
      <c r="H53" s="12">
        <f>IFERROR(INDEX('Raw Data'!R:R,MATCH($B53,'Raw Data'!$C:$C,0)),"-")</f>
        <v>0</v>
      </c>
    </row>
    <row r="54" spans="1:8" ht="15" customHeight="1" x14ac:dyDescent="0.35">
      <c r="A54" s="15" t="str">
        <f>IFERROR(INDEX('Raw Data'!AC:AC,MATCH($B54,'Raw Data'!$C:$C,0)),"-")</f>
        <v>Dumper</v>
      </c>
      <c r="B54" s="7" t="s">
        <v>167</v>
      </c>
      <c r="C54" s="8">
        <f>IFERROR(INDEX('Raw Data'!W:W,MATCH($B54,'Raw Data'!$C:$C,0)),"-")</f>
        <v>9947.5</v>
      </c>
      <c r="D54" s="17">
        <f>IFERROR(INDEX('Raw Data'!X:X,MATCH($B54,'Raw Data'!$C:$C,0)),"-")</f>
        <v>17.11436127</v>
      </c>
      <c r="E54" s="17">
        <f>IFERROR(INDEX('Raw Data'!Y:Y,MATCH($B54,'Raw Data'!$C:$C,0)),"-")</f>
        <v>9220.1516260000008</v>
      </c>
      <c r="F54" s="10">
        <f>IFERROR(INDEX('Raw Data'!F:F,MATCH($B54,'Raw Data'!$C:$C,0)),"-")</f>
        <v>551.36800000000005</v>
      </c>
      <c r="G54" s="8">
        <f>IFERROR(INDEX('Raw Data'!U:U,MATCH($B54,'Raw Data'!$C:$C,0)),"-")</f>
        <v>29652</v>
      </c>
      <c r="H54" s="8">
        <f>IFERROR(INDEX('Raw Data'!R:R,MATCH($B54,'Raw Data'!$C:$C,0)),"-")</f>
        <v>0</v>
      </c>
    </row>
    <row r="55" spans="1:8" ht="15" customHeight="1" x14ac:dyDescent="0.35">
      <c r="A55" s="16" t="str">
        <f>IFERROR(INDEX('Raw Data'!AC:AC,MATCH($B55,'Raw Data'!$C:$C,0)),"-")</f>
        <v>Front End Loader</v>
      </c>
      <c r="B55" s="11" t="s">
        <v>193</v>
      </c>
      <c r="C55" s="12">
        <f>IFERROR(INDEX('Raw Data'!W:W,MATCH($B55,'Raw Data'!$C:$C,0)),"-")</f>
        <v>9935.5299999999897</v>
      </c>
      <c r="D55" s="18">
        <f>IFERROR(INDEX('Raw Data'!X:X,MATCH($B55,'Raw Data'!$C:$C,0)),"-")</f>
        <v>23.058763410000001</v>
      </c>
      <c r="E55" s="18">
        <f>IFERROR(INDEX('Raw Data'!Y:Y,MATCH($B55,'Raw Data'!$C:$C,0)),"-")</f>
        <v>8908.2851489999994</v>
      </c>
      <c r="F55" s="14">
        <f>IFERROR(INDEX('Raw Data'!F:F,MATCH($B55,'Raw Data'!$C:$C,0)),"-")</f>
        <v>386.32969999999898</v>
      </c>
      <c r="G55" s="12">
        <f>IFERROR(INDEX('Raw Data'!U:U,MATCH($B55,'Raw Data'!$C:$C,0)),"-")</f>
        <v>0</v>
      </c>
      <c r="H55" s="12">
        <f>IFERROR(INDEX('Raw Data'!R:R,MATCH($B55,'Raw Data'!$C:$C,0)),"-")</f>
        <v>0</v>
      </c>
    </row>
    <row r="56" spans="1:8" ht="15" customHeight="1" x14ac:dyDescent="0.35">
      <c r="A56" s="15" t="str">
        <f>IFERROR(INDEX('Raw Data'!AC:AC,MATCH($B56,'Raw Data'!$C:$C,0)),"-")</f>
        <v>Dumper</v>
      </c>
      <c r="B56" s="7" t="s">
        <v>164</v>
      </c>
      <c r="C56" s="8">
        <f>IFERROR(INDEX('Raw Data'!W:W,MATCH($B56,'Raw Data'!$C:$C,0)),"-")</f>
        <v>9931.64</v>
      </c>
      <c r="D56" s="17">
        <f>IFERROR(INDEX('Raw Data'!X:X,MATCH($B56,'Raw Data'!$C:$C,0)),"-")</f>
        <v>16.39449909</v>
      </c>
      <c r="E56" s="17">
        <f>IFERROR(INDEX('Raw Data'!Y:Y,MATCH($B56,'Raw Data'!$C:$C,0)),"-")</f>
        <v>9419.4627330000003</v>
      </c>
      <c r="F56" s="10">
        <f>IFERROR(INDEX('Raw Data'!F:F,MATCH($B56,'Raw Data'!$C:$C,0)),"-")</f>
        <v>584.50149999999996</v>
      </c>
      <c r="G56" s="8">
        <f>IFERROR(INDEX('Raw Data'!U:U,MATCH($B56,'Raw Data'!$C:$C,0)),"-")</f>
        <v>29344</v>
      </c>
      <c r="H56" s="8">
        <f>IFERROR(INDEX('Raw Data'!R:R,MATCH($B56,'Raw Data'!$C:$C,0)),"-")</f>
        <v>0</v>
      </c>
    </row>
    <row r="57" spans="1:8" ht="15" customHeight="1" x14ac:dyDescent="0.35">
      <c r="A57" s="16" t="str">
        <f>IFERROR(INDEX('Raw Data'!AC:AC,MATCH($B57,'Raw Data'!$C:$C,0)),"-")</f>
        <v>Front End Loader</v>
      </c>
      <c r="B57" s="11" t="s">
        <v>196</v>
      </c>
      <c r="C57" s="12">
        <f>IFERROR(INDEX('Raw Data'!W:W,MATCH($B57,'Raw Data'!$C:$C,0)),"-")</f>
        <v>9830.2199999999993</v>
      </c>
      <c r="D57" s="18">
        <f>IFERROR(INDEX('Raw Data'!X:X,MATCH($B57,'Raw Data'!$C:$C,0)),"-")</f>
        <v>21.299320470000001</v>
      </c>
      <c r="E57" s="18">
        <f>IFERROR(INDEX('Raw Data'!Y:Y,MATCH($B57,'Raw Data'!$C:$C,0)),"-")</f>
        <v>8951.6954480000004</v>
      </c>
      <c r="F57" s="14">
        <f>IFERROR(INDEX('Raw Data'!F:F,MATCH($B57,'Raw Data'!$C:$C,0)),"-")</f>
        <v>421.90439999999899</v>
      </c>
      <c r="G57" s="12">
        <f>IFERROR(INDEX('Raw Data'!U:U,MATCH($B57,'Raw Data'!$C:$C,0)),"-")</f>
        <v>0</v>
      </c>
      <c r="H57" s="12">
        <f>IFERROR(INDEX('Raw Data'!R:R,MATCH($B57,'Raw Data'!$C:$C,0)),"-")</f>
        <v>0</v>
      </c>
    </row>
    <row r="58" spans="1:8" ht="15" customHeight="1" x14ac:dyDescent="0.35">
      <c r="A58" s="15" t="str">
        <f>IFERROR(INDEX('Raw Data'!AC:AC,MATCH($B58,'Raw Data'!$C:$C,0)),"-")</f>
        <v>Dumper</v>
      </c>
      <c r="B58" s="7" t="s">
        <v>159</v>
      </c>
      <c r="C58" s="8">
        <f>IFERROR(INDEX('Raw Data'!W:W,MATCH($B58,'Raw Data'!$C:$C,0)),"-")</f>
        <v>9638.48</v>
      </c>
      <c r="D58" s="17">
        <f>IFERROR(INDEX('Raw Data'!X:X,MATCH($B58,'Raw Data'!$C:$C,0)),"-")</f>
        <v>15.92552815</v>
      </c>
      <c r="E58" s="17">
        <f>IFERROR(INDEX('Raw Data'!Y:Y,MATCH($B58,'Raw Data'!$C:$C,0)),"-")</f>
        <v>9073.2702649999992</v>
      </c>
      <c r="F58" s="10">
        <f>IFERROR(INDEX('Raw Data'!F:F,MATCH($B58,'Raw Data'!$C:$C,0)),"-")</f>
        <v>579.72429999999997</v>
      </c>
      <c r="G58" s="8">
        <f>IFERROR(INDEX('Raw Data'!U:U,MATCH($B58,'Raw Data'!$C:$C,0)),"-")</f>
        <v>30632</v>
      </c>
      <c r="H58" s="8">
        <f>IFERROR(INDEX('Raw Data'!R:R,MATCH($B58,'Raw Data'!$C:$C,0)),"-")</f>
        <v>0</v>
      </c>
    </row>
    <row r="59" spans="1:8" ht="15" customHeight="1" x14ac:dyDescent="0.35">
      <c r="A59" s="16" t="str">
        <f>IFERROR(INDEX('Raw Data'!AC:AC,MATCH($B59,'Raw Data'!$C:$C,0)),"-")</f>
        <v>Front End Loader</v>
      </c>
      <c r="B59" s="11" t="s">
        <v>187</v>
      </c>
      <c r="C59" s="12">
        <f>IFERROR(INDEX('Raw Data'!W:W,MATCH($B59,'Raw Data'!$C:$C,0)),"-")</f>
        <v>9543.2799999999897</v>
      </c>
      <c r="D59" s="18">
        <f>IFERROR(INDEX('Raw Data'!X:X,MATCH($B59,'Raw Data'!$C:$C,0)),"-")</f>
        <v>37.536146610000003</v>
      </c>
      <c r="E59" s="18">
        <f>IFERROR(INDEX('Raw Data'!Y:Y,MATCH($B59,'Raw Data'!$C:$C,0)),"-")</f>
        <v>9143.1934739999997</v>
      </c>
      <c r="F59" s="14">
        <f>IFERROR(INDEX('Raw Data'!F:F,MATCH($B59,'Raw Data'!$C:$C,0)),"-")</f>
        <v>255.30159999999901</v>
      </c>
      <c r="G59" s="12">
        <f>IFERROR(INDEX('Raw Data'!U:U,MATCH($B59,'Raw Data'!$C:$C,0)),"-")</f>
        <v>0</v>
      </c>
      <c r="H59" s="12">
        <f>IFERROR(INDEX('Raw Data'!R:R,MATCH($B59,'Raw Data'!$C:$C,0)),"-")</f>
        <v>0</v>
      </c>
    </row>
    <row r="60" spans="1:8" ht="15" customHeight="1" x14ac:dyDescent="0.35">
      <c r="A60" s="15" t="str">
        <f>IFERROR(INDEX('Raw Data'!AC:AC,MATCH($B60,'Raw Data'!$C:$C,0)),"-")</f>
        <v>Excavator</v>
      </c>
      <c r="B60" s="7" t="s">
        <v>205</v>
      </c>
      <c r="C60" s="8">
        <f>IFERROR(INDEX('Raw Data'!W:W,MATCH($B60,'Raw Data'!$C:$C,0)),"-")</f>
        <v>9457.3899999999903</v>
      </c>
      <c r="D60" s="17">
        <f>IFERROR(INDEX('Raw Data'!X:X,MATCH($B60,'Raw Data'!$C:$C,0)),"-")</f>
        <v>32.965845139999999</v>
      </c>
      <c r="E60" s="17">
        <f>IFERROR(INDEX('Raw Data'!Y:Y,MATCH($B60,'Raw Data'!$C:$C,0)),"-")</f>
        <v>9457.3899999999903</v>
      </c>
      <c r="F60" s="10">
        <f>IFERROR(INDEX('Raw Data'!F:F,MATCH($B60,'Raw Data'!$C:$C,0)),"-")</f>
        <v>297.22849999999897</v>
      </c>
      <c r="G60" s="8">
        <f>IFERROR(INDEX('Raw Data'!U:U,MATCH($B60,'Raw Data'!$C:$C,0)),"-")</f>
        <v>0</v>
      </c>
      <c r="H60" s="8">
        <f>IFERROR(INDEX('Raw Data'!R:R,MATCH($B60,'Raw Data'!$C:$C,0)),"-")</f>
        <v>0</v>
      </c>
    </row>
    <row r="61" spans="1:8" ht="15" customHeight="1" x14ac:dyDescent="0.35">
      <c r="A61" s="16" t="str">
        <f>IFERROR(INDEX('Raw Data'!AC:AC,MATCH($B61,'Raw Data'!$C:$C,0)),"-")</f>
        <v>Dumper</v>
      </c>
      <c r="B61" s="11" t="s">
        <v>166</v>
      </c>
      <c r="C61" s="12">
        <f>IFERROR(INDEX('Raw Data'!W:W,MATCH($B61,'Raw Data'!$C:$C,0)),"-")</f>
        <v>9301.65</v>
      </c>
      <c r="D61" s="18">
        <f>IFERROR(INDEX('Raw Data'!X:X,MATCH($B61,'Raw Data'!$C:$C,0)),"-")</f>
        <v>15.370735870000001</v>
      </c>
      <c r="E61" s="18">
        <f>IFERROR(INDEX('Raw Data'!Y:Y,MATCH($B61,'Raw Data'!$C:$C,0)),"-")</f>
        <v>8672.9161970000005</v>
      </c>
      <c r="F61" s="14">
        <f>IFERROR(INDEX('Raw Data'!F:F,MATCH($B61,'Raw Data'!$C:$C,0)),"-")</f>
        <v>575.19849999999997</v>
      </c>
      <c r="G61" s="12">
        <f>IFERROR(INDEX('Raw Data'!U:U,MATCH($B61,'Raw Data'!$C:$C,0)),"-")</f>
        <v>28756</v>
      </c>
      <c r="H61" s="12">
        <f>IFERROR(INDEX('Raw Data'!R:R,MATCH($B61,'Raw Data'!$C:$C,0)),"-")</f>
        <v>0</v>
      </c>
    </row>
    <row r="62" spans="1:8" ht="15" customHeight="1" x14ac:dyDescent="0.35">
      <c r="A62" s="15" t="str">
        <f>IFERROR(INDEX('Raw Data'!AC:AC,MATCH($B62,'Raw Data'!$C:$C,0)),"-")</f>
        <v>Dumper</v>
      </c>
      <c r="B62" s="7" t="s">
        <v>163</v>
      </c>
      <c r="C62" s="8">
        <f>IFERROR(INDEX('Raw Data'!W:W,MATCH($B62,'Raw Data'!$C:$C,0)),"-")</f>
        <v>9220.76</v>
      </c>
      <c r="D62" s="17">
        <f>IFERROR(INDEX('Raw Data'!X:X,MATCH($B62,'Raw Data'!$C:$C,0)),"-")</f>
        <v>16.244537300000001</v>
      </c>
      <c r="E62" s="17">
        <f>IFERROR(INDEX('Raw Data'!Y:Y,MATCH($B62,'Raw Data'!$C:$C,0)),"-")</f>
        <v>8606.7051190000002</v>
      </c>
      <c r="F62" s="10">
        <f>IFERROR(INDEX('Raw Data'!F:F,MATCH($B62,'Raw Data'!$C:$C,0)),"-")</f>
        <v>540.61210000000005</v>
      </c>
      <c r="G62" s="8">
        <f>IFERROR(INDEX('Raw Data'!U:U,MATCH($B62,'Raw Data'!$C:$C,0)),"-")</f>
        <v>28700</v>
      </c>
      <c r="H62" s="8">
        <f>IFERROR(INDEX('Raw Data'!R:R,MATCH($B62,'Raw Data'!$C:$C,0)),"-")</f>
        <v>0</v>
      </c>
    </row>
    <row r="63" spans="1:8" ht="15" customHeight="1" x14ac:dyDescent="0.35">
      <c r="A63" s="16" t="str">
        <f>IFERROR(INDEX('Raw Data'!AC:AC,MATCH($B63,'Raw Data'!$C:$C,0)),"-")</f>
        <v>Dumper</v>
      </c>
      <c r="B63" s="11" t="s">
        <v>165</v>
      </c>
      <c r="C63" s="12">
        <f>IFERROR(INDEX('Raw Data'!W:W,MATCH($B63,'Raw Data'!$C:$C,0)),"-")</f>
        <v>9142.7599999999893</v>
      </c>
      <c r="D63" s="18">
        <f>IFERROR(INDEX('Raw Data'!X:X,MATCH($B63,'Raw Data'!$C:$C,0)),"-")</f>
        <v>16.6925591</v>
      </c>
      <c r="E63" s="18">
        <f>IFERROR(INDEX('Raw Data'!Y:Y,MATCH($B63,'Raw Data'!$C:$C,0)),"-")</f>
        <v>8607.7401109999992</v>
      </c>
      <c r="F63" s="14">
        <f>IFERROR(INDEX('Raw Data'!F:F,MATCH($B63,'Raw Data'!$C:$C,0)),"-")</f>
        <v>526.26999999999896</v>
      </c>
      <c r="G63" s="12">
        <f>IFERROR(INDEX('Raw Data'!U:U,MATCH($B63,'Raw Data'!$C:$C,0)),"-")</f>
        <v>27720</v>
      </c>
      <c r="H63" s="12">
        <f>IFERROR(INDEX('Raw Data'!R:R,MATCH($B63,'Raw Data'!$C:$C,0)),"-")</f>
        <v>0</v>
      </c>
    </row>
    <row r="64" spans="1:8" ht="15" customHeight="1" x14ac:dyDescent="0.35">
      <c r="A64" s="15" t="str">
        <f>IFERROR(INDEX('Raw Data'!AC:AC,MATCH($B64,'Raw Data'!$C:$C,0)),"-")</f>
        <v>Dumper</v>
      </c>
      <c r="B64" s="7" t="s">
        <v>152</v>
      </c>
      <c r="C64" s="8">
        <f>IFERROR(INDEX('Raw Data'!W:W,MATCH($B64,'Raw Data'!$C:$C,0)),"-")</f>
        <v>8560.83</v>
      </c>
      <c r="D64" s="17">
        <f>IFERROR(INDEX('Raw Data'!X:X,MATCH($B64,'Raw Data'!$C:$C,0)),"-")</f>
        <v>14.994960710000001</v>
      </c>
      <c r="E64" s="17">
        <f>IFERROR(INDEX('Raw Data'!Y:Y,MATCH($B64,'Raw Data'!$C:$C,0)),"-")</f>
        <v>8211.1445170000006</v>
      </c>
      <c r="F64" s="10">
        <f>IFERROR(INDEX('Raw Data'!F:F,MATCH($B64,'Raw Data'!$C:$C,0)),"-")</f>
        <v>557.59259999999995</v>
      </c>
      <c r="G64" s="8">
        <f>IFERROR(INDEX('Raw Data'!U:U,MATCH($B64,'Raw Data'!$C:$C,0)),"-")</f>
        <v>24200</v>
      </c>
      <c r="H64" s="8">
        <f>IFERROR(INDEX('Raw Data'!R:R,MATCH($B64,'Raw Data'!$C:$C,0)),"-")</f>
        <v>0</v>
      </c>
    </row>
    <row r="65" spans="1:8" ht="15" customHeight="1" x14ac:dyDescent="0.35">
      <c r="A65" s="16" t="str">
        <f>IFERROR(INDEX('Raw Data'!AC:AC,MATCH($B65,'Raw Data'!$C:$C,0)),"-")</f>
        <v>Dumper</v>
      </c>
      <c r="B65" s="11" t="s">
        <v>149</v>
      </c>
      <c r="C65" s="12">
        <f>IFERROR(INDEX('Raw Data'!W:W,MATCH($B65,'Raw Data'!$C:$C,0)),"-")</f>
        <v>8525.17</v>
      </c>
      <c r="D65" s="18">
        <f>IFERROR(INDEX('Raw Data'!X:X,MATCH($B65,'Raw Data'!$C:$C,0)),"-")</f>
        <v>14.30456933</v>
      </c>
      <c r="E65" s="18">
        <f>IFERROR(INDEX('Raw Data'!Y:Y,MATCH($B65,'Raw Data'!$C:$C,0)),"-")</f>
        <v>7832.474091</v>
      </c>
      <c r="F65" s="14">
        <f>IFERROR(INDEX('Raw Data'!F:F,MATCH($B65,'Raw Data'!$C:$C,0)),"-")</f>
        <v>554.35170000000005</v>
      </c>
      <c r="G65" s="12">
        <f>IFERROR(INDEX('Raw Data'!U:U,MATCH($B65,'Raw Data'!$C:$C,0)),"-")</f>
        <v>23600</v>
      </c>
      <c r="H65" s="12">
        <f>IFERROR(INDEX('Raw Data'!R:R,MATCH($B65,'Raw Data'!$C:$C,0)),"-")</f>
        <v>0</v>
      </c>
    </row>
    <row r="66" spans="1:8" ht="15" customHeight="1" x14ac:dyDescent="0.35">
      <c r="A66" s="15" t="str">
        <f>IFERROR(INDEX('Raw Data'!AC:AC,MATCH($B66,'Raw Data'!$C:$C,0)),"-")</f>
        <v>Dumper</v>
      </c>
      <c r="B66" s="7" t="s">
        <v>150</v>
      </c>
      <c r="C66" s="8">
        <f>IFERROR(INDEX('Raw Data'!W:W,MATCH($B66,'Raw Data'!$C:$C,0)),"-")</f>
        <v>8378.91</v>
      </c>
      <c r="D66" s="17">
        <f>IFERROR(INDEX('Raw Data'!X:X,MATCH($B66,'Raw Data'!$C:$C,0)),"-")</f>
        <v>14.48620114</v>
      </c>
      <c r="E66" s="17">
        <f>IFERROR(INDEX('Raw Data'!Y:Y,MATCH($B66,'Raw Data'!$C:$C,0)),"-")</f>
        <v>7986.5251669999998</v>
      </c>
      <c r="F66" s="10">
        <f>IFERROR(INDEX('Raw Data'!F:F,MATCH($B66,'Raw Data'!$C:$C,0)),"-")</f>
        <v>561.81629999999996</v>
      </c>
      <c r="G66" s="8">
        <f>IFERROR(INDEX('Raw Data'!U:U,MATCH($B66,'Raw Data'!$C:$C,0)),"-")</f>
        <v>24925</v>
      </c>
      <c r="H66" s="8">
        <f>IFERROR(INDEX('Raw Data'!R:R,MATCH($B66,'Raw Data'!$C:$C,0)),"-")</f>
        <v>0</v>
      </c>
    </row>
    <row r="67" spans="1:8" ht="15" customHeight="1" x14ac:dyDescent="0.35">
      <c r="A67" s="16" t="str">
        <f>IFERROR(INDEX('Raw Data'!AC:AC,MATCH($B67,'Raw Data'!$C:$C,0)),"-")</f>
        <v>Front End Loader</v>
      </c>
      <c r="B67" s="11" t="s">
        <v>191</v>
      </c>
      <c r="C67" s="12">
        <f>IFERROR(INDEX('Raw Data'!W:W,MATCH($B67,'Raw Data'!$C:$C,0)),"-")</f>
        <v>8108.61</v>
      </c>
      <c r="D67" s="18">
        <f>IFERROR(INDEX('Raw Data'!X:X,MATCH($B67,'Raw Data'!$C:$C,0)),"-")</f>
        <v>26.446023579999999</v>
      </c>
      <c r="E67" s="18">
        <f>IFERROR(INDEX('Raw Data'!Y:Y,MATCH($B67,'Raw Data'!$C:$C,0)),"-")</f>
        <v>7926.2329319999999</v>
      </c>
      <c r="F67" s="14">
        <f>IFERROR(INDEX('Raw Data'!F:F,MATCH($B67,'Raw Data'!$C:$C,0)),"-")</f>
        <v>306.018699999999</v>
      </c>
      <c r="G67" s="12">
        <f>IFERROR(INDEX('Raw Data'!U:U,MATCH($B67,'Raw Data'!$C:$C,0)),"-")</f>
        <v>0</v>
      </c>
      <c r="H67" s="12">
        <f>IFERROR(INDEX('Raw Data'!R:R,MATCH($B67,'Raw Data'!$C:$C,0)),"-")</f>
        <v>0</v>
      </c>
    </row>
    <row r="68" spans="1:8" ht="15" customHeight="1" x14ac:dyDescent="0.35">
      <c r="A68" s="15" t="str">
        <f>IFERROR(INDEX('Raw Data'!AC:AC,MATCH($B68,'Raw Data'!$C:$C,0)),"-")</f>
        <v>Dumper</v>
      </c>
      <c r="B68" s="7" t="s">
        <v>129</v>
      </c>
      <c r="C68" s="8">
        <f>IFERROR(INDEX('Raw Data'!W:W,MATCH($B68,'Raw Data'!$C:$C,0)),"-")</f>
        <v>8104.03</v>
      </c>
      <c r="D68" s="17">
        <f>IFERROR(INDEX('Raw Data'!X:X,MATCH($B68,'Raw Data'!$C:$C,0)),"-")</f>
        <v>15.24329365</v>
      </c>
      <c r="E68" s="17">
        <f>IFERROR(INDEX('Raw Data'!Y:Y,MATCH($B68,'Raw Data'!$C:$C,0)),"-")</f>
        <v>7590.1328409999996</v>
      </c>
      <c r="F68" s="10">
        <f>IFERROR(INDEX('Raw Data'!F:F,MATCH($B68,'Raw Data'!$C:$C,0)),"-")</f>
        <v>504.356999999999</v>
      </c>
      <c r="G68" s="8">
        <f>IFERROR(INDEX('Raw Data'!U:U,MATCH($B68,'Raw Data'!$C:$C,0)),"-")</f>
        <v>24875</v>
      </c>
      <c r="H68" s="8">
        <f>IFERROR(INDEX('Raw Data'!R:R,MATCH($B68,'Raw Data'!$C:$C,0)),"-")</f>
        <v>0</v>
      </c>
    </row>
    <row r="69" spans="1:8" ht="15" customHeight="1" x14ac:dyDescent="0.35">
      <c r="A69" s="16" t="str">
        <f>IFERROR(INDEX('Raw Data'!AC:AC,MATCH($B69,'Raw Data'!$C:$C,0)),"-")</f>
        <v>Dumper</v>
      </c>
      <c r="B69" s="11" t="s">
        <v>153</v>
      </c>
      <c r="C69" s="12">
        <f>IFERROR(INDEX('Raw Data'!W:W,MATCH($B69,'Raw Data'!$C:$C,0)),"-")</f>
        <v>8099.49</v>
      </c>
      <c r="D69" s="18">
        <f>IFERROR(INDEX('Raw Data'!X:X,MATCH($B69,'Raw Data'!$C:$C,0)),"-")</f>
        <v>14.77577445</v>
      </c>
      <c r="E69" s="18">
        <f>IFERROR(INDEX('Raw Data'!Y:Y,MATCH($B69,'Raw Data'!$C:$C,0)),"-")</f>
        <v>7621.2144340000004</v>
      </c>
      <c r="F69" s="14">
        <f>IFERROR(INDEX('Raw Data'!F:F,MATCH($B69,'Raw Data'!$C:$C,0)),"-")</f>
        <v>525.20179999999903</v>
      </c>
      <c r="G69" s="12">
        <f>IFERROR(INDEX('Raw Data'!U:U,MATCH($B69,'Raw Data'!$C:$C,0)),"-")</f>
        <v>22925</v>
      </c>
      <c r="H69" s="12">
        <f>IFERROR(INDEX('Raw Data'!R:R,MATCH($B69,'Raw Data'!$C:$C,0)),"-")</f>
        <v>0</v>
      </c>
    </row>
    <row r="70" spans="1:8" ht="15" customHeight="1" x14ac:dyDescent="0.35">
      <c r="A70" s="15" t="str">
        <f>IFERROR(INDEX('Raw Data'!AC:AC,MATCH($B70,'Raw Data'!$C:$C,0)),"-")</f>
        <v>Dumper</v>
      </c>
      <c r="B70" s="7" t="s">
        <v>143</v>
      </c>
      <c r="C70" s="8">
        <f>IFERROR(INDEX('Raw Data'!W:W,MATCH($B70,'Raw Data'!$C:$C,0)),"-")</f>
        <v>7944.5599999999904</v>
      </c>
      <c r="D70" s="17">
        <f>IFERROR(INDEX('Raw Data'!X:X,MATCH($B70,'Raw Data'!$C:$C,0)),"-")</f>
        <v>14.198613229999999</v>
      </c>
      <c r="E70" s="17">
        <f>IFERROR(INDEX('Raw Data'!Y:Y,MATCH($B70,'Raw Data'!$C:$C,0)),"-")</f>
        <v>7543.7686450000001</v>
      </c>
      <c r="F70" s="10">
        <f>IFERROR(INDEX('Raw Data'!F:F,MATCH($B70,'Raw Data'!$C:$C,0)),"-")</f>
        <v>540.16970000000003</v>
      </c>
      <c r="G70" s="8">
        <f>IFERROR(INDEX('Raw Data'!U:U,MATCH($B70,'Raw Data'!$C:$C,0)),"-")</f>
        <v>22275</v>
      </c>
      <c r="H70" s="8">
        <f>IFERROR(INDEX('Raw Data'!R:R,MATCH($B70,'Raw Data'!$C:$C,0)),"-")</f>
        <v>0</v>
      </c>
    </row>
    <row r="71" spans="1:8" ht="15" customHeight="1" x14ac:dyDescent="0.35">
      <c r="A71" s="16" t="str">
        <f>IFERROR(INDEX('Raw Data'!AC:AC,MATCH($B71,'Raw Data'!$C:$C,0)),"-")</f>
        <v>Dumper</v>
      </c>
      <c r="B71" s="11" t="s">
        <v>140</v>
      </c>
      <c r="C71" s="12">
        <f>IFERROR(INDEX('Raw Data'!W:W,MATCH($B71,'Raw Data'!$C:$C,0)),"-")</f>
        <v>7943.83</v>
      </c>
      <c r="D71" s="18">
        <f>IFERROR(INDEX('Raw Data'!X:X,MATCH($B71,'Raw Data'!$C:$C,0)),"-")</f>
        <v>14.56187684</v>
      </c>
      <c r="E71" s="18">
        <f>IFERROR(INDEX('Raw Data'!Y:Y,MATCH($B71,'Raw Data'!$C:$C,0)),"-")</f>
        <v>7391.1965810000002</v>
      </c>
      <c r="F71" s="14">
        <f>IFERROR(INDEX('Raw Data'!F:F,MATCH($B71,'Raw Data'!$C:$C,0)),"-")</f>
        <v>517.12869999999998</v>
      </c>
      <c r="G71" s="12">
        <f>IFERROR(INDEX('Raw Data'!U:U,MATCH($B71,'Raw Data'!$C:$C,0)),"-")</f>
        <v>20850</v>
      </c>
      <c r="H71" s="12">
        <f>IFERROR(INDEX('Raw Data'!R:R,MATCH($B71,'Raw Data'!$C:$C,0)),"-")</f>
        <v>0</v>
      </c>
    </row>
    <row r="72" spans="1:8" ht="15" customHeight="1" x14ac:dyDescent="0.35">
      <c r="A72" s="15" t="str">
        <f>IFERROR(INDEX('Raw Data'!AC:AC,MATCH($B72,'Raw Data'!$C:$C,0)),"-")</f>
        <v>Dumper</v>
      </c>
      <c r="B72" s="7" t="s">
        <v>145</v>
      </c>
      <c r="C72" s="8">
        <f>IFERROR(INDEX('Raw Data'!W:W,MATCH($B72,'Raw Data'!$C:$C,0)),"-")</f>
        <v>7861.67</v>
      </c>
      <c r="D72" s="17">
        <f>IFERROR(INDEX('Raw Data'!X:X,MATCH($B72,'Raw Data'!$C:$C,0)),"-")</f>
        <v>15.11929688</v>
      </c>
      <c r="E72" s="17">
        <f>IFERROR(INDEX('Raw Data'!Y:Y,MATCH($B72,'Raw Data'!$C:$C,0)),"-")</f>
        <v>7399.8072309999998</v>
      </c>
      <c r="F72" s="10">
        <f>IFERROR(INDEX('Raw Data'!F:F,MATCH($B72,'Raw Data'!$C:$C,0)),"-")</f>
        <v>497.41930000000002</v>
      </c>
      <c r="G72" s="8">
        <f>IFERROR(INDEX('Raw Data'!U:U,MATCH($B72,'Raw Data'!$C:$C,0)),"-")</f>
        <v>22950</v>
      </c>
      <c r="H72" s="8">
        <f>IFERROR(INDEX('Raw Data'!R:R,MATCH($B72,'Raw Data'!$C:$C,0)),"-")</f>
        <v>0</v>
      </c>
    </row>
    <row r="73" spans="1:8" ht="15" customHeight="1" x14ac:dyDescent="0.35">
      <c r="A73" s="16" t="str">
        <f>IFERROR(INDEX('Raw Data'!AC:AC,MATCH($B73,'Raw Data'!$C:$C,0)),"-")</f>
        <v>Dumper</v>
      </c>
      <c r="B73" s="11" t="s">
        <v>142</v>
      </c>
      <c r="C73" s="12">
        <f>IFERROR(INDEX('Raw Data'!W:W,MATCH($B73,'Raw Data'!$C:$C,0)),"-")</f>
        <v>7858.5199999999904</v>
      </c>
      <c r="D73" s="18">
        <f>IFERROR(INDEX('Raw Data'!X:X,MATCH($B73,'Raw Data'!$C:$C,0)),"-")</f>
        <v>14.59353348</v>
      </c>
      <c r="E73" s="18">
        <f>IFERROR(INDEX('Raw Data'!Y:Y,MATCH($B73,'Raw Data'!$C:$C,0)),"-")</f>
        <v>6891.2372519999999</v>
      </c>
      <c r="F73" s="14">
        <f>IFERROR(INDEX('Raw Data'!F:F,MATCH($B73,'Raw Data'!$C:$C,0)),"-")</f>
        <v>474.6694</v>
      </c>
      <c r="G73" s="12">
        <f>IFERROR(INDEX('Raw Data'!U:U,MATCH($B73,'Raw Data'!$C:$C,0)),"-")</f>
        <v>22425</v>
      </c>
      <c r="H73" s="12">
        <f>IFERROR(INDEX('Raw Data'!R:R,MATCH($B73,'Raw Data'!$C:$C,0)),"-")</f>
        <v>0</v>
      </c>
    </row>
    <row r="74" spans="1:8" ht="15" customHeight="1" x14ac:dyDescent="0.35">
      <c r="A74" s="15" t="str">
        <f>IFERROR(INDEX('Raw Data'!AC:AC,MATCH($B74,'Raw Data'!$C:$C,0)),"-")</f>
        <v>Dumper</v>
      </c>
      <c r="B74" s="7" t="s">
        <v>146</v>
      </c>
      <c r="C74" s="8">
        <f>IFERROR(INDEX('Raw Data'!W:W,MATCH($B74,'Raw Data'!$C:$C,0)),"-")</f>
        <v>7764.7599999999902</v>
      </c>
      <c r="D74" s="17">
        <f>IFERROR(INDEX('Raw Data'!X:X,MATCH($B74,'Raw Data'!$C:$C,0)),"-")</f>
        <v>13.49333992</v>
      </c>
      <c r="E74" s="17">
        <f>IFERROR(INDEX('Raw Data'!Y:Y,MATCH($B74,'Raw Data'!$C:$C,0)),"-")</f>
        <v>7271.6310498420899</v>
      </c>
      <c r="F74" s="10">
        <f>IFERROR(INDEX('Raw Data'!F:F,MATCH($B74,'Raw Data'!$C:$C,0)),"-")</f>
        <v>547.65619999999899</v>
      </c>
      <c r="G74" s="8">
        <f>IFERROR(INDEX('Raw Data'!U:U,MATCH($B74,'Raw Data'!$C:$C,0)),"-")</f>
        <v>24300</v>
      </c>
      <c r="H74" s="8">
        <f>IFERROR(INDEX('Raw Data'!R:R,MATCH($B74,'Raw Data'!$C:$C,0)),"-")</f>
        <v>0</v>
      </c>
    </row>
    <row r="75" spans="1:8" ht="15" customHeight="1" x14ac:dyDescent="0.35">
      <c r="A75" s="16" t="str">
        <f>IFERROR(INDEX('Raw Data'!AC:AC,MATCH($B75,'Raw Data'!$C:$C,0)),"-")</f>
        <v>Dumper</v>
      </c>
      <c r="B75" s="11" t="s">
        <v>110</v>
      </c>
      <c r="C75" s="12">
        <f>IFERROR(INDEX('Raw Data'!W:W,MATCH($B75,'Raw Data'!$C:$C,0)),"-")</f>
        <v>7625.29</v>
      </c>
      <c r="D75" s="18">
        <f>IFERROR(INDEX('Raw Data'!X:X,MATCH($B75,'Raw Data'!$C:$C,0)),"-")</f>
        <v>14.25317955</v>
      </c>
      <c r="E75" s="18">
        <f>IFERROR(INDEX('Raw Data'!Y:Y,MATCH($B75,'Raw Data'!$C:$C,0)),"-")</f>
        <v>7161.9077301838297</v>
      </c>
      <c r="F75" s="14">
        <f>IFERROR(INDEX('Raw Data'!F:F,MATCH($B75,'Raw Data'!$C:$C,0)),"-")</f>
        <v>512.488599999999</v>
      </c>
      <c r="G75" s="12">
        <f>IFERROR(INDEX('Raw Data'!U:U,MATCH($B75,'Raw Data'!$C:$C,0)),"-")</f>
        <v>25025</v>
      </c>
      <c r="H75" s="12">
        <f>IFERROR(INDEX('Raw Data'!R:R,MATCH($B75,'Raw Data'!$C:$C,0)),"-")</f>
        <v>0</v>
      </c>
    </row>
    <row r="76" spans="1:8" ht="15" customHeight="1" x14ac:dyDescent="0.35">
      <c r="A76" s="15" t="str">
        <f>IFERROR(INDEX('Raw Data'!AC:AC,MATCH($B76,'Raw Data'!$C:$C,0)),"-")</f>
        <v>Dumper</v>
      </c>
      <c r="B76" s="7" t="s">
        <v>151</v>
      </c>
      <c r="C76" s="8">
        <f>IFERROR(INDEX('Raw Data'!W:W,MATCH($B76,'Raw Data'!$C:$C,0)),"-")</f>
        <v>7605.7699999999904</v>
      </c>
      <c r="D76" s="17">
        <f>IFERROR(INDEX('Raw Data'!X:X,MATCH($B76,'Raw Data'!$C:$C,0)),"-")</f>
        <v>16.363166570000001</v>
      </c>
      <c r="E76" s="17">
        <f>IFERROR(INDEX('Raw Data'!Y:Y,MATCH($B76,'Raw Data'!$C:$C,0)),"-")</f>
        <v>7091.2416810000004</v>
      </c>
      <c r="F76" s="10">
        <f>IFERROR(INDEX('Raw Data'!F:F,MATCH($B76,'Raw Data'!$C:$C,0)),"-")</f>
        <v>442.02779999999899</v>
      </c>
      <c r="G76" s="8">
        <f>IFERROR(INDEX('Raw Data'!U:U,MATCH($B76,'Raw Data'!$C:$C,0)),"-")</f>
        <v>20950</v>
      </c>
      <c r="H76" s="8">
        <f>IFERROR(INDEX('Raw Data'!R:R,MATCH($B76,'Raw Data'!$C:$C,0)),"-")</f>
        <v>0</v>
      </c>
    </row>
    <row r="77" spans="1:8" ht="15" customHeight="1" x14ac:dyDescent="0.35">
      <c r="A77" s="16" t="str">
        <f>IFERROR(INDEX('Raw Data'!AC:AC,MATCH($B77,'Raw Data'!$C:$C,0)),"-")</f>
        <v>Dumper</v>
      </c>
      <c r="B77" s="11" t="s">
        <v>136</v>
      </c>
      <c r="C77" s="12">
        <f>IFERROR(INDEX('Raw Data'!W:W,MATCH($B77,'Raw Data'!$C:$C,0)),"-")</f>
        <v>7553.03</v>
      </c>
      <c r="D77" s="18">
        <f>IFERROR(INDEX('Raw Data'!X:X,MATCH($B77,'Raw Data'!$C:$C,0)),"-")</f>
        <v>13.362554039999999</v>
      </c>
      <c r="E77" s="18">
        <f>IFERROR(INDEX('Raw Data'!Y:Y,MATCH($B77,'Raw Data'!$C:$C,0)),"-")</f>
        <v>6944.3603190000003</v>
      </c>
      <c r="F77" s="14">
        <f>IFERROR(INDEX('Raw Data'!F:F,MATCH($B77,'Raw Data'!$C:$C,0)),"-")</f>
        <v>531.26940000000002</v>
      </c>
      <c r="G77" s="12">
        <f>IFERROR(INDEX('Raw Data'!U:U,MATCH($B77,'Raw Data'!$C:$C,0)),"-")</f>
        <v>21650</v>
      </c>
      <c r="H77" s="12">
        <f>IFERROR(INDEX('Raw Data'!R:R,MATCH($B77,'Raw Data'!$C:$C,0)),"-")</f>
        <v>0</v>
      </c>
    </row>
    <row r="78" spans="1:8" ht="15" customHeight="1" x14ac:dyDescent="0.35">
      <c r="A78" s="15" t="str">
        <f>IFERROR(INDEX('Raw Data'!AC:AC,MATCH($B78,'Raw Data'!$C:$C,0)),"-")</f>
        <v>Dumper</v>
      </c>
      <c r="B78" s="7" t="s">
        <v>144</v>
      </c>
      <c r="C78" s="8">
        <f>IFERROR(INDEX('Raw Data'!W:W,MATCH($B78,'Raw Data'!$C:$C,0)),"-")</f>
        <v>7385.78</v>
      </c>
      <c r="D78" s="17">
        <f>IFERROR(INDEX('Raw Data'!X:X,MATCH($B78,'Raw Data'!$C:$C,0)),"-")</f>
        <v>14.831485130000001</v>
      </c>
      <c r="E78" s="17">
        <f>IFERROR(INDEX('Raw Data'!Y:Y,MATCH($B78,'Raw Data'!$C:$C,0)),"-")</f>
        <v>6298.1130380000004</v>
      </c>
      <c r="F78" s="10">
        <f>IFERROR(INDEX('Raw Data'!F:F,MATCH($B78,'Raw Data'!$C:$C,0)),"-")</f>
        <v>425.41910000000001</v>
      </c>
      <c r="G78" s="8">
        <f>IFERROR(INDEX('Raw Data'!U:U,MATCH($B78,'Raw Data'!$C:$C,0)),"-")</f>
        <v>18475</v>
      </c>
      <c r="H78" s="8">
        <f>IFERROR(INDEX('Raw Data'!R:R,MATCH($B78,'Raw Data'!$C:$C,0)),"-")</f>
        <v>0</v>
      </c>
    </row>
    <row r="79" spans="1:8" ht="15" customHeight="1" x14ac:dyDescent="0.35">
      <c r="A79" s="16" t="str">
        <f>IFERROR(INDEX('Raw Data'!AC:AC,MATCH($B79,'Raw Data'!$C:$C,0)),"-")</f>
        <v>Dumper</v>
      </c>
      <c r="B79" s="11" t="s">
        <v>114</v>
      </c>
      <c r="C79" s="12">
        <f>IFERROR(INDEX('Raw Data'!W:W,MATCH($B79,'Raw Data'!$C:$C,0)),"-")</f>
        <v>7320.46</v>
      </c>
      <c r="D79" s="18">
        <f>IFERROR(INDEX('Raw Data'!X:X,MATCH($B79,'Raw Data'!$C:$C,0)),"-")</f>
        <v>26.640246439999999</v>
      </c>
      <c r="E79" s="18">
        <f>IFERROR(INDEX('Raw Data'!Y:Y,MATCH($B79,'Raw Data'!$C:$C,0)),"-")</f>
        <v>6745.904477</v>
      </c>
      <c r="F79" s="14">
        <f>IFERROR(INDEX('Raw Data'!F:F,MATCH($B79,'Raw Data'!$C:$C,0)),"-")</f>
        <v>257.55939999999902</v>
      </c>
      <c r="G79" s="12">
        <f>IFERROR(INDEX('Raw Data'!U:U,MATCH($B79,'Raw Data'!$C:$C,0)),"-")</f>
        <v>21075</v>
      </c>
      <c r="H79" s="12">
        <f>IFERROR(INDEX('Raw Data'!R:R,MATCH($B79,'Raw Data'!$C:$C,0)),"-")</f>
        <v>0</v>
      </c>
    </row>
    <row r="80" spans="1:8" ht="15" customHeight="1" x14ac:dyDescent="0.35">
      <c r="A80" s="15" t="str">
        <f>IFERROR(INDEX('Raw Data'!AC:AC,MATCH($B80,'Raw Data'!$C:$C,0)),"-")</f>
        <v>Dumper</v>
      </c>
      <c r="B80" s="7" t="s">
        <v>160</v>
      </c>
      <c r="C80" s="8">
        <f>IFERROR(INDEX('Raw Data'!W:W,MATCH($B80,'Raw Data'!$C:$C,0)),"-")</f>
        <v>7300.91</v>
      </c>
      <c r="D80" s="17">
        <f>IFERROR(INDEX('Raw Data'!X:X,MATCH($B80,'Raw Data'!$C:$C,0)),"-")</f>
        <v>16.219641670000001</v>
      </c>
      <c r="E80" s="17">
        <f>IFERROR(INDEX('Raw Data'!Y:Y,MATCH($B80,'Raw Data'!$C:$C,0)),"-")</f>
        <v>6691.074181</v>
      </c>
      <c r="F80" s="10">
        <f>IFERROR(INDEX('Raw Data'!F:F,MATCH($B80,'Raw Data'!$C:$C,0)),"-")</f>
        <v>419.9348</v>
      </c>
      <c r="G80" s="8">
        <f>IFERROR(INDEX('Raw Data'!U:U,MATCH($B80,'Raw Data'!$C:$C,0)),"-")</f>
        <v>21560</v>
      </c>
      <c r="H80" s="8">
        <f>IFERROR(INDEX('Raw Data'!R:R,MATCH($B80,'Raw Data'!$C:$C,0)),"-")</f>
        <v>0</v>
      </c>
    </row>
    <row r="81" spans="1:8" ht="15" customHeight="1" x14ac:dyDescent="0.35">
      <c r="A81" s="16" t="str">
        <f>IFERROR(INDEX('Raw Data'!AC:AC,MATCH($B81,'Raw Data'!$C:$C,0)),"-")</f>
        <v>Front End Loader</v>
      </c>
      <c r="B81" s="11" t="s">
        <v>192</v>
      </c>
      <c r="C81" s="12">
        <f>IFERROR(INDEX('Raw Data'!W:W,MATCH($B81,'Raw Data'!$C:$C,0)),"-")</f>
        <v>7206.6899999999896</v>
      </c>
      <c r="D81" s="18">
        <f>IFERROR(INDEX('Raw Data'!X:X,MATCH($B81,'Raw Data'!$C:$C,0)),"-")</f>
        <v>24.299623499999999</v>
      </c>
      <c r="E81" s="18">
        <f>IFERROR(INDEX('Raw Data'!Y:Y,MATCH($B81,'Raw Data'!$C:$C,0)),"-")</f>
        <v>6981.8625929999998</v>
      </c>
      <c r="F81" s="14">
        <f>IFERROR(INDEX('Raw Data'!F:F,MATCH($B81,'Raw Data'!$C:$C,0)),"-")</f>
        <v>291.64800000000002</v>
      </c>
      <c r="G81" s="12">
        <f>IFERROR(INDEX('Raw Data'!U:U,MATCH($B81,'Raw Data'!$C:$C,0)),"-")</f>
        <v>0</v>
      </c>
      <c r="H81" s="12">
        <f>IFERROR(INDEX('Raw Data'!R:R,MATCH($B81,'Raw Data'!$C:$C,0)),"-")</f>
        <v>0</v>
      </c>
    </row>
    <row r="82" spans="1:8" ht="15" customHeight="1" x14ac:dyDescent="0.35">
      <c r="A82" s="15" t="str">
        <f>IFERROR(INDEX('Raw Data'!AC:AC,MATCH($B82,'Raw Data'!$C:$C,0)),"-")</f>
        <v>Dumper</v>
      </c>
      <c r="B82" s="7" t="s">
        <v>127</v>
      </c>
      <c r="C82" s="8">
        <f>IFERROR(INDEX('Raw Data'!W:W,MATCH($B82,'Raw Data'!$C:$C,0)),"-")</f>
        <v>7175.45999999999</v>
      </c>
      <c r="D82" s="17">
        <f>IFERROR(INDEX('Raw Data'!X:X,MATCH($B82,'Raw Data'!$C:$C,0)),"-")</f>
        <v>15.72100564</v>
      </c>
      <c r="E82" s="17">
        <f>IFERROR(INDEX('Raw Data'!Y:Y,MATCH($B82,'Raw Data'!$C:$C,0)),"-")</f>
        <v>6686.747386</v>
      </c>
      <c r="F82" s="10">
        <f>IFERROR(INDEX('Raw Data'!F:F,MATCH($B82,'Raw Data'!$C:$C,0)),"-")</f>
        <v>431.808099999999</v>
      </c>
      <c r="G82" s="8">
        <f>IFERROR(INDEX('Raw Data'!U:U,MATCH($B82,'Raw Data'!$C:$C,0)),"-")</f>
        <v>21750</v>
      </c>
      <c r="H82" s="8">
        <f>IFERROR(INDEX('Raw Data'!R:R,MATCH($B82,'Raw Data'!$C:$C,0)),"-")</f>
        <v>0</v>
      </c>
    </row>
    <row r="83" spans="1:8" ht="15" customHeight="1" x14ac:dyDescent="0.35">
      <c r="A83" s="16" t="str">
        <f>IFERROR(INDEX('Raw Data'!AC:AC,MATCH($B83,'Raw Data'!$C:$C,0)),"-")</f>
        <v>Dumper</v>
      </c>
      <c r="B83" s="11" t="s">
        <v>179</v>
      </c>
      <c r="C83" s="12">
        <f>IFERROR(INDEX('Raw Data'!W:W,MATCH($B83,'Raw Data'!$C:$C,0)),"-")</f>
        <v>7150.53999999999</v>
      </c>
      <c r="D83" s="18">
        <f>IFERROR(INDEX('Raw Data'!X:X,MATCH($B83,'Raw Data'!$C:$C,0)),"-")</f>
        <v>61.48442283</v>
      </c>
      <c r="E83" s="18">
        <f>IFERROR(INDEX('Raw Data'!Y:Y,MATCH($B83,'Raw Data'!$C:$C,0)),"-")</f>
        <v>6963.387565</v>
      </c>
      <c r="F83" s="14">
        <f>IFERROR(INDEX('Raw Data'!F:F,MATCH($B83,'Raw Data'!$C:$C,0)),"-")</f>
        <v>116.03349999999899</v>
      </c>
      <c r="G83" s="12">
        <f>IFERROR(INDEX('Raw Data'!U:U,MATCH($B83,'Raw Data'!$C:$C,0)),"-")</f>
        <v>10080</v>
      </c>
      <c r="H83" s="12">
        <f>IFERROR(INDEX('Raw Data'!R:R,MATCH($B83,'Raw Data'!$C:$C,0)),"-")</f>
        <v>0</v>
      </c>
    </row>
    <row r="84" spans="1:8" ht="15" customHeight="1" x14ac:dyDescent="0.35">
      <c r="A84" s="15" t="str">
        <f>IFERROR(INDEX('Raw Data'!AC:AC,MATCH($B84,'Raw Data'!$C:$C,0)),"-")</f>
        <v>Dumper</v>
      </c>
      <c r="B84" s="7" t="s">
        <v>154</v>
      </c>
      <c r="C84" s="8">
        <f>IFERROR(INDEX('Raw Data'!W:W,MATCH($B84,'Raw Data'!$C:$C,0)),"-")</f>
        <v>7097.31</v>
      </c>
      <c r="D84" s="17">
        <f>IFERROR(INDEX('Raw Data'!X:X,MATCH($B84,'Raw Data'!$C:$C,0)),"-")</f>
        <v>13.333367150000001</v>
      </c>
      <c r="E84" s="17">
        <f>IFERROR(INDEX('Raw Data'!Y:Y,MATCH($B84,'Raw Data'!$C:$C,0)),"-")</f>
        <v>6691.400971</v>
      </c>
      <c r="F84" s="10">
        <f>IFERROR(INDEX('Raw Data'!F:F,MATCH($B84,'Raw Data'!$C:$C,0)),"-")</f>
        <v>509.95010000000002</v>
      </c>
      <c r="G84" s="8">
        <f>IFERROR(INDEX('Raw Data'!U:U,MATCH($B84,'Raw Data'!$C:$C,0)),"-")</f>
        <v>22800</v>
      </c>
      <c r="H84" s="8">
        <f>IFERROR(INDEX('Raw Data'!R:R,MATCH($B84,'Raw Data'!$C:$C,0)),"-")</f>
        <v>0</v>
      </c>
    </row>
    <row r="85" spans="1:8" ht="15" customHeight="1" x14ac:dyDescent="0.35">
      <c r="A85" s="16" t="str">
        <f>IFERROR(INDEX('Raw Data'!AC:AC,MATCH($B85,'Raw Data'!$C:$C,0)),"-")</f>
        <v>Dumper</v>
      </c>
      <c r="B85" s="11" t="s">
        <v>156</v>
      </c>
      <c r="C85" s="12">
        <f>IFERROR(INDEX('Raw Data'!W:W,MATCH($B85,'Raw Data'!$C:$C,0)),"-")</f>
        <v>6987.98</v>
      </c>
      <c r="D85" s="18">
        <f>IFERROR(INDEX('Raw Data'!X:X,MATCH($B85,'Raw Data'!$C:$C,0)),"-")</f>
        <v>16.20735642</v>
      </c>
      <c r="E85" s="18">
        <f>IFERROR(INDEX('Raw Data'!Y:Y,MATCH($B85,'Raw Data'!$C:$C,0)),"-")</f>
        <v>6629.0308150000001</v>
      </c>
      <c r="F85" s="14">
        <f>IFERROR(INDEX('Raw Data'!F:F,MATCH($B85,'Raw Data'!$C:$C,0)),"-")</f>
        <v>416.30630000000002</v>
      </c>
      <c r="G85" s="12">
        <f>IFERROR(INDEX('Raw Data'!U:U,MATCH($B85,'Raw Data'!$C:$C,0)),"-")</f>
        <v>16925</v>
      </c>
      <c r="H85" s="12">
        <f>IFERROR(INDEX('Raw Data'!R:R,MATCH($B85,'Raw Data'!$C:$C,0)),"-")</f>
        <v>0</v>
      </c>
    </row>
    <row r="86" spans="1:8" ht="15" customHeight="1" x14ac:dyDescent="0.35">
      <c r="A86" s="15" t="str">
        <f>IFERROR(INDEX('Raw Data'!AC:AC,MATCH($B86,'Raw Data'!$C:$C,0)),"-")</f>
        <v>Front End Loader</v>
      </c>
      <c r="B86" s="7" t="s">
        <v>184</v>
      </c>
      <c r="C86" s="8">
        <f>IFERROR(INDEX('Raw Data'!W:W,MATCH($B86,'Raw Data'!$C:$C,0)),"-")</f>
        <v>6983.04</v>
      </c>
      <c r="D86" s="17">
        <f>IFERROR(INDEX('Raw Data'!X:X,MATCH($B86,'Raw Data'!$C:$C,0)),"-")</f>
        <v>25.240384089999999</v>
      </c>
      <c r="E86" s="17">
        <f>IFERROR(INDEX('Raw Data'!Y:Y,MATCH($B86,'Raw Data'!$C:$C,0)),"-")</f>
        <v>6605.7618830000001</v>
      </c>
      <c r="F86" s="10">
        <f>IFERROR(INDEX('Raw Data'!F:F,MATCH($B86,'Raw Data'!$C:$C,0)),"-")</f>
        <v>265.0111</v>
      </c>
      <c r="G86" s="8">
        <f>IFERROR(INDEX('Raw Data'!U:U,MATCH($B86,'Raw Data'!$C:$C,0)),"-")</f>
        <v>0</v>
      </c>
      <c r="H86" s="8">
        <f>IFERROR(INDEX('Raw Data'!R:R,MATCH($B86,'Raw Data'!$C:$C,0)),"-")</f>
        <v>0</v>
      </c>
    </row>
    <row r="87" spans="1:8" ht="15" customHeight="1" x14ac:dyDescent="0.35">
      <c r="A87" s="16" t="str">
        <f>IFERROR(INDEX('Raw Data'!AC:AC,MATCH($B87,'Raw Data'!$C:$C,0)),"-")</f>
        <v>Dumper</v>
      </c>
      <c r="B87" s="11" t="s">
        <v>157</v>
      </c>
      <c r="C87" s="12">
        <f>IFERROR(INDEX('Raw Data'!W:W,MATCH($B87,'Raw Data'!$C:$C,0)),"-")</f>
        <v>6965.95999999999</v>
      </c>
      <c r="D87" s="18">
        <f>IFERROR(INDEX('Raw Data'!X:X,MATCH($B87,'Raw Data'!$C:$C,0)),"-")</f>
        <v>14.406239680000001</v>
      </c>
      <c r="E87" s="18">
        <f>IFERROR(INDEX('Raw Data'!Y:Y,MATCH($B87,'Raw Data'!$C:$C,0)),"-")</f>
        <v>6310.999041</v>
      </c>
      <c r="F87" s="14">
        <f>IFERROR(INDEX('Raw Data'!F:F,MATCH($B87,'Raw Data'!$C:$C,0)),"-")</f>
        <v>443.25779999999997</v>
      </c>
      <c r="G87" s="12">
        <f>IFERROR(INDEX('Raw Data'!U:U,MATCH($B87,'Raw Data'!$C:$C,0)),"-")</f>
        <v>21225</v>
      </c>
      <c r="H87" s="12">
        <f>IFERROR(INDEX('Raw Data'!R:R,MATCH($B87,'Raw Data'!$C:$C,0)),"-")</f>
        <v>0</v>
      </c>
    </row>
    <row r="88" spans="1:8" ht="15" customHeight="1" x14ac:dyDescent="0.35">
      <c r="A88" s="15" t="str">
        <f>IFERROR(INDEX('Raw Data'!AC:AC,MATCH($B88,'Raw Data'!$C:$C,0)),"-")</f>
        <v>Dumper</v>
      </c>
      <c r="B88" s="7" t="s">
        <v>109</v>
      </c>
      <c r="C88" s="8">
        <f>IFERROR(INDEX('Raw Data'!W:W,MATCH($B88,'Raw Data'!$C:$C,0)),"-")</f>
        <v>6827.2699999999904</v>
      </c>
      <c r="D88" s="17">
        <f>IFERROR(INDEX('Raw Data'!X:X,MATCH($B88,'Raw Data'!$C:$C,0)),"-")</f>
        <v>14.68489699</v>
      </c>
      <c r="E88" s="17">
        <f>IFERROR(INDEX('Raw Data'!Y:Y,MATCH($B88,'Raw Data'!$C:$C,0)),"-")</f>
        <v>6278.3133070000003</v>
      </c>
      <c r="F88" s="10">
        <f>IFERROR(INDEX('Raw Data'!F:F,MATCH($B88,'Raw Data'!$C:$C,0)),"-")</f>
        <v>433.71339999999998</v>
      </c>
      <c r="G88" s="8">
        <f>IFERROR(INDEX('Raw Data'!U:U,MATCH($B88,'Raw Data'!$C:$C,0)),"-")</f>
        <v>21625</v>
      </c>
      <c r="H88" s="8">
        <f>IFERROR(INDEX('Raw Data'!R:R,MATCH($B88,'Raw Data'!$C:$C,0)),"-")</f>
        <v>0</v>
      </c>
    </row>
    <row r="89" spans="1:8" ht="15" customHeight="1" x14ac:dyDescent="0.35">
      <c r="A89" s="16" t="str">
        <f>IFERROR(INDEX('Raw Data'!AC:AC,MATCH($B89,'Raw Data'!$C:$C,0)),"-")</f>
        <v>Dumper</v>
      </c>
      <c r="B89" s="11" t="s">
        <v>148</v>
      </c>
      <c r="C89" s="12">
        <f>IFERROR(INDEX('Raw Data'!W:W,MATCH($B89,'Raw Data'!$C:$C,0)),"-")</f>
        <v>6785.3699999999899</v>
      </c>
      <c r="D89" s="18">
        <f>IFERROR(INDEX('Raw Data'!X:X,MATCH($B89,'Raw Data'!$C:$C,0)),"-")</f>
        <v>14.725003579999999</v>
      </c>
      <c r="E89" s="18">
        <f>IFERROR(INDEX('Raw Data'!Y:Y,MATCH($B89,'Raw Data'!$C:$C,0)),"-")</f>
        <v>6490.1380959999997</v>
      </c>
      <c r="F89" s="14">
        <f>IFERROR(INDEX('Raw Data'!F:F,MATCH($B89,'Raw Data'!$C:$C,0)),"-")</f>
        <v>447.013499999999</v>
      </c>
      <c r="G89" s="12">
        <f>IFERROR(INDEX('Raw Data'!U:U,MATCH($B89,'Raw Data'!$C:$C,0)),"-")</f>
        <v>18575</v>
      </c>
      <c r="H89" s="12">
        <f>IFERROR(INDEX('Raw Data'!R:R,MATCH($B89,'Raw Data'!$C:$C,0)),"-")</f>
        <v>0</v>
      </c>
    </row>
    <row r="90" spans="1:8" ht="15" customHeight="1" x14ac:dyDescent="0.35">
      <c r="A90" s="15" t="str">
        <f>IFERROR(INDEX('Raw Data'!AC:AC,MATCH($B90,'Raw Data'!$C:$C,0)),"-")</f>
        <v>Dumper</v>
      </c>
      <c r="B90" s="7" t="s">
        <v>168</v>
      </c>
      <c r="C90" s="8">
        <f>IFERROR(INDEX('Raw Data'!W:W,MATCH($B90,'Raw Data'!$C:$C,0)),"-")</f>
        <v>6762.49999999999</v>
      </c>
      <c r="D90" s="17">
        <f>IFERROR(INDEX('Raw Data'!X:X,MATCH($B90,'Raw Data'!$C:$C,0)),"-")</f>
        <v>19.982264910000001</v>
      </c>
      <c r="E90" s="17">
        <f>IFERROR(INDEX('Raw Data'!Y:Y,MATCH($B90,'Raw Data'!$C:$C,0)),"-")</f>
        <v>5771.1079019999997</v>
      </c>
      <c r="F90" s="10">
        <f>IFERROR(INDEX('Raw Data'!F:F,MATCH($B90,'Raw Data'!$C:$C,0)),"-")</f>
        <v>291.18699999999899</v>
      </c>
      <c r="G90" s="8">
        <f>IFERROR(INDEX('Raw Data'!U:U,MATCH($B90,'Raw Data'!$C:$C,0)),"-")</f>
        <v>0</v>
      </c>
      <c r="H90" s="8">
        <f>IFERROR(INDEX('Raw Data'!R:R,MATCH($B90,'Raw Data'!$C:$C,0)),"-")</f>
        <v>0</v>
      </c>
    </row>
    <row r="91" spans="1:8" ht="15" customHeight="1" x14ac:dyDescent="0.35">
      <c r="A91" s="16" t="str">
        <f>IFERROR(INDEX('Raw Data'!AC:AC,MATCH($B91,'Raw Data'!$C:$C,0)),"-")</f>
        <v>Dumper</v>
      </c>
      <c r="B91" s="11" t="s">
        <v>155</v>
      </c>
      <c r="C91" s="12">
        <f>IFERROR(INDEX('Raw Data'!W:W,MATCH($B91,'Raw Data'!$C:$C,0)),"-")</f>
        <v>6760.68</v>
      </c>
      <c r="D91" s="18">
        <f>IFERROR(INDEX('Raw Data'!X:X,MATCH($B91,'Raw Data'!$C:$C,0)),"-")</f>
        <v>15.098180790000001</v>
      </c>
      <c r="E91" s="18">
        <f>IFERROR(INDEX('Raw Data'!Y:Y,MATCH($B91,'Raw Data'!$C:$C,0)),"-")</f>
        <v>6225.4026869999998</v>
      </c>
      <c r="F91" s="14">
        <f>IFERROR(INDEX('Raw Data'!F:F,MATCH($B91,'Raw Data'!$C:$C,0)),"-")</f>
        <v>419.72050000000002</v>
      </c>
      <c r="G91" s="12">
        <f>IFERROR(INDEX('Raw Data'!U:U,MATCH($B91,'Raw Data'!$C:$C,0)),"-")</f>
        <v>18475</v>
      </c>
      <c r="H91" s="12">
        <f>IFERROR(INDEX('Raw Data'!R:R,MATCH($B91,'Raw Data'!$C:$C,0)),"-")</f>
        <v>0</v>
      </c>
    </row>
    <row r="92" spans="1:8" ht="15" customHeight="1" x14ac:dyDescent="0.35">
      <c r="A92" s="15" t="str">
        <f>IFERROR(INDEX('Raw Data'!AC:AC,MATCH($B92,'Raw Data'!$C:$C,0)),"-")</f>
        <v>Dumper</v>
      </c>
      <c r="B92" s="7" t="s">
        <v>138</v>
      </c>
      <c r="C92" s="8">
        <f>IFERROR(INDEX('Raw Data'!W:W,MATCH($B92,'Raw Data'!$C:$C,0)),"-")</f>
        <v>6754.47</v>
      </c>
      <c r="D92" s="17">
        <f>IFERROR(INDEX('Raw Data'!X:X,MATCH($B92,'Raw Data'!$C:$C,0)),"-")</f>
        <v>14.39815877</v>
      </c>
      <c r="E92" s="17">
        <f>IFERROR(INDEX('Raw Data'!Y:Y,MATCH($B92,'Raw Data'!$C:$C,0)),"-")</f>
        <v>6408.1827629999998</v>
      </c>
      <c r="F92" s="10">
        <f>IFERROR(INDEX('Raw Data'!F:F,MATCH($B92,'Raw Data'!$C:$C,0)),"-")</f>
        <v>454.8922</v>
      </c>
      <c r="G92" s="8">
        <f>IFERROR(INDEX('Raw Data'!U:U,MATCH($B92,'Raw Data'!$C:$C,0)),"-")</f>
        <v>18400</v>
      </c>
      <c r="H92" s="8">
        <f>IFERROR(INDEX('Raw Data'!R:R,MATCH($B92,'Raw Data'!$C:$C,0)),"-")</f>
        <v>0</v>
      </c>
    </row>
    <row r="93" spans="1:8" ht="15" customHeight="1" x14ac:dyDescent="0.35">
      <c r="A93" s="16" t="str">
        <f>IFERROR(INDEX('Raw Data'!AC:AC,MATCH($B93,'Raw Data'!$C:$C,0)),"-")</f>
        <v>Dumper</v>
      </c>
      <c r="B93" s="11" t="s">
        <v>108</v>
      </c>
      <c r="C93" s="12">
        <f>IFERROR(INDEX('Raw Data'!W:W,MATCH($B93,'Raw Data'!$C:$C,0)),"-")</f>
        <v>6712.86</v>
      </c>
      <c r="D93" s="18">
        <f>IFERROR(INDEX('Raw Data'!X:X,MATCH($B93,'Raw Data'!$C:$C,0)),"-")</f>
        <v>30.29658598</v>
      </c>
      <c r="E93" s="18">
        <f>IFERROR(INDEX('Raw Data'!Y:Y,MATCH($B93,'Raw Data'!$C:$C,0)),"-")</f>
        <v>6376.8981279999998</v>
      </c>
      <c r="F93" s="14">
        <f>IFERROR(INDEX('Raw Data'!F:F,MATCH($B93,'Raw Data'!$C:$C,0)),"-")</f>
        <v>214.79769999999999</v>
      </c>
      <c r="G93" s="12">
        <f>IFERROR(INDEX('Raw Data'!U:U,MATCH($B93,'Raw Data'!$C:$C,0)),"-")</f>
        <v>18625</v>
      </c>
      <c r="H93" s="12">
        <f>IFERROR(INDEX('Raw Data'!R:R,MATCH($B93,'Raw Data'!$C:$C,0)),"-")</f>
        <v>0</v>
      </c>
    </row>
    <row r="94" spans="1:8" ht="15" customHeight="1" x14ac:dyDescent="0.35">
      <c r="A94" s="15" t="str">
        <f>IFERROR(INDEX('Raw Data'!AC:AC,MATCH($B94,'Raw Data'!$C:$C,0)),"-")</f>
        <v>Dumper</v>
      </c>
      <c r="B94" s="7" t="s">
        <v>118</v>
      </c>
      <c r="C94" s="8">
        <f>IFERROR(INDEX('Raw Data'!W:W,MATCH($B94,'Raw Data'!$C:$C,0)),"-")</f>
        <v>6531.21</v>
      </c>
      <c r="D94" s="17">
        <f>IFERROR(INDEX('Raw Data'!X:X,MATCH($B94,'Raw Data'!$C:$C,0)),"-")</f>
        <v>14.057230519999999</v>
      </c>
      <c r="E94" s="17">
        <f>IFERROR(INDEX('Raw Data'!Y:Y,MATCH($B94,'Raw Data'!$C:$C,0)),"-")</f>
        <v>6001.3775189999997</v>
      </c>
      <c r="F94" s="10">
        <f>IFERROR(INDEX('Raw Data'!F:F,MATCH($B94,'Raw Data'!$C:$C,0)),"-")</f>
        <v>434.67219999999998</v>
      </c>
      <c r="G94" s="8">
        <f>IFERROR(INDEX('Raw Data'!U:U,MATCH($B94,'Raw Data'!$C:$C,0)),"-")</f>
        <v>19375</v>
      </c>
      <c r="H94" s="8">
        <f>IFERROR(INDEX('Raw Data'!R:R,MATCH($B94,'Raw Data'!$C:$C,0)),"-")</f>
        <v>0</v>
      </c>
    </row>
    <row r="95" spans="1:8" ht="15" customHeight="1" x14ac:dyDescent="0.35">
      <c r="A95" s="16" t="str">
        <f>IFERROR(INDEX('Raw Data'!AC:AC,MATCH($B95,'Raw Data'!$C:$C,0)),"-")</f>
        <v>Dumper</v>
      </c>
      <c r="B95" s="11" t="s">
        <v>135</v>
      </c>
      <c r="C95" s="12">
        <f>IFERROR(INDEX('Raw Data'!W:W,MATCH($B95,'Raw Data'!$C:$C,0)),"-")</f>
        <v>6420.8299999999899</v>
      </c>
      <c r="D95" s="18">
        <f>IFERROR(INDEX('Raw Data'!X:X,MATCH($B95,'Raw Data'!$C:$C,0)),"-")</f>
        <v>15.12468241</v>
      </c>
      <c r="E95" s="18">
        <f>IFERROR(INDEX('Raw Data'!Y:Y,MATCH($B95,'Raw Data'!$C:$C,0)),"-")</f>
        <v>6015.591359</v>
      </c>
      <c r="F95" s="14">
        <f>IFERROR(INDEX('Raw Data'!F:F,MATCH($B95,'Raw Data'!$C:$C,0)),"-")</f>
        <v>407.54259999999999</v>
      </c>
      <c r="G95" s="12">
        <f>IFERROR(INDEX('Raw Data'!U:U,MATCH($B95,'Raw Data'!$C:$C,0)),"-")</f>
        <v>16275</v>
      </c>
      <c r="H95" s="12">
        <f>IFERROR(INDEX('Raw Data'!R:R,MATCH($B95,'Raw Data'!$C:$C,0)),"-")</f>
        <v>0</v>
      </c>
    </row>
    <row r="96" spans="1:8" ht="15" customHeight="1" x14ac:dyDescent="0.35">
      <c r="A96" s="15" t="str">
        <f>IFERROR(INDEX('Raw Data'!AC:AC,MATCH($B96,'Raw Data'!$C:$C,0)),"-")</f>
        <v>Dumper</v>
      </c>
      <c r="B96" s="7" t="s">
        <v>107</v>
      </c>
      <c r="C96" s="8">
        <f>IFERROR(INDEX('Raw Data'!W:W,MATCH($B96,'Raw Data'!$C:$C,0)),"-")</f>
        <v>5923.09</v>
      </c>
      <c r="D96" s="17">
        <f>IFERROR(INDEX('Raw Data'!X:X,MATCH($B96,'Raw Data'!$C:$C,0)),"-")</f>
        <v>13.54660391</v>
      </c>
      <c r="E96" s="17">
        <f>IFERROR(INDEX('Raw Data'!Y:Y,MATCH($B96,'Raw Data'!$C:$C,0)),"-")</f>
        <v>4963.7127380000002</v>
      </c>
      <c r="F96" s="10">
        <f>IFERROR(INDEX('Raw Data'!F:F,MATCH($B96,'Raw Data'!$C:$C,0)),"-")</f>
        <v>368.92840000000001</v>
      </c>
      <c r="G96" s="8">
        <f>IFERROR(INDEX('Raw Data'!U:U,MATCH($B96,'Raw Data'!$C:$C,0)),"-")</f>
        <v>17125</v>
      </c>
      <c r="H96" s="8">
        <f>IFERROR(INDEX('Raw Data'!R:R,MATCH($B96,'Raw Data'!$C:$C,0)),"-")</f>
        <v>529.70000000000005</v>
      </c>
    </row>
    <row r="97" spans="1:8" ht="15" customHeight="1" x14ac:dyDescent="0.35">
      <c r="A97" s="16" t="str">
        <f>IFERROR(INDEX('Raw Data'!AC:AC,MATCH($B97,'Raw Data'!$C:$C,0)),"-")</f>
        <v>Dumper</v>
      </c>
      <c r="B97" s="11" t="s">
        <v>105</v>
      </c>
      <c r="C97" s="12">
        <f>IFERROR(INDEX('Raw Data'!W:W,MATCH($B97,'Raw Data'!$C:$C,0)),"-")</f>
        <v>5889.53999999999</v>
      </c>
      <c r="D97" s="18">
        <f>IFERROR(INDEX('Raw Data'!X:X,MATCH($B97,'Raw Data'!$C:$C,0)),"-")</f>
        <v>14.230757799999999</v>
      </c>
      <c r="E97" s="18">
        <f>IFERROR(INDEX('Raw Data'!Y:Y,MATCH($B97,'Raw Data'!$C:$C,0)),"-")</f>
        <v>5243.1974810000002</v>
      </c>
      <c r="F97" s="14">
        <f>IFERROR(INDEX('Raw Data'!F:F,MATCH($B97,'Raw Data'!$C:$C,0)),"-")</f>
        <v>373.91019999999901</v>
      </c>
      <c r="G97" s="12">
        <f>IFERROR(INDEX('Raw Data'!U:U,MATCH($B97,'Raw Data'!$C:$C,0)),"-")</f>
        <v>15825</v>
      </c>
      <c r="H97" s="12">
        <f>IFERROR(INDEX('Raw Data'!R:R,MATCH($B97,'Raw Data'!$C:$C,0)),"-")</f>
        <v>0</v>
      </c>
    </row>
    <row r="98" spans="1:8" ht="15" customHeight="1" x14ac:dyDescent="0.35">
      <c r="A98" s="15" t="str">
        <f>IFERROR(INDEX('Raw Data'!AC:AC,MATCH($B98,'Raw Data'!$C:$C,0)),"-")</f>
        <v>Dumper</v>
      </c>
      <c r="B98" s="7" t="s">
        <v>130</v>
      </c>
      <c r="C98" s="8">
        <f>IFERROR(INDEX('Raw Data'!W:W,MATCH($B98,'Raw Data'!$C:$C,0)),"-")</f>
        <v>5849.62</v>
      </c>
      <c r="D98" s="17">
        <f>IFERROR(INDEX('Raw Data'!X:X,MATCH($B98,'Raw Data'!$C:$C,0)),"-")</f>
        <v>13.95775227</v>
      </c>
      <c r="E98" s="17">
        <f>IFERROR(INDEX('Raw Data'!Y:Y,MATCH($B98,'Raw Data'!$C:$C,0)),"-")</f>
        <v>5304.1789570000001</v>
      </c>
      <c r="F98" s="10">
        <f>IFERROR(INDEX('Raw Data'!F:F,MATCH($B98,'Raw Data'!$C:$C,0)),"-")</f>
        <v>388.4495</v>
      </c>
      <c r="G98" s="8">
        <f>IFERROR(INDEX('Raw Data'!U:U,MATCH($B98,'Raw Data'!$C:$C,0)),"-")</f>
        <v>16050</v>
      </c>
      <c r="H98" s="8">
        <f>IFERROR(INDEX('Raw Data'!R:R,MATCH($B98,'Raw Data'!$C:$C,0)),"-")</f>
        <v>463.94</v>
      </c>
    </row>
    <row r="99" spans="1:8" ht="15" customHeight="1" x14ac:dyDescent="0.35">
      <c r="A99" s="16" t="str">
        <f>IFERROR(INDEX('Raw Data'!AC:AC,MATCH($B99,'Raw Data'!$C:$C,0)),"-")</f>
        <v>Tipper</v>
      </c>
      <c r="B99" s="11" t="s">
        <v>91</v>
      </c>
      <c r="C99" s="12">
        <f>IFERROR(INDEX('Raw Data'!W:W,MATCH($B99,'Raw Data'!$C:$C,0)),"-")</f>
        <v>5821.4299999999903</v>
      </c>
      <c r="D99" s="18">
        <f>IFERROR(INDEX('Raw Data'!X:X,MATCH($B99,'Raw Data'!$C:$C,0)),"-")</f>
        <v>12.83196482</v>
      </c>
      <c r="E99" s="18">
        <f>IFERROR(INDEX('Raw Data'!Y:Y,MATCH($B99,'Raw Data'!$C:$C,0)),"-")</f>
        <v>5462.528926</v>
      </c>
      <c r="F99" s="14">
        <f>IFERROR(INDEX('Raw Data'!F:F,MATCH($B99,'Raw Data'!$C:$C,0)),"-")</f>
        <v>429.10770000000002</v>
      </c>
      <c r="G99" s="12">
        <f>IFERROR(INDEX('Raw Data'!U:U,MATCH($B99,'Raw Data'!$C:$C,0)),"-")</f>
        <v>117</v>
      </c>
      <c r="H99" s="12">
        <f>IFERROR(INDEX('Raw Data'!R:R,MATCH($B99,'Raw Data'!$C:$C,0)),"-")</f>
        <v>32265.1</v>
      </c>
    </row>
    <row r="100" spans="1:8" ht="15" customHeight="1" x14ac:dyDescent="0.35">
      <c r="A100" s="15" t="str">
        <f>IFERROR(INDEX('Raw Data'!AC:AC,MATCH($B100,'Raw Data'!$C:$C,0)),"-")</f>
        <v>Dumper</v>
      </c>
      <c r="B100" s="7" t="s">
        <v>141</v>
      </c>
      <c r="C100" s="8">
        <f>IFERROR(INDEX('Raw Data'!W:W,MATCH($B100,'Raw Data'!$C:$C,0)),"-")</f>
        <v>5780.27</v>
      </c>
      <c r="D100" s="17">
        <f>IFERROR(INDEX('Raw Data'!X:X,MATCH($B100,'Raw Data'!$C:$C,0)),"-")</f>
        <v>15.050481850000001</v>
      </c>
      <c r="E100" s="17">
        <f>IFERROR(INDEX('Raw Data'!Y:Y,MATCH($B100,'Raw Data'!$C:$C,0)),"-")</f>
        <v>5488.1235919999999</v>
      </c>
      <c r="F100" s="10">
        <f>IFERROR(INDEX('Raw Data'!F:F,MATCH($B100,'Raw Data'!$C:$C,0)),"-")</f>
        <v>372.27249999999998</v>
      </c>
      <c r="G100" s="8">
        <f>IFERROR(INDEX('Raw Data'!U:U,MATCH($B100,'Raw Data'!$C:$C,0)),"-")</f>
        <v>14775</v>
      </c>
      <c r="H100" s="8">
        <f>IFERROR(INDEX('Raw Data'!R:R,MATCH($B100,'Raw Data'!$C:$C,0)),"-")</f>
        <v>0</v>
      </c>
    </row>
    <row r="101" spans="1:8" ht="15" customHeight="1" x14ac:dyDescent="0.35">
      <c r="A101" s="16" t="str">
        <f>IFERROR(INDEX('Raw Data'!AC:AC,MATCH($B101,'Raw Data'!$C:$C,0)),"-")</f>
        <v>Tipper</v>
      </c>
      <c r="B101" s="11" t="s">
        <v>95</v>
      </c>
      <c r="C101" s="12">
        <f>IFERROR(INDEX('Raw Data'!W:W,MATCH($B101,'Raw Data'!$C:$C,0)),"-")</f>
        <v>5707.15</v>
      </c>
      <c r="D101" s="18">
        <f>IFERROR(INDEX('Raw Data'!X:X,MATCH($B101,'Raw Data'!$C:$C,0)),"-")</f>
        <v>15.087519589999999</v>
      </c>
      <c r="E101" s="18">
        <f>IFERROR(INDEX('Raw Data'!Y:Y,MATCH($B101,'Raw Data'!$C:$C,0)),"-")</f>
        <v>5290.7555819999998</v>
      </c>
      <c r="F101" s="14">
        <f>IFERROR(INDEX('Raw Data'!F:F,MATCH($B101,'Raw Data'!$C:$C,0)),"-")</f>
        <v>353.80709999999999</v>
      </c>
      <c r="G101" s="12">
        <f>IFERROR(INDEX('Raw Data'!U:U,MATCH($B101,'Raw Data'!$C:$C,0)),"-")</f>
        <v>312</v>
      </c>
      <c r="H101" s="12">
        <f>IFERROR(INDEX('Raw Data'!R:R,MATCH($B101,'Raw Data'!$C:$C,0)),"-")</f>
        <v>30498.67</v>
      </c>
    </row>
    <row r="102" spans="1:8" ht="15" customHeight="1" x14ac:dyDescent="0.35">
      <c r="A102" s="15" t="str">
        <f>IFERROR(INDEX('Raw Data'!AC:AC,MATCH($B102,'Raw Data'!$C:$C,0)),"-")</f>
        <v>Tipper</v>
      </c>
      <c r="B102" s="7" t="s">
        <v>96</v>
      </c>
      <c r="C102" s="8">
        <f>IFERROR(INDEX('Raw Data'!W:W,MATCH($B102,'Raw Data'!$C:$C,0)),"-")</f>
        <v>5689.4</v>
      </c>
      <c r="D102" s="17">
        <f>IFERROR(INDEX('Raw Data'!X:X,MATCH($B102,'Raw Data'!$C:$C,0)),"-")</f>
        <v>14.15888945</v>
      </c>
      <c r="E102" s="17">
        <f>IFERROR(INDEX('Raw Data'!Y:Y,MATCH($B102,'Raw Data'!$C:$C,0)),"-")</f>
        <v>5397.5088304793098</v>
      </c>
      <c r="F102" s="10">
        <f>IFERROR(INDEX('Raw Data'!F:F,MATCH($B102,'Raw Data'!$C:$C,0)),"-")</f>
        <v>386.492899999999</v>
      </c>
      <c r="G102" s="8">
        <f>IFERROR(INDEX('Raw Data'!U:U,MATCH($B102,'Raw Data'!$C:$C,0)),"-")</f>
        <v>234</v>
      </c>
      <c r="H102" s="8">
        <f>IFERROR(INDEX('Raw Data'!R:R,MATCH($B102,'Raw Data'!$C:$C,0)),"-")</f>
        <v>31807.29</v>
      </c>
    </row>
    <row r="103" spans="1:8" ht="15" customHeight="1" x14ac:dyDescent="0.35">
      <c r="A103" s="16" t="str">
        <f>IFERROR(INDEX('Raw Data'!AC:AC,MATCH($B103,'Raw Data'!$C:$C,0)),"-")</f>
        <v>Dumper</v>
      </c>
      <c r="B103" s="11" t="s">
        <v>137</v>
      </c>
      <c r="C103" s="12">
        <f>IFERROR(INDEX('Raw Data'!W:W,MATCH($B103,'Raw Data'!$C:$C,0)),"-")</f>
        <v>5633.55</v>
      </c>
      <c r="D103" s="18">
        <f>IFERROR(INDEX('Raw Data'!X:X,MATCH($B103,'Raw Data'!$C:$C,0)),"-")</f>
        <v>19.11307437</v>
      </c>
      <c r="E103" s="18">
        <f>IFERROR(INDEX('Raw Data'!Y:Y,MATCH($B103,'Raw Data'!$C:$C,0)),"-")</f>
        <v>5322.3776809999999</v>
      </c>
      <c r="F103" s="14">
        <f>IFERROR(INDEX('Raw Data'!F:F,MATCH($B103,'Raw Data'!$C:$C,0)),"-")</f>
        <v>284.23509999999999</v>
      </c>
      <c r="G103" s="12">
        <f>IFERROR(INDEX('Raw Data'!U:U,MATCH($B103,'Raw Data'!$C:$C,0)),"-")</f>
        <v>12125</v>
      </c>
      <c r="H103" s="12">
        <f>IFERROR(INDEX('Raw Data'!R:R,MATCH($B103,'Raw Data'!$C:$C,0)),"-")</f>
        <v>0</v>
      </c>
    </row>
    <row r="104" spans="1:8" ht="15" customHeight="1" x14ac:dyDescent="0.35">
      <c r="A104" s="15" t="str">
        <f>IFERROR(INDEX('Raw Data'!AC:AC,MATCH($B104,'Raw Data'!$C:$C,0)),"-")</f>
        <v>Tipper</v>
      </c>
      <c r="B104" s="7" t="s">
        <v>94</v>
      </c>
      <c r="C104" s="8">
        <f>IFERROR(INDEX('Raw Data'!W:W,MATCH($B104,'Raw Data'!$C:$C,0)),"-")</f>
        <v>5572.7699999999904</v>
      </c>
      <c r="D104" s="17">
        <f>IFERROR(INDEX('Raw Data'!X:X,MATCH($B104,'Raw Data'!$C:$C,0)),"-")</f>
        <v>15.842363539999999</v>
      </c>
      <c r="E104" s="17">
        <f>IFERROR(INDEX('Raw Data'!Y:Y,MATCH($B104,'Raw Data'!$C:$C,0)),"-")</f>
        <v>5143.112427</v>
      </c>
      <c r="F104" s="10">
        <f>IFERROR(INDEX('Raw Data'!F:F,MATCH($B104,'Raw Data'!$C:$C,0)),"-")</f>
        <v>329.52539999999999</v>
      </c>
      <c r="G104" s="8">
        <f>IFERROR(INDEX('Raw Data'!U:U,MATCH($B104,'Raw Data'!$C:$C,0)),"-")</f>
        <v>143</v>
      </c>
      <c r="H104" s="8">
        <f>IFERROR(INDEX('Raw Data'!R:R,MATCH($B104,'Raw Data'!$C:$C,0)),"-")</f>
        <v>30433.18</v>
      </c>
    </row>
    <row r="105" spans="1:8" ht="15" customHeight="1" x14ac:dyDescent="0.35">
      <c r="A105" s="16" t="str">
        <f>IFERROR(INDEX('Raw Data'!AC:AC,MATCH($B105,'Raw Data'!$C:$C,0)),"-")</f>
        <v>Front End Loader</v>
      </c>
      <c r="B105" s="11" t="s">
        <v>188</v>
      </c>
      <c r="C105" s="12">
        <f>IFERROR(INDEX('Raw Data'!W:W,MATCH($B105,'Raw Data'!$C:$C,0)),"-")</f>
        <v>5559.3999999999896</v>
      </c>
      <c r="D105" s="18">
        <f>IFERROR(INDEX('Raw Data'!X:X,MATCH($B105,'Raw Data'!$C:$C,0)),"-")</f>
        <v>27.479719159999998</v>
      </c>
      <c r="E105" s="18">
        <f>IFERROR(INDEX('Raw Data'!Y:Y,MATCH($B105,'Raw Data'!$C:$C,0)),"-")</f>
        <v>5389.5313679999999</v>
      </c>
      <c r="F105" s="14">
        <f>IFERROR(INDEX('Raw Data'!F:F,MATCH($B105,'Raw Data'!$C:$C,0)),"-")</f>
        <v>198.41639999999899</v>
      </c>
      <c r="G105" s="12">
        <f>IFERROR(INDEX('Raw Data'!U:U,MATCH($B105,'Raw Data'!$C:$C,0)),"-")</f>
        <v>0</v>
      </c>
      <c r="H105" s="12">
        <f>IFERROR(INDEX('Raw Data'!R:R,MATCH($B105,'Raw Data'!$C:$C,0)),"-")</f>
        <v>0</v>
      </c>
    </row>
    <row r="106" spans="1:8" ht="15" customHeight="1" x14ac:dyDescent="0.35">
      <c r="A106" s="15" t="str">
        <f>IFERROR(INDEX('Raw Data'!AC:AC,MATCH($B106,'Raw Data'!$C:$C,0)),"-")</f>
        <v>Tipper</v>
      </c>
      <c r="B106" s="7" t="s">
        <v>97</v>
      </c>
      <c r="C106" s="8">
        <f>IFERROR(INDEX('Raw Data'!W:W,MATCH($B106,'Raw Data'!$C:$C,0)),"-")</f>
        <v>5531.57</v>
      </c>
      <c r="D106" s="17">
        <f>IFERROR(INDEX('Raw Data'!X:X,MATCH($B106,'Raw Data'!$C:$C,0)),"-")</f>
        <v>14.479120780000001</v>
      </c>
      <c r="E106" s="17">
        <f>IFERROR(INDEX('Raw Data'!Y:Y,MATCH($B106,'Raw Data'!$C:$C,0)),"-")</f>
        <v>5260.9002119999996</v>
      </c>
      <c r="F106" s="10">
        <f>IFERROR(INDEX('Raw Data'!F:F,MATCH($B106,'Raw Data'!$C:$C,0)),"-")</f>
        <v>367.57130000000001</v>
      </c>
      <c r="G106" s="8">
        <f>IFERROR(INDEX('Raw Data'!U:U,MATCH($B106,'Raw Data'!$C:$C,0)),"-")</f>
        <v>182</v>
      </c>
      <c r="H106" s="8">
        <f>IFERROR(INDEX('Raw Data'!R:R,MATCH($B106,'Raw Data'!$C:$C,0)),"-")</f>
        <v>30062.65</v>
      </c>
    </row>
    <row r="107" spans="1:8" ht="15" customHeight="1" x14ac:dyDescent="0.35">
      <c r="A107" s="16" t="str">
        <f>IFERROR(INDEX('Raw Data'!AC:AC,MATCH($B107,'Raw Data'!$C:$C,0)),"-")</f>
        <v>Dumper</v>
      </c>
      <c r="B107" s="11" t="s">
        <v>111</v>
      </c>
      <c r="C107" s="12">
        <f>IFERROR(INDEX('Raw Data'!W:W,MATCH($B107,'Raw Data'!$C:$C,0)),"-")</f>
        <v>5500.76</v>
      </c>
      <c r="D107" s="18">
        <f>IFERROR(INDEX('Raw Data'!X:X,MATCH($B107,'Raw Data'!$C:$C,0)),"-")</f>
        <v>12.38968231</v>
      </c>
      <c r="E107" s="18">
        <f>IFERROR(INDEX('Raw Data'!Y:Y,MATCH($B107,'Raw Data'!$C:$C,0)),"-")</f>
        <v>4341.4140630000002</v>
      </c>
      <c r="F107" s="14">
        <f>IFERROR(INDEX('Raw Data'!F:F,MATCH($B107,'Raw Data'!$C:$C,0)),"-")</f>
        <v>354.30799999999999</v>
      </c>
      <c r="G107" s="12">
        <f>IFERROR(INDEX('Raw Data'!U:U,MATCH($B107,'Raw Data'!$C:$C,0)),"-")</f>
        <v>15200</v>
      </c>
      <c r="H107" s="12">
        <f>IFERROR(INDEX('Raw Data'!R:R,MATCH($B107,'Raw Data'!$C:$C,0)),"-")</f>
        <v>0</v>
      </c>
    </row>
    <row r="108" spans="1:8" ht="15" customHeight="1" x14ac:dyDescent="0.35">
      <c r="A108" s="15" t="str">
        <f>IFERROR(INDEX('Raw Data'!AC:AC,MATCH($B108,'Raw Data'!$C:$C,0)),"-")</f>
        <v>Tipper</v>
      </c>
      <c r="B108" s="7" t="s">
        <v>92</v>
      </c>
      <c r="C108" s="8">
        <f>IFERROR(INDEX('Raw Data'!W:W,MATCH($B108,'Raw Data'!$C:$C,0)),"-")</f>
        <v>5494.24</v>
      </c>
      <c r="D108" s="17">
        <f>IFERROR(INDEX('Raw Data'!X:X,MATCH($B108,'Raw Data'!$C:$C,0)),"-")</f>
        <v>12.87722057</v>
      </c>
      <c r="E108" s="17">
        <f>IFERROR(INDEX('Raw Data'!Y:Y,MATCH($B108,'Raw Data'!$C:$C,0)),"-")</f>
        <v>5138.7128169999996</v>
      </c>
      <c r="F108" s="10">
        <f>IFERROR(INDEX('Raw Data'!F:F,MATCH($B108,'Raw Data'!$C:$C,0)),"-")</f>
        <v>405.55149999999901</v>
      </c>
      <c r="G108" s="8">
        <f>IFERROR(INDEX('Raw Data'!U:U,MATCH($B108,'Raw Data'!$C:$C,0)),"-")</f>
        <v>156</v>
      </c>
      <c r="H108" s="8">
        <f>IFERROR(INDEX('Raw Data'!R:R,MATCH($B108,'Raw Data'!$C:$C,0)),"-")</f>
        <v>32484.98</v>
      </c>
    </row>
    <row r="109" spans="1:8" ht="15" customHeight="1" x14ac:dyDescent="0.35">
      <c r="A109" s="16" t="str">
        <f>IFERROR(INDEX('Raw Data'!AC:AC,MATCH($B109,'Raw Data'!$C:$C,0)),"-")</f>
        <v>Front End Loader</v>
      </c>
      <c r="B109" s="11" t="s">
        <v>186</v>
      </c>
      <c r="C109" s="12">
        <f>IFERROR(INDEX('Raw Data'!W:W,MATCH($B109,'Raw Data'!$C:$C,0)),"-")</f>
        <v>5432.47</v>
      </c>
      <c r="D109" s="18">
        <f>IFERROR(INDEX('Raw Data'!X:X,MATCH($B109,'Raw Data'!$C:$C,0)),"-")</f>
        <v>25.300192580000001</v>
      </c>
      <c r="E109" s="18">
        <f>IFERROR(INDEX('Raw Data'!Y:Y,MATCH($B109,'Raw Data'!$C:$C,0)),"-")</f>
        <v>5188.3206120000004</v>
      </c>
      <c r="F109" s="14">
        <f>IFERROR(INDEX('Raw Data'!F:F,MATCH($B109,'Raw Data'!$C:$C,0)),"-")</f>
        <v>207.41999999999899</v>
      </c>
      <c r="G109" s="12">
        <f>IFERROR(INDEX('Raw Data'!U:U,MATCH($B109,'Raw Data'!$C:$C,0)),"-")</f>
        <v>0</v>
      </c>
      <c r="H109" s="12">
        <f>IFERROR(INDEX('Raw Data'!R:R,MATCH($B109,'Raw Data'!$C:$C,0)),"-")</f>
        <v>0</v>
      </c>
    </row>
    <row r="110" spans="1:8" ht="15" customHeight="1" x14ac:dyDescent="0.35">
      <c r="A110" s="15" t="str">
        <f>IFERROR(INDEX('Raw Data'!AC:AC,MATCH($B110,'Raw Data'!$C:$C,0)),"-")</f>
        <v>Dumper</v>
      </c>
      <c r="B110" s="7" t="s">
        <v>122</v>
      </c>
      <c r="C110" s="8">
        <f>IFERROR(INDEX('Raw Data'!W:W,MATCH($B110,'Raw Data'!$C:$C,0)),"-")</f>
        <v>5414.22</v>
      </c>
      <c r="D110" s="17">
        <f>IFERROR(INDEX('Raw Data'!X:X,MATCH($B110,'Raw Data'!$C:$C,0)),"-")</f>
        <v>14.348614230000001</v>
      </c>
      <c r="E110" s="17">
        <f>IFERROR(INDEX('Raw Data'!Y:Y,MATCH($B110,'Raw Data'!$C:$C,0)),"-")</f>
        <v>4373.9913839999999</v>
      </c>
      <c r="F110" s="10">
        <f>IFERROR(INDEX('Raw Data'!F:F,MATCH($B110,'Raw Data'!$C:$C,0)),"-")</f>
        <v>308.26109999999898</v>
      </c>
      <c r="G110" s="8">
        <f>IFERROR(INDEX('Raw Data'!U:U,MATCH($B110,'Raw Data'!$C:$C,0)),"-")</f>
        <v>13175</v>
      </c>
      <c r="H110" s="8">
        <f>IFERROR(INDEX('Raw Data'!R:R,MATCH($B110,'Raw Data'!$C:$C,0)),"-")</f>
        <v>0</v>
      </c>
    </row>
    <row r="111" spans="1:8" ht="15" customHeight="1" x14ac:dyDescent="0.35">
      <c r="A111" s="16" t="str">
        <f>IFERROR(INDEX('Raw Data'!AC:AC,MATCH($B111,'Raw Data'!$C:$C,0)),"-")</f>
        <v>Dumper</v>
      </c>
      <c r="B111" s="11" t="s">
        <v>132</v>
      </c>
      <c r="C111" s="12">
        <f>IFERROR(INDEX('Raw Data'!W:W,MATCH($B111,'Raw Data'!$C:$C,0)),"-")</f>
        <v>5378.03999999999</v>
      </c>
      <c r="D111" s="18">
        <f>IFERROR(INDEX('Raw Data'!X:X,MATCH($B111,'Raw Data'!$C:$C,0)),"-")</f>
        <v>18.633894170000001</v>
      </c>
      <c r="E111" s="18">
        <f>IFERROR(INDEX('Raw Data'!Y:Y,MATCH($B111,'Raw Data'!$C:$C,0)),"-")</f>
        <v>4832.147027</v>
      </c>
      <c r="F111" s="14">
        <f>IFERROR(INDEX('Raw Data'!F:F,MATCH($B111,'Raw Data'!$C:$C,0)),"-")</f>
        <v>266.74269999999899</v>
      </c>
      <c r="G111" s="12">
        <f>IFERROR(INDEX('Raw Data'!U:U,MATCH($B111,'Raw Data'!$C:$C,0)),"-")</f>
        <v>12825</v>
      </c>
      <c r="H111" s="12">
        <f>IFERROR(INDEX('Raw Data'!R:R,MATCH($B111,'Raw Data'!$C:$C,0)),"-")</f>
        <v>0</v>
      </c>
    </row>
    <row r="112" spans="1:8" ht="15" customHeight="1" x14ac:dyDescent="0.35">
      <c r="A112" s="15" t="str">
        <f>IFERROR(INDEX('Raw Data'!AC:AC,MATCH($B112,'Raw Data'!$C:$C,0)),"-")</f>
        <v>Dumper</v>
      </c>
      <c r="B112" s="7" t="s">
        <v>104</v>
      </c>
      <c r="C112" s="8">
        <f>IFERROR(INDEX('Raw Data'!W:W,MATCH($B112,'Raw Data'!$C:$C,0)),"-")</f>
        <v>5375.5</v>
      </c>
      <c r="D112" s="17">
        <f>IFERROR(INDEX('Raw Data'!X:X,MATCH($B112,'Raw Data'!$C:$C,0)),"-")</f>
        <v>8.8801774879999993</v>
      </c>
      <c r="E112" s="17">
        <f>IFERROR(INDEX('Raw Data'!Y:Y,MATCH($B112,'Raw Data'!$C:$C,0)),"-")</f>
        <v>3084.5394190000002</v>
      </c>
      <c r="F112" s="10">
        <f>IFERROR(INDEX('Raw Data'!F:F,MATCH($B112,'Raw Data'!$C:$C,0)),"-")</f>
        <v>348.53399999999999</v>
      </c>
      <c r="G112" s="8">
        <f>IFERROR(INDEX('Raw Data'!U:U,MATCH($B112,'Raw Data'!$C:$C,0)),"-")</f>
        <v>14150</v>
      </c>
      <c r="H112" s="8">
        <f>IFERROR(INDEX('Raw Data'!R:R,MATCH($B112,'Raw Data'!$C:$C,0)),"-")</f>
        <v>0</v>
      </c>
    </row>
    <row r="113" spans="1:8" ht="15" customHeight="1" x14ac:dyDescent="0.35">
      <c r="A113" s="16" t="str">
        <f>IFERROR(INDEX('Raw Data'!AC:AC,MATCH($B113,'Raw Data'!$C:$C,0)),"-")</f>
        <v>Dumper</v>
      </c>
      <c r="B113" s="11" t="s">
        <v>134</v>
      </c>
      <c r="C113" s="12">
        <f>IFERROR(INDEX('Raw Data'!W:W,MATCH($B113,'Raw Data'!$C:$C,0)),"-")</f>
        <v>5374.34</v>
      </c>
      <c r="D113" s="18">
        <f>IFERROR(INDEX('Raw Data'!X:X,MATCH($B113,'Raw Data'!$C:$C,0)),"-")</f>
        <v>15.014563819999999</v>
      </c>
      <c r="E113" s="18">
        <f>IFERROR(INDEX('Raw Data'!Y:Y,MATCH($B113,'Raw Data'!$C:$C,0)),"-")</f>
        <v>4877.5140890000002</v>
      </c>
      <c r="F113" s="14">
        <f>IFERROR(INDEX('Raw Data'!F:F,MATCH($B113,'Raw Data'!$C:$C,0)),"-")</f>
        <v>332.537499999999</v>
      </c>
      <c r="G113" s="12">
        <f>IFERROR(INDEX('Raw Data'!U:U,MATCH($B113,'Raw Data'!$C:$C,0)),"-")</f>
        <v>13900</v>
      </c>
      <c r="H113" s="12">
        <f>IFERROR(INDEX('Raw Data'!R:R,MATCH($B113,'Raw Data'!$C:$C,0)),"-")</f>
        <v>0</v>
      </c>
    </row>
    <row r="114" spans="1:8" ht="15" customHeight="1" x14ac:dyDescent="0.35">
      <c r="A114" s="15" t="str">
        <f>IFERROR(INDEX('Raw Data'!AC:AC,MATCH($B114,'Raw Data'!$C:$C,0)),"-")</f>
        <v>Tipper</v>
      </c>
      <c r="B114" s="7" t="s">
        <v>99</v>
      </c>
      <c r="C114" s="8">
        <f>IFERROR(INDEX('Raw Data'!W:W,MATCH($B114,'Raw Data'!$C:$C,0)),"-")</f>
        <v>5309.29</v>
      </c>
      <c r="D114" s="17">
        <f>IFERROR(INDEX('Raw Data'!X:X,MATCH($B114,'Raw Data'!$C:$C,0)),"-")</f>
        <v>13.819402330000001</v>
      </c>
      <c r="E114" s="17">
        <f>IFERROR(INDEX('Raw Data'!Y:Y,MATCH($B114,'Raw Data'!$C:$C,0)),"-")</f>
        <v>5138.3882149999999</v>
      </c>
      <c r="F114" s="10">
        <f>IFERROR(INDEX('Raw Data'!F:F,MATCH($B114,'Raw Data'!$C:$C,0)),"-")</f>
        <v>378.4787</v>
      </c>
      <c r="G114" s="8">
        <f>IFERROR(INDEX('Raw Data'!U:U,MATCH($B114,'Raw Data'!$C:$C,0)),"-")</f>
        <v>143</v>
      </c>
      <c r="H114" s="8">
        <f>IFERROR(INDEX('Raw Data'!R:R,MATCH($B114,'Raw Data'!$C:$C,0)),"-")</f>
        <v>33780.29</v>
      </c>
    </row>
    <row r="115" spans="1:8" ht="15" customHeight="1" x14ac:dyDescent="0.35">
      <c r="A115" s="16" t="str">
        <f>IFERROR(INDEX('Raw Data'!AC:AC,MATCH($B115,'Raw Data'!$C:$C,0)),"-")</f>
        <v>Dumper</v>
      </c>
      <c r="B115" s="11" t="s">
        <v>133</v>
      </c>
      <c r="C115" s="12">
        <f>IFERROR(INDEX('Raw Data'!W:W,MATCH($B115,'Raw Data'!$C:$C,0)),"-")</f>
        <v>5239.5099999999902</v>
      </c>
      <c r="D115" s="18">
        <f>IFERROR(INDEX('Raw Data'!X:X,MATCH($B115,'Raw Data'!$C:$C,0)),"-")</f>
        <v>17.164798130000001</v>
      </c>
      <c r="E115" s="18">
        <f>IFERROR(INDEX('Raw Data'!Y:Y,MATCH($B115,'Raw Data'!$C:$C,0)),"-")</f>
        <v>4768.4272650000003</v>
      </c>
      <c r="F115" s="14">
        <f>IFERROR(INDEX('Raw Data'!F:F,MATCH($B115,'Raw Data'!$C:$C,0)),"-")</f>
        <v>287.74579999999997</v>
      </c>
      <c r="G115" s="12">
        <f>IFERROR(INDEX('Raw Data'!U:U,MATCH($B115,'Raw Data'!$C:$C,0)),"-")</f>
        <v>15925</v>
      </c>
      <c r="H115" s="12">
        <f>IFERROR(INDEX('Raw Data'!R:R,MATCH($B115,'Raw Data'!$C:$C,0)),"-")</f>
        <v>0</v>
      </c>
    </row>
    <row r="116" spans="1:8" ht="15" customHeight="1" x14ac:dyDescent="0.35">
      <c r="A116" s="15" t="str">
        <f>IFERROR(INDEX('Raw Data'!AC:AC,MATCH($B116,'Raw Data'!$C:$C,0)),"-")</f>
        <v>Dumper</v>
      </c>
      <c r="B116" s="7" t="s">
        <v>116</v>
      </c>
      <c r="C116" s="8">
        <f>IFERROR(INDEX('Raw Data'!W:W,MATCH($B116,'Raw Data'!$C:$C,0)),"-")</f>
        <v>5156.0299999999897</v>
      </c>
      <c r="D116" s="17">
        <f>IFERROR(INDEX('Raw Data'!X:X,MATCH($B116,'Raw Data'!$C:$C,0)),"-")</f>
        <v>13.22772254</v>
      </c>
      <c r="E116" s="17">
        <f>IFERROR(INDEX('Raw Data'!Y:Y,MATCH($B116,'Raw Data'!$C:$C,0)),"-")</f>
        <v>4542.3099709999997</v>
      </c>
      <c r="F116" s="10">
        <f>IFERROR(INDEX('Raw Data'!F:F,MATCH($B116,'Raw Data'!$C:$C,0)),"-")</f>
        <v>350.61970000000002</v>
      </c>
      <c r="G116" s="8">
        <f>IFERROR(INDEX('Raw Data'!U:U,MATCH($B116,'Raw Data'!$C:$C,0)),"-")</f>
        <v>14900</v>
      </c>
      <c r="H116" s="8">
        <f>IFERROR(INDEX('Raw Data'!R:R,MATCH($B116,'Raw Data'!$C:$C,0)),"-")</f>
        <v>0</v>
      </c>
    </row>
    <row r="117" spans="1:8" ht="15" customHeight="1" x14ac:dyDescent="0.35">
      <c r="A117" s="16" t="str">
        <f>IFERROR(INDEX('Raw Data'!AC:AC,MATCH($B117,'Raw Data'!$C:$C,0)),"-")</f>
        <v>Tipper</v>
      </c>
      <c r="B117" s="11" t="s">
        <v>93</v>
      </c>
      <c r="C117" s="12">
        <f>IFERROR(INDEX('Raw Data'!W:W,MATCH($B117,'Raw Data'!$C:$C,0)),"-")</f>
        <v>5070.4099999999899</v>
      </c>
      <c r="D117" s="18">
        <f>IFERROR(INDEX('Raw Data'!X:X,MATCH($B117,'Raw Data'!$C:$C,0)),"-")</f>
        <v>14.97523674</v>
      </c>
      <c r="E117" s="18">
        <f>IFERROR(INDEX('Raw Data'!Y:Y,MATCH($B117,'Raw Data'!$C:$C,0)),"-")</f>
        <v>4813.6985020000002</v>
      </c>
      <c r="F117" s="14">
        <f>IFERROR(INDEX('Raw Data'!F:F,MATCH($B117,'Raw Data'!$C:$C,0)),"-")</f>
        <v>324.52539999999902</v>
      </c>
      <c r="G117" s="12">
        <f>IFERROR(INDEX('Raw Data'!U:U,MATCH($B117,'Raw Data'!$C:$C,0)),"-")</f>
        <v>143</v>
      </c>
      <c r="H117" s="12">
        <f>IFERROR(INDEX('Raw Data'!R:R,MATCH($B117,'Raw Data'!$C:$C,0)),"-")</f>
        <v>30530.62</v>
      </c>
    </row>
    <row r="118" spans="1:8" ht="15" customHeight="1" x14ac:dyDescent="0.35">
      <c r="A118" s="15" t="str">
        <f>IFERROR(INDEX('Raw Data'!AC:AC,MATCH($B118,'Raw Data'!$C:$C,0)),"-")</f>
        <v>Excavator</v>
      </c>
      <c r="B118" s="7" t="s">
        <v>221</v>
      </c>
      <c r="C118" s="8">
        <f>IFERROR(INDEX('Raw Data'!W:W,MATCH($B118,'Raw Data'!$C:$C,0)),"-")</f>
        <v>5069.5599999999904</v>
      </c>
      <c r="D118" s="17">
        <f>IFERROR(INDEX('Raw Data'!X:X,MATCH($B118,'Raw Data'!$C:$C,0)),"-")</f>
        <v>31.40183906</v>
      </c>
      <c r="E118" s="17">
        <f>IFERROR(INDEX('Raw Data'!Y:Y,MATCH($B118,'Raw Data'!$C:$C,0)),"-")</f>
        <v>5069.5599999999904</v>
      </c>
      <c r="F118" s="10">
        <f>IFERROR(INDEX('Raw Data'!F:F,MATCH($B118,'Raw Data'!$C:$C,0)),"-")</f>
        <v>168.539999999999</v>
      </c>
      <c r="G118" s="8">
        <f>IFERROR(INDEX('Raw Data'!U:U,MATCH($B118,'Raw Data'!$C:$C,0)),"-")</f>
        <v>0</v>
      </c>
      <c r="H118" s="8">
        <f>IFERROR(INDEX('Raw Data'!R:R,MATCH($B118,'Raw Data'!$C:$C,0)),"-")</f>
        <v>0</v>
      </c>
    </row>
    <row r="119" spans="1:8" ht="15" customHeight="1" x14ac:dyDescent="0.35">
      <c r="A119" s="16" t="str">
        <f>IFERROR(INDEX('Raw Data'!AC:AC,MATCH($B119,'Raw Data'!$C:$C,0)),"-")</f>
        <v>Excavator</v>
      </c>
      <c r="B119" s="11" t="s">
        <v>203</v>
      </c>
      <c r="C119" s="12">
        <f>IFERROR(INDEX('Raw Data'!W:W,MATCH($B119,'Raw Data'!$C:$C,0)),"-")</f>
        <v>5047.45999999999</v>
      </c>
      <c r="D119" s="18">
        <f>IFERROR(INDEX('Raw Data'!X:X,MATCH($B119,'Raw Data'!$C:$C,0)),"-")</f>
        <v>30.419029599999998</v>
      </c>
      <c r="E119" s="18">
        <f>IFERROR(INDEX('Raw Data'!Y:Y,MATCH($B119,'Raw Data'!$C:$C,0)),"-")</f>
        <v>5047.45999999999</v>
      </c>
      <c r="F119" s="14">
        <f>IFERROR(INDEX('Raw Data'!F:F,MATCH($B119,'Raw Data'!$C:$C,0)),"-")</f>
        <v>172.3509</v>
      </c>
      <c r="G119" s="12">
        <f>IFERROR(INDEX('Raw Data'!U:U,MATCH($B119,'Raw Data'!$C:$C,0)),"-")</f>
        <v>0</v>
      </c>
      <c r="H119" s="12">
        <f>IFERROR(INDEX('Raw Data'!R:R,MATCH($B119,'Raw Data'!$C:$C,0)),"-")</f>
        <v>0</v>
      </c>
    </row>
    <row r="120" spans="1:8" ht="15" customHeight="1" x14ac:dyDescent="0.35">
      <c r="A120" s="15" t="str">
        <f>IFERROR(INDEX('Raw Data'!AC:AC,MATCH($B120,'Raw Data'!$C:$C,0)),"-")</f>
        <v>Dumper</v>
      </c>
      <c r="B120" s="7" t="s">
        <v>115</v>
      </c>
      <c r="C120" s="8">
        <f>IFERROR(INDEX('Raw Data'!W:W,MATCH($B120,'Raw Data'!$C:$C,0)),"-")</f>
        <v>5043.2699999999904</v>
      </c>
      <c r="D120" s="17">
        <f>IFERROR(INDEX('Raw Data'!X:X,MATCH($B120,'Raw Data'!$C:$C,0)),"-")</f>
        <v>16.79090763</v>
      </c>
      <c r="E120" s="17">
        <f>IFERROR(INDEX('Raw Data'!Y:Y,MATCH($B120,'Raw Data'!$C:$C,0)),"-")</f>
        <v>4035.7399829999999</v>
      </c>
      <c r="F120" s="10">
        <f>IFERROR(INDEX('Raw Data'!F:F,MATCH($B120,'Raw Data'!$C:$C,0)),"-")</f>
        <v>260.79199999999997</v>
      </c>
      <c r="G120" s="8">
        <f>IFERROR(INDEX('Raw Data'!U:U,MATCH($B120,'Raw Data'!$C:$C,0)),"-")</f>
        <v>12500</v>
      </c>
      <c r="H120" s="8">
        <f>IFERROR(INDEX('Raw Data'!R:R,MATCH($B120,'Raw Data'!$C:$C,0)),"-")</f>
        <v>0</v>
      </c>
    </row>
    <row r="121" spans="1:8" ht="15" customHeight="1" x14ac:dyDescent="0.35">
      <c r="A121" s="16" t="str">
        <f>IFERROR(INDEX('Raw Data'!AC:AC,MATCH($B121,'Raw Data'!$C:$C,0)),"-")</f>
        <v>Tipper</v>
      </c>
      <c r="B121" s="11" t="s">
        <v>86</v>
      </c>
      <c r="C121" s="12">
        <f>IFERROR(INDEX('Raw Data'!W:W,MATCH($B121,'Raw Data'!$C:$C,0)),"-")</f>
        <v>5028.8999999999996</v>
      </c>
      <c r="D121" s="18">
        <f>IFERROR(INDEX('Raw Data'!X:X,MATCH($B121,'Raw Data'!$C:$C,0)),"-")</f>
        <v>0</v>
      </c>
      <c r="E121" s="18">
        <f>IFERROR(INDEX('Raw Data'!Y:Y,MATCH($B121,'Raw Data'!$C:$C,0)),"-")</f>
        <v>0</v>
      </c>
      <c r="F121" s="14">
        <f>IFERROR(INDEX('Raw Data'!F:F,MATCH($B121,'Raw Data'!$C:$C,0)),"-")</f>
        <v>3.9135</v>
      </c>
      <c r="G121" s="12">
        <f>IFERROR(INDEX('Raw Data'!U:U,MATCH($B121,'Raw Data'!$C:$C,0)),"-")</f>
        <v>247</v>
      </c>
      <c r="H121" s="12">
        <f>IFERROR(INDEX('Raw Data'!R:R,MATCH($B121,'Raw Data'!$C:$C,0)),"-")</f>
        <v>26879.43</v>
      </c>
    </row>
    <row r="122" spans="1:8" ht="15" customHeight="1" x14ac:dyDescent="0.35">
      <c r="A122" s="15" t="str">
        <f>IFERROR(INDEX('Raw Data'!AC:AC,MATCH($B122,'Raw Data'!$C:$C,0)),"-")</f>
        <v>Dumper</v>
      </c>
      <c r="B122" s="7" t="s">
        <v>106</v>
      </c>
      <c r="C122" s="8">
        <f>IFERROR(INDEX('Raw Data'!W:W,MATCH($B122,'Raw Data'!$C:$C,0)),"-")</f>
        <v>4994.21</v>
      </c>
      <c r="D122" s="17">
        <f>IFERROR(INDEX('Raw Data'!X:X,MATCH($B122,'Raw Data'!$C:$C,0)),"-")</f>
        <v>13.253787409999999</v>
      </c>
      <c r="E122" s="17">
        <f>IFERROR(INDEX('Raw Data'!Y:Y,MATCH($B122,'Raw Data'!$C:$C,0)),"-")</f>
        <v>4115.1684539999997</v>
      </c>
      <c r="F122" s="10">
        <f>IFERROR(INDEX('Raw Data'!F:F,MATCH($B122,'Raw Data'!$C:$C,0)),"-")</f>
        <v>313.69479999999999</v>
      </c>
      <c r="G122" s="8">
        <f>IFERROR(INDEX('Raw Data'!U:U,MATCH($B122,'Raw Data'!$C:$C,0)),"-")</f>
        <v>14650</v>
      </c>
      <c r="H122" s="8">
        <f>IFERROR(INDEX('Raw Data'!R:R,MATCH($B122,'Raw Data'!$C:$C,0)),"-")</f>
        <v>0</v>
      </c>
    </row>
    <row r="123" spans="1:8" ht="15" customHeight="1" x14ac:dyDescent="0.35">
      <c r="A123" s="16" t="str">
        <f>IFERROR(INDEX('Raw Data'!AC:AC,MATCH($B123,'Raw Data'!$C:$C,0)),"-")</f>
        <v>Tipper</v>
      </c>
      <c r="B123" s="11" t="s">
        <v>90</v>
      </c>
      <c r="C123" s="12">
        <f>IFERROR(INDEX('Raw Data'!W:W,MATCH($B123,'Raw Data'!$C:$C,0)),"-")</f>
        <v>4950.6899999999896</v>
      </c>
      <c r="D123" s="18">
        <f>IFERROR(INDEX('Raw Data'!X:X,MATCH($B123,'Raw Data'!$C:$C,0)),"-")</f>
        <v>13.507531650000001</v>
      </c>
      <c r="E123" s="18">
        <f>IFERROR(INDEX('Raw Data'!Y:Y,MATCH($B123,'Raw Data'!$C:$C,0)),"-")</f>
        <v>4665.4055289999997</v>
      </c>
      <c r="F123" s="14">
        <f>IFERROR(INDEX('Raw Data'!F:F,MATCH($B123,'Raw Data'!$C:$C,0)),"-")</f>
        <v>351.92209999999898</v>
      </c>
      <c r="G123" s="12">
        <f>IFERROR(INDEX('Raw Data'!U:U,MATCH($B123,'Raw Data'!$C:$C,0)),"-")</f>
        <v>130</v>
      </c>
      <c r="H123" s="12">
        <f>IFERROR(INDEX('Raw Data'!R:R,MATCH($B123,'Raw Data'!$C:$C,0)),"-")</f>
        <v>29955.96</v>
      </c>
    </row>
    <row r="124" spans="1:8" ht="15" customHeight="1" x14ac:dyDescent="0.35">
      <c r="A124" s="15" t="str">
        <f>IFERROR(INDEX('Raw Data'!AC:AC,MATCH($B124,'Raw Data'!$C:$C,0)),"-")</f>
        <v>Tipper</v>
      </c>
      <c r="B124" s="7" t="s">
        <v>60</v>
      </c>
      <c r="C124" s="8">
        <f>IFERROR(INDEX('Raw Data'!W:W,MATCH($B124,'Raw Data'!$C:$C,0)),"-")</f>
        <v>4938.5899999999901</v>
      </c>
      <c r="D124" s="17">
        <f>IFERROR(INDEX('Raw Data'!X:X,MATCH($B124,'Raw Data'!$C:$C,0)),"-")</f>
        <v>15.571180930000001</v>
      </c>
      <c r="E124" s="17">
        <f>IFERROR(INDEX('Raw Data'!Y:Y,MATCH($B124,'Raw Data'!$C:$C,0)),"-")</f>
        <v>4734.4596039999997</v>
      </c>
      <c r="F124" s="10">
        <f>IFERROR(INDEX('Raw Data'!F:F,MATCH($B124,'Raw Data'!$C:$C,0)),"-")</f>
        <v>307.4067</v>
      </c>
      <c r="G124" s="8">
        <f>IFERROR(INDEX('Raw Data'!U:U,MATCH($B124,'Raw Data'!$C:$C,0)),"-")</f>
        <v>390</v>
      </c>
      <c r="H124" s="8">
        <f>IFERROR(INDEX('Raw Data'!R:R,MATCH($B124,'Raw Data'!$C:$C,0)),"-")</f>
        <v>27270.82</v>
      </c>
    </row>
    <row r="125" spans="1:8" ht="15" customHeight="1" x14ac:dyDescent="0.35">
      <c r="A125" s="16" t="str">
        <f>IFERROR(INDEX('Raw Data'!AC:AC,MATCH($B125,'Raw Data'!$C:$C,0)),"-")</f>
        <v>Tipper</v>
      </c>
      <c r="B125" s="11" t="s">
        <v>85</v>
      </c>
      <c r="C125" s="12">
        <f>IFERROR(INDEX('Raw Data'!W:W,MATCH($B125,'Raw Data'!$C:$C,0)),"-")</f>
        <v>4924.38</v>
      </c>
      <c r="D125" s="18">
        <f>IFERROR(INDEX('Raw Data'!X:X,MATCH($B125,'Raw Data'!$C:$C,0)),"-")</f>
        <v>13.863245300000001</v>
      </c>
      <c r="E125" s="18">
        <f>IFERROR(INDEX('Raw Data'!Y:Y,MATCH($B125,'Raw Data'!$C:$C,0)),"-")</f>
        <v>4725.5172910000001</v>
      </c>
      <c r="F125" s="14">
        <f>IFERROR(INDEX('Raw Data'!F:F,MATCH($B125,'Raw Data'!$C:$C,0)),"-")</f>
        <v>343.98119999999898</v>
      </c>
      <c r="G125" s="12">
        <f>IFERROR(INDEX('Raw Data'!U:U,MATCH($B125,'Raw Data'!$C:$C,0)),"-")</f>
        <v>299</v>
      </c>
      <c r="H125" s="12">
        <f>IFERROR(INDEX('Raw Data'!R:R,MATCH($B125,'Raw Data'!$C:$C,0)),"-")</f>
        <v>24877.82</v>
      </c>
    </row>
    <row r="126" spans="1:8" ht="15" customHeight="1" x14ac:dyDescent="0.35">
      <c r="A126" s="15" t="str">
        <f>IFERROR(INDEX('Raw Data'!AC:AC,MATCH($B126,'Raw Data'!$C:$C,0)),"-")</f>
        <v>Tipper</v>
      </c>
      <c r="B126" s="7" t="s">
        <v>84</v>
      </c>
      <c r="C126" s="8">
        <f>IFERROR(INDEX('Raw Data'!W:W,MATCH($B126,'Raw Data'!$C:$C,0)),"-")</f>
        <v>4868.6000000000004</v>
      </c>
      <c r="D126" s="17">
        <f>IFERROR(INDEX('Raw Data'!X:X,MATCH($B126,'Raw Data'!$C:$C,0)),"-")</f>
        <v>14.72325773</v>
      </c>
      <c r="E126" s="17">
        <f>IFERROR(INDEX('Raw Data'!Y:Y,MATCH($B126,'Raw Data'!$C:$C,0)),"-")</f>
        <v>4593.3678369999998</v>
      </c>
      <c r="F126" s="10">
        <f>IFERROR(INDEX('Raw Data'!F:F,MATCH($B126,'Raw Data'!$C:$C,0)),"-")</f>
        <v>316.02739999999898</v>
      </c>
      <c r="G126" s="8">
        <f>IFERROR(INDEX('Raw Data'!U:U,MATCH($B126,'Raw Data'!$C:$C,0)),"-")</f>
        <v>195</v>
      </c>
      <c r="H126" s="8">
        <f>IFERROR(INDEX('Raw Data'!R:R,MATCH($B126,'Raw Data'!$C:$C,0)),"-")</f>
        <v>26475.62</v>
      </c>
    </row>
    <row r="127" spans="1:8" ht="15" customHeight="1" x14ac:dyDescent="0.35">
      <c r="A127" s="16" t="str">
        <f>IFERROR(INDEX('Raw Data'!AC:AC,MATCH($B127,'Raw Data'!$C:$C,0)),"-")</f>
        <v>Dumper</v>
      </c>
      <c r="B127" s="11" t="s">
        <v>128</v>
      </c>
      <c r="C127" s="12">
        <f>IFERROR(INDEX('Raw Data'!W:W,MATCH($B127,'Raw Data'!$C:$C,0)),"-")</f>
        <v>4844.6000000000004</v>
      </c>
      <c r="D127" s="18">
        <f>IFERROR(INDEX('Raw Data'!X:X,MATCH($B127,'Raw Data'!$C:$C,0)),"-")</f>
        <v>15.70047566</v>
      </c>
      <c r="E127" s="18">
        <f>IFERROR(INDEX('Raw Data'!Y:Y,MATCH($B127,'Raw Data'!$C:$C,0)),"-")</f>
        <v>4251.701368</v>
      </c>
      <c r="F127" s="14">
        <f>IFERROR(INDEX('Raw Data'!F:F,MATCH($B127,'Raw Data'!$C:$C,0)),"-")</f>
        <v>291.63639999999998</v>
      </c>
      <c r="G127" s="12">
        <f>IFERROR(INDEX('Raw Data'!U:U,MATCH($B127,'Raw Data'!$C:$C,0)),"-")</f>
        <v>11250</v>
      </c>
      <c r="H127" s="12">
        <f>IFERROR(INDEX('Raw Data'!R:R,MATCH($B127,'Raw Data'!$C:$C,0)),"-")</f>
        <v>464.04</v>
      </c>
    </row>
    <row r="128" spans="1:8" ht="15" customHeight="1" x14ac:dyDescent="0.35">
      <c r="A128" s="15" t="str">
        <f>IFERROR(INDEX('Raw Data'!AC:AC,MATCH($B128,'Raw Data'!$C:$C,0)),"-")</f>
        <v>Dumper</v>
      </c>
      <c r="B128" s="7" t="s">
        <v>147</v>
      </c>
      <c r="C128" s="8">
        <f>IFERROR(INDEX('Raw Data'!W:W,MATCH($B128,'Raw Data'!$C:$C,0)),"-")</f>
        <v>4827.95</v>
      </c>
      <c r="D128" s="17">
        <f>IFERROR(INDEX('Raw Data'!X:X,MATCH($B128,'Raw Data'!$C:$C,0)),"-")</f>
        <v>12.36766677</v>
      </c>
      <c r="E128" s="17">
        <f>IFERROR(INDEX('Raw Data'!Y:Y,MATCH($B128,'Raw Data'!$C:$C,0)),"-")</f>
        <v>4271.1959820000002</v>
      </c>
      <c r="F128" s="10">
        <f>IFERROR(INDEX('Raw Data'!F:F,MATCH($B128,'Raw Data'!$C:$C,0)),"-")</f>
        <v>347.31869999999998</v>
      </c>
      <c r="G128" s="8">
        <f>IFERROR(INDEX('Raw Data'!U:U,MATCH($B128,'Raw Data'!$C:$C,0)),"-")</f>
        <v>13525</v>
      </c>
      <c r="H128" s="8">
        <f>IFERROR(INDEX('Raw Data'!R:R,MATCH($B128,'Raw Data'!$C:$C,0)),"-")</f>
        <v>0</v>
      </c>
    </row>
    <row r="129" spans="1:8" ht="15" customHeight="1" x14ac:dyDescent="0.35">
      <c r="A129" s="16" t="str">
        <f>IFERROR(INDEX('Raw Data'!AC:AC,MATCH($B129,'Raw Data'!$C:$C,0)),"-")</f>
        <v>Tipper</v>
      </c>
      <c r="B129" s="11" t="s">
        <v>80</v>
      </c>
      <c r="C129" s="12">
        <f>IFERROR(INDEX('Raw Data'!W:W,MATCH($B129,'Raw Data'!$C:$C,0)),"-")</f>
        <v>4786.08</v>
      </c>
      <c r="D129" s="18">
        <f>IFERROR(INDEX('Raw Data'!X:X,MATCH($B129,'Raw Data'!$C:$C,0)),"-")</f>
        <v>24.92283995</v>
      </c>
      <c r="E129" s="18">
        <f>IFERROR(INDEX('Raw Data'!Y:Y,MATCH($B129,'Raw Data'!$C:$C,0)),"-")</f>
        <v>4323.8086720000001</v>
      </c>
      <c r="F129" s="14">
        <f>IFERROR(INDEX('Raw Data'!F:F,MATCH($B129,'Raw Data'!$C:$C,0)),"-")</f>
        <v>175.98169999999999</v>
      </c>
      <c r="G129" s="12">
        <f>IFERROR(INDEX('Raw Data'!U:U,MATCH($B129,'Raw Data'!$C:$C,0)),"-")</f>
        <v>247</v>
      </c>
      <c r="H129" s="12">
        <f>IFERROR(INDEX('Raw Data'!R:R,MATCH($B129,'Raw Data'!$C:$C,0)),"-")</f>
        <v>24039.4</v>
      </c>
    </row>
    <row r="130" spans="1:8" ht="15" customHeight="1" x14ac:dyDescent="0.35">
      <c r="A130" s="15" t="str">
        <f>IFERROR(INDEX('Raw Data'!AC:AC,MATCH($B130,'Raw Data'!$C:$C,0)),"-")</f>
        <v>Tipper</v>
      </c>
      <c r="B130" s="7" t="s">
        <v>49</v>
      </c>
      <c r="C130" s="8">
        <f>IFERROR(INDEX('Raw Data'!W:W,MATCH($B130,'Raw Data'!$C:$C,0)),"-")</f>
        <v>4732.4399999999996</v>
      </c>
      <c r="D130" s="17">
        <f>IFERROR(INDEX('Raw Data'!X:X,MATCH($B130,'Raw Data'!$C:$C,0)),"-")</f>
        <v>15.359040999999999</v>
      </c>
      <c r="E130" s="17">
        <f>IFERROR(INDEX('Raw Data'!Y:Y,MATCH($B130,'Raw Data'!$C:$C,0)),"-")</f>
        <v>4473.3468009999997</v>
      </c>
      <c r="F130" s="10">
        <f>IFERROR(INDEX('Raw Data'!F:F,MATCH($B130,'Raw Data'!$C:$C,0)),"-")</f>
        <v>293.985399999999</v>
      </c>
      <c r="G130" s="8">
        <f>IFERROR(INDEX('Raw Data'!U:U,MATCH($B130,'Raw Data'!$C:$C,0)),"-")</f>
        <v>208</v>
      </c>
      <c r="H130" s="8">
        <f>IFERROR(INDEX('Raw Data'!R:R,MATCH($B130,'Raw Data'!$C:$C,0)),"-")</f>
        <v>23629.83</v>
      </c>
    </row>
    <row r="131" spans="1:8" ht="15" customHeight="1" x14ac:dyDescent="0.35">
      <c r="A131" s="16" t="str">
        <f>IFERROR(INDEX('Raw Data'!AC:AC,MATCH($B131,'Raw Data'!$C:$C,0)),"-")</f>
        <v>Tipper</v>
      </c>
      <c r="B131" s="11" t="s">
        <v>98</v>
      </c>
      <c r="C131" s="12">
        <f>IFERROR(INDEX('Raw Data'!W:W,MATCH($B131,'Raw Data'!$C:$C,0)),"-")</f>
        <v>4694.28</v>
      </c>
      <c r="D131" s="18">
        <f>IFERROR(INDEX('Raw Data'!X:X,MATCH($B131,'Raw Data'!$C:$C,0)),"-")</f>
        <v>12.587512719999999</v>
      </c>
      <c r="E131" s="18">
        <f>IFERROR(INDEX('Raw Data'!Y:Y,MATCH($B131,'Raw Data'!$C:$C,0)),"-")</f>
        <v>4530.6712859999998</v>
      </c>
      <c r="F131" s="14">
        <f>IFERROR(INDEX('Raw Data'!F:F,MATCH($B131,'Raw Data'!$C:$C,0)),"-")</f>
        <v>365.16299999999899</v>
      </c>
      <c r="G131" s="12">
        <f>IFERROR(INDEX('Raw Data'!U:U,MATCH($B131,'Raw Data'!$C:$C,0)),"-")</f>
        <v>143</v>
      </c>
      <c r="H131" s="12">
        <f>IFERROR(INDEX('Raw Data'!R:R,MATCH($B131,'Raw Data'!$C:$C,0)),"-")</f>
        <v>33439.71</v>
      </c>
    </row>
    <row r="132" spans="1:8" ht="15" customHeight="1" x14ac:dyDescent="0.35">
      <c r="A132" s="15" t="str">
        <f>IFERROR(INDEX('Raw Data'!AC:AC,MATCH($B132,'Raw Data'!$C:$C,0)),"-")</f>
        <v>Tipper</v>
      </c>
      <c r="B132" s="7" t="s">
        <v>88</v>
      </c>
      <c r="C132" s="8">
        <f>IFERROR(INDEX('Raw Data'!W:W,MATCH($B132,'Raw Data'!$C:$C,0)),"-")</f>
        <v>4669.32</v>
      </c>
      <c r="D132" s="17">
        <f>IFERROR(INDEX('Raw Data'!X:X,MATCH($B132,'Raw Data'!$C:$C,0)),"-")</f>
        <v>15.270224219999999</v>
      </c>
      <c r="E132" s="17">
        <f>IFERROR(INDEX('Raw Data'!Y:Y,MATCH($B132,'Raw Data'!$C:$C,0)),"-")</f>
        <v>4215.7027189999999</v>
      </c>
      <c r="F132" s="10">
        <f>IFERROR(INDEX('Raw Data'!F:F,MATCH($B132,'Raw Data'!$C:$C,0)),"-")</f>
        <v>278.55119999999903</v>
      </c>
      <c r="G132" s="8">
        <f>IFERROR(INDEX('Raw Data'!U:U,MATCH($B132,'Raw Data'!$C:$C,0)),"-")</f>
        <v>273</v>
      </c>
      <c r="H132" s="8">
        <f>IFERROR(INDEX('Raw Data'!R:R,MATCH($B132,'Raw Data'!$C:$C,0)),"-")</f>
        <v>22265.46</v>
      </c>
    </row>
    <row r="133" spans="1:8" ht="15" customHeight="1" x14ac:dyDescent="0.35">
      <c r="A133" s="16" t="str">
        <f>IFERROR(INDEX('Raw Data'!AC:AC,MATCH($B133,'Raw Data'!$C:$C,0)),"-")</f>
        <v>Tipper</v>
      </c>
      <c r="B133" s="11" t="s">
        <v>46</v>
      </c>
      <c r="C133" s="12">
        <f>IFERROR(INDEX('Raw Data'!W:W,MATCH($B133,'Raw Data'!$C:$C,0)),"-")</f>
        <v>4668.0499999999902</v>
      </c>
      <c r="D133" s="18">
        <f>IFERROR(INDEX('Raw Data'!X:X,MATCH($B133,'Raw Data'!$C:$C,0)),"-")</f>
        <v>21.10107751</v>
      </c>
      <c r="E133" s="18">
        <f>IFERROR(INDEX('Raw Data'!Y:Y,MATCH($B133,'Raw Data'!$C:$C,0)),"-")</f>
        <v>4263.2828010000003</v>
      </c>
      <c r="F133" s="14">
        <f>IFERROR(INDEX('Raw Data'!F:F,MATCH($B133,'Raw Data'!$C:$C,0)),"-")</f>
        <v>204.9314</v>
      </c>
      <c r="G133" s="12">
        <f>IFERROR(INDEX('Raw Data'!U:U,MATCH($B133,'Raw Data'!$C:$C,0)),"-")</f>
        <v>169</v>
      </c>
      <c r="H133" s="12">
        <f>IFERROR(INDEX('Raw Data'!R:R,MATCH($B133,'Raw Data'!$C:$C,0)),"-")</f>
        <v>24054.75</v>
      </c>
    </row>
    <row r="134" spans="1:8" ht="15" customHeight="1" x14ac:dyDescent="0.35">
      <c r="A134" s="15" t="str">
        <f>IFERROR(INDEX('Raw Data'!AC:AC,MATCH($B134,'Raw Data'!$C:$C,0)),"-")</f>
        <v>Dumper</v>
      </c>
      <c r="B134" s="7" t="s">
        <v>139</v>
      </c>
      <c r="C134" s="8">
        <f>IFERROR(INDEX('Raw Data'!W:W,MATCH($B134,'Raw Data'!$C:$C,0)),"-")</f>
        <v>4600.49</v>
      </c>
      <c r="D134" s="17">
        <f>IFERROR(INDEX('Raw Data'!X:X,MATCH($B134,'Raw Data'!$C:$C,0)),"-")</f>
        <v>14.11391106</v>
      </c>
      <c r="E134" s="17">
        <f>IFERROR(INDEX('Raw Data'!Y:Y,MATCH($B134,'Raw Data'!$C:$C,0)),"-")</f>
        <v>4072.039765</v>
      </c>
      <c r="F134" s="10">
        <f>IFERROR(INDEX('Raw Data'!F:F,MATCH($B134,'Raw Data'!$C:$C,0)),"-")</f>
        <v>349.42160000000001</v>
      </c>
      <c r="G134" s="8">
        <f>IFERROR(INDEX('Raw Data'!U:U,MATCH($B134,'Raw Data'!$C:$C,0)),"-")</f>
        <v>12675</v>
      </c>
      <c r="H134" s="8">
        <f>IFERROR(INDEX('Raw Data'!R:R,MATCH($B134,'Raw Data'!$C:$C,0)),"-")</f>
        <v>0</v>
      </c>
    </row>
    <row r="135" spans="1:8" ht="15" customHeight="1" x14ac:dyDescent="0.35">
      <c r="A135" s="16" t="str">
        <f>IFERROR(INDEX('Raw Data'!AC:AC,MATCH($B135,'Raw Data'!$C:$C,0)),"-")</f>
        <v>Tipper</v>
      </c>
      <c r="B135" s="11" t="s">
        <v>87</v>
      </c>
      <c r="C135" s="12">
        <f>IFERROR(INDEX('Raw Data'!W:W,MATCH($B135,'Raw Data'!$C:$C,0)),"-")</f>
        <v>4597.7999999999902</v>
      </c>
      <c r="D135" s="18">
        <f>IFERROR(INDEX('Raw Data'!X:X,MATCH($B135,'Raw Data'!$C:$C,0)),"-")</f>
        <v>13.306168039999999</v>
      </c>
      <c r="E135" s="18">
        <f>IFERROR(INDEX('Raw Data'!Y:Y,MATCH($B135,'Raw Data'!$C:$C,0)),"-")</f>
        <v>4375.0068449999999</v>
      </c>
      <c r="F135" s="14">
        <f>IFERROR(INDEX('Raw Data'!F:F,MATCH($B135,'Raw Data'!$C:$C,0)),"-")</f>
        <v>331.53289999999902</v>
      </c>
      <c r="G135" s="12">
        <f>IFERROR(INDEX('Raw Data'!U:U,MATCH($B135,'Raw Data'!$C:$C,0)),"-")</f>
        <v>156</v>
      </c>
      <c r="H135" s="12">
        <f>IFERROR(INDEX('Raw Data'!R:R,MATCH($B135,'Raw Data'!$C:$C,0)),"-")</f>
        <v>23485.79</v>
      </c>
    </row>
    <row r="136" spans="1:8" ht="15" customHeight="1" x14ac:dyDescent="0.35">
      <c r="A136" s="15" t="str">
        <f>IFERROR(INDEX('Raw Data'!AC:AC,MATCH($B136,'Raw Data'!$C:$C,0)),"-")</f>
        <v>Tipper</v>
      </c>
      <c r="B136" s="7" t="s">
        <v>72</v>
      </c>
      <c r="C136" s="8">
        <f>IFERROR(INDEX('Raw Data'!W:W,MATCH($B136,'Raw Data'!$C:$C,0)),"-")</f>
        <v>4567.8099999999904</v>
      </c>
      <c r="D136" s="17">
        <f>IFERROR(INDEX('Raw Data'!X:X,MATCH($B136,'Raw Data'!$C:$C,0)),"-")</f>
        <v>14.80553156</v>
      </c>
      <c r="E136" s="17">
        <f>IFERROR(INDEX('Raw Data'!Y:Y,MATCH($B136,'Raw Data'!$C:$C,0)),"-")</f>
        <v>4273.1799220000003</v>
      </c>
      <c r="F136" s="10">
        <f>IFERROR(INDEX('Raw Data'!F:F,MATCH($B136,'Raw Data'!$C:$C,0)),"-")</f>
        <v>291.51699999999897</v>
      </c>
      <c r="G136" s="8">
        <f>IFERROR(INDEX('Raw Data'!U:U,MATCH($B136,'Raw Data'!$C:$C,0)),"-")</f>
        <v>104</v>
      </c>
      <c r="H136" s="8">
        <f>IFERROR(INDEX('Raw Data'!R:R,MATCH($B136,'Raw Data'!$C:$C,0)),"-")</f>
        <v>25583.07</v>
      </c>
    </row>
    <row r="137" spans="1:8" ht="15" customHeight="1" x14ac:dyDescent="0.35">
      <c r="A137" s="16" t="str">
        <f>IFERROR(INDEX('Raw Data'!AC:AC,MATCH($B137,'Raw Data'!$C:$C,0)),"-")</f>
        <v>Dumper</v>
      </c>
      <c r="B137" s="11" t="s">
        <v>126</v>
      </c>
      <c r="C137" s="12">
        <f>IFERROR(INDEX('Raw Data'!W:W,MATCH($B137,'Raw Data'!$C:$C,0)),"-")</f>
        <v>4560.2599999999902</v>
      </c>
      <c r="D137" s="18">
        <f>IFERROR(INDEX('Raw Data'!X:X,MATCH($B137,'Raw Data'!$C:$C,0)),"-")</f>
        <v>18.43539329</v>
      </c>
      <c r="E137" s="18">
        <f>IFERROR(INDEX('Raw Data'!Y:Y,MATCH($B137,'Raw Data'!$C:$C,0)),"-")</f>
        <v>3995.8733390000002</v>
      </c>
      <c r="F137" s="14">
        <f>IFERROR(INDEX('Raw Data'!F:F,MATCH($B137,'Raw Data'!$C:$C,0)),"-")</f>
        <v>219.19349999999901</v>
      </c>
      <c r="G137" s="12">
        <f>IFERROR(INDEX('Raw Data'!U:U,MATCH($B137,'Raw Data'!$C:$C,0)),"-")</f>
        <v>10975</v>
      </c>
      <c r="H137" s="12">
        <f>IFERROR(INDEX('Raw Data'!R:R,MATCH($B137,'Raw Data'!$C:$C,0)),"-")</f>
        <v>0</v>
      </c>
    </row>
    <row r="138" spans="1:8" ht="15" customHeight="1" x14ac:dyDescent="0.35">
      <c r="A138" s="15" t="str">
        <f>IFERROR(INDEX('Raw Data'!AC:AC,MATCH($B138,'Raw Data'!$C:$C,0)),"-")</f>
        <v>Tipper</v>
      </c>
      <c r="B138" s="7" t="s">
        <v>62</v>
      </c>
      <c r="C138" s="8">
        <f>IFERROR(INDEX('Raw Data'!W:W,MATCH($B138,'Raw Data'!$C:$C,0)),"-")</f>
        <v>4483.6499999999996</v>
      </c>
      <c r="D138" s="17">
        <f>IFERROR(INDEX('Raw Data'!X:X,MATCH($B138,'Raw Data'!$C:$C,0)),"-")</f>
        <v>14.603272309999999</v>
      </c>
      <c r="E138" s="17">
        <f>IFERROR(INDEX('Raw Data'!Y:Y,MATCH($B138,'Raw Data'!$C:$C,0)),"-")</f>
        <v>4309.2095310000004</v>
      </c>
      <c r="F138" s="10">
        <f>IFERROR(INDEX('Raw Data'!F:F,MATCH($B138,'Raw Data'!$C:$C,0)),"-")</f>
        <v>297.58359999999902</v>
      </c>
      <c r="G138" s="8">
        <f>IFERROR(INDEX('Raw Data'!U:U,MATCH($B138,'Raw Data'!$C:$C,0)),"-")</f>
        <v>286</v>
      </c>
      <c r="H138" s="8">
        <f>IFERROR(INDEX('Raw Data'!R:R,MATCH($B138,'Raw Data'!$C:$C,0)),"-")</f>
        <v>23810</v>
      </c>
    </row>
    <row r="139" spans="1:8" ht="15" customHeight="1" x14ac:dyDescent="0.35">
      <c r="A139" s="16" t="str">
        <f>IFERROR(INDEX('Raw Data'!AC:AC,MATCH($B139,'Raw Data'!$C:$C,0)),"-")</f>
        <v>Tipper</v>
      </c>
      <c r="B139" s="11" t="s">
        <v>53</v>
      </c>
      <c r="C139" s="12">
        <f>IFERROR(INDEX('Raw Data'!W:W,MATCH($B139,'Raw Data'!$C:$C,0)),"-")</f>
        <v>4428.5099999999902</v>
      </c>
      <c r="D139" s="18">
        <f>IFERROR(INDEX('Raw Data'!X:X,MATCH($B139,'Raw Data'!$C:$C,0)),"-")</f>
        <v>12.731277649999999</v>
      </c>
      <c r="E139" s="18">
        <f>IFERROR(INDEX('Raw Data'!Y:Y,MATCH($B139,'Raw Data'!$C:$C,0)),"-")</f>
        <v>4298.0500519999996</v>
      </c>
      <c r="F139" s="14">
        <f>IFERROR(INDEX('Raw Data'!F:F,MATCH($B139,'Raw Data'!$C:$C,0)),"-")</f>
        <v>342.73959999999897</v>
      </c>
      <c r="G139" s="12">
        <f>IFERROR(INDEX('Raw Data'!U:U,MATCH($B139,'Raw Data'!$C:$C,0)),"-")</f>
        <v>221</v>
      </c>
      <c r="H139" s="12">
        <f>IFERROR(INDEX('Raw Data'!R:R,MATCH($B139,'Raw Data'!$C:$C,0)),"-")</f>
        <v>24977.95</v>
      </c>
    </row>
    <row r="140" spans="1:8" ht="15" customHeight="1" x14ac:dyDescent="0.35">
      <c r="A140" s="15" t="str">
        <f>IFERROR(INDEX('Raw Data'!AC:AC,MATCH($B140,'Raw Data'!$C:$C,0)),"-")</f>
        <v>Tipper</v>
      </c>
      <c r="B140" s="7" t="s">
        <v>79</v>
      </c>
      <c r="C140" s="8">
        <f>IFERROR(INDEX('Raw Data'!W:W,MATCH($B140,'Raw Data'!$C:$C,0)),"-")</f>
        <v>4387.28</v>
      </c>
      <c r="D140" s="17">
        <f>IFERROR(INDEX('Raw Data'!X:X,MATCH($B140,'Raw Data'!$C:$C,0)),"-")</f>
        <v>13.538593329999999</v>
      </c>
      <c r="E140" s="17">
        <f>IFERROR(INDEX('Raw Data'!Y:Y,MATCH($B140,'Raw Data'!$C:$C,0)),"-")</f>
        <v>4171.5533459999997</v>
      </c>
      <c r="F140" s="10">
        <f>IFERROR(INDEX('Raw Data'!F:F,MATCH($B140,'Raw Data'!$C:$C,0)),"-")</f>
        <v>312.48319999999899</v>
      </c>
      <c r="G140" s="8">
        <f>IFERROR(INDEX('Raw Data'!U:U,MATCH($B140,'Raw Data'!$C:$C,0)),"-")</f>
        <v>208</v>
      </c>
      <c r="H140" s="8">
        <f>IFERROR(INDEX('Raw Data'!R:R,MATCH($B140,'Raw Data'!$C:$C,0)),"-")</f>
        <v>24103.43</v>
      </c>
    </row>
    <row r="141" spans="1:8" ht="15" customHeight="1" x14ac:dyDescent="0.35">
      <c r="A141" s="16" t="str">
        <f>IFERROR(INDEX('Raw Data'!AC:AC,MATCH($B141,'Raw Data'!$C:$C,0)),"-")</f>
        <v>Dumper</v>
      </c>
      <c r="B141" s="11" t="s">
        <v>131</v>
      </c>
      <c r="C141" s="12">
        <f>IFERROR(INDEX('Raw Data'!W:W,MATCH($B141,'Raw Data'!$C:$C,0)),"-")</f>
        <v>4323.26</v>
      </c>
      <c r="D141" s="18">
        <f>IFERROR(INDEX('Raw Data'!X:X,MATCH($B141,'Raw Data'!$C:$C,0)),"-")</f>
        <v>14.25902234</v>
      </c>
      <c r="E141" s="18">
        <f>IFERROR(INDEX('Raw Data'!Y:Y,MATCH($B141,'Raw Data'!$C:$C,0)),"-")</f>
        <v>3870.6843349999999</v>
      </c>
      <c r="F141" s="14">
        <f>IFERROR(INDEX('Raw Data'!F:F,MATCH($B141,'Raw Data'!$C:$C,0)),"-")</f>
        <v>276.67660000000001</v>
      </c>
      <c r="G141" s="12">
        <f>IFERROR(INDEX('Raw Data'!U:U,MATCH($B141,'Raw Data'!$C:$C,0)),"-")</f>
        <v>11525</v>
      </c>
      <c r="H141" s="12">
        <f>IFERROR(INDEX('Raw Data'!R:R,MATCH($B141,'Raw Data'!$C:$C,0)),"-")</f>
        <v>338.02</v>
      </c>
    </row>
    <row r="142" spans="1:8" ht="15" customHeight="1" x14ac:dyDescent="0.35">
      <c r="A142" s="15" t="str">
        <f>IFERROR(INDEX('Raw Data'!AC:AC,MATCH($B142,'Raw Data'!$C:$C,0)),"-")</f>
        <v>Tipper</v>
      </c>
      <c r="B142" s="7" t="s">
        <v>82</v>
      </c>
      <c r="C142" s="8">
        <f>IFERROR(INDEX('Raw Data'!W:W,MATCH($B142,'Raw Data'!$C:$C,0)),"-")</f>
        <v>4273.24</v>
      </c>
      <c r="D142" s="17">
        <f>IFERROR(INDEX('Raw Data'!X:X,MATCH($B142,'Raw Data'!$C:$C,0)),"-")</f>
        <v>13.501731619999999</v>
      </c>
      <c r="E142" s="17">
        <f>IFERROR(INDEX('Raw Data'!Y:Y,MATCH($B142,'Raw Data'!$C:$C,0)),"-")</f>
        <v>3725.1237030000002</v>
      </c>
      <c r="F142" s="10">
        <f>IFERROR(INDEX('Raw Data'!F:F,MATCH($B142,'Raw Data'!$C:$C,0)),"-")</f>
        <v>278.56369999999902</v>
      </c>
      <c r="G142" s="8">
        <f>IFERROR(INDEX('Raw Data'!U:U,MATCH($B142,'Raw Data'!$C:$C,0)),"-")</f>
        <v>156</v>
      </c>
      <c r="H142" s="8">
        <f>IFERROR(INDEX('Raw Data'!R:R,MATCH($B142,'Raw Data'!$C:$C,0)),"-")</f>
        <v>19665.82</v>
      </c>
    </row>
    <row r="143" spans="1:8" ht="15" customHeight="1" x14ac:dyDescent="0.35">
      <c r="A143" s="16" t="str">
        <f>IFERROR(INDEX('Raw Data'!AC:AC,MATCH($B143,'Raw Data'!$C:$C,0)),"-")</f>
        <v>Dumper</v>
      </c>
      <c r="B143" s="11" t="s">
        <v>102</v>
      </c>
      <c r="C143" s="12">
        <f>IFERROR(INDEX('Raw Data'!W:W,MATCH($B143,'Raw Data'!$C:$C,0)),"-")</f>
        <v>4198.17</v>
      </c>
      <c r="D143" s="18">
        <f>IFERROR(INDEX('Raw Data'!X:X,MATCH($B143,'Raw Data'!$C:$C,0)),"-")</f>
        <v>34.129132640000002</v>
      </c>
      <c r="E143" s="18">
        <f>IFERROR(INDEX('Raw Data'!Y:Y,MATCH($B143,'Raw Data'!$C:$C,0)),"-")</f>
        <v>3807.3846050000002</v>
      </c>
      <c r="F143" s="14">
        <f>IFERROR(INDEX('Raw Data'!F:F,MATCH($B143,'Raw Data'!$C:$C,0)),"-")</f>
        <v>117.01690000000001</v>
      </c>
      <c r="G143" s="12">
        <f>IFERROR(INDEX('Raw Data'!U:U,MATCH($B143,'Raw Data'!$C:$C,0)),"-")</f>
        <v>10150</v>
      </c>
      <c r="H143" s="12">
        <f>IFERROR(INDEX('Raw Data'!R:R,MATCH($B143,'Raw Data'!$C:$C,0)),"-")</f>
        <v>0</v>
      </c>
    </row>
    <row r="144" spans="1:8" ht="15" customHeight="1" x14ac:dyDescent="0.35">
      <c r="A144" s="15" t="str">
        <f>IFERROR(INDEX('Raw Data'!AC:AC,MATCH($B144,'Raw Data'!$C:$C,0)),"-")</f>
        <v>Tipper</v>
      </c>
      <c r="B144" s="7" t="s">
        <v>73</v>
      </c>
      <c r="C144" s="8">
        <f>IFERROR(INDEX('Raw Data'!W:W,MATCH($B144,'Raw Data'!$C:$C,0)),"-")</f>
        <v>4128.04</v>
      </c>
      <c r="D144" s="17">
        <f>IFERROR(INDEX('Raw Data'!X:X,MATCH($B144,'Raw Data'!$C:$C,0)),"-")</f>
        <v>13.72209112</v>
      </c>
      <c r="E144" s="17">
        <f>IFERROR(INDEX('Raw Data'!Y:Y,MATCH($B144,'Raw Data'!$C:$C,0)),"-")</f>
        <v>3976.3752159999999</v>
      </c>
      <c r="F144" s="10">
        <f>IFERROR(INDEX('Raw Data'!F:F,MATCH($B144,'Raw Data'!$C:$C,0)),"-")</f>
        <v>292.70549999999997</v>
      </c>
      <c r="G144" s="8">
        <f>IFERROR(INDEX('Raw Data'!U:U,MATCH($B144,'Raw Data'!$C:$C,0)),"-")</f>
        <v>91</v>
      </c>
      <c r="H144" s="8">
        <f>IFERROR(INDEX('Raw Data'!R:R,MATCH($B144,'Raw Data'!$C:$C,0)),"-")</f>
        <v>23881.17</v>
      </c>
    </row>
    <row r="145" spans="1:8" ht="15" customHeight="1" x14ac:dyDescent="0.35">
      <c r="A145" s="16" t="str">
        <f>IFERROR(INDEX('Raw Data'!AC:AC,MATCH($B145,'Raw Data'!$C:$C,0)),"-")</f>
        <v>Tipper</v>
      </c>
      <c r="B145" s="11" t="s">
        <v>75</v>
      </c>
      <c r="C145" s="12">
        <f>IFERROR(INDEX('Raw Data'!W:W,MATCH($B145,'Raw Data'!$C:$C,0)),"-")</f>
        <v>4084.74999999999</v>
      </c>
      <c r="D145" s="18">
        <f>IFERROR(INDEX('Raw Data'!X:X,MATCH($B145,'Raw Data'!$C:$C,0)),"-")</f>
        <v>14.31670274</v>
      </c>
      <c r="E145" s="18">
        <f>IFERROR(INDEX('Raw Data'!Y:Y,MATCH($B145,'Raw Data'!$C:$C,0)),"-")</f>
        <v>3936.4575930000001</v>
      </c>
      <c r="F145" s="14">
        <f>IFERROR(INDEX('Raw Data'!F:F,MATCH($B145,'Raw Data'!$C:$C,0)),"-")</f>
        <v>279.16879999999998</v>
      </c>
      <c r="G145" s="12">
        <f>IFERROR(INDEX('Raw Data'!U:U,MATCH($B145,'Raw Data'!$C:$C,0)),"-")</f>
        <v>208</v>
      </c>
      <c r="H145" s="12">
        <f>IFERROR(INDEX('Raw Data'!R:R,MATCH($B145,'Raw Data'!$C:$C,0)),"-")</f>
        <v>24658.43</v>
      </c>
    </row>
    <row r="146" spans="1:8" ht="15" customHeight="1" x14ac:dyDescent="0.35">
      <c r="A146" s="15" t="str">
        <f>IFERROR(INDEX('Raw Data'!AC:AC,MATCH($B146,'Raw Data'!$C:$C,0)),"-")</f>
        <v>Tipper</v>
      </c>
      <c r="B146" s="7" t="s">
        <v>66</v>
      </c>
      <c r="C146" s="8">
        <f>IFERROR(INDEX('Raw Data'!W:W,MATCH($B146,'Raw Data'!$C:$C,0)),"-")</f>
        <v>4066.2</v>
      </c>
      <c r="D146" s="17">
        <f>IFERROR(INDEX('Raw Data'!X:X,MATCH($B146,'Raw Data'!$C:$C,0)),"-")</f>
        <v>18.25883249</v>
      </c>
      <c r="E146" s="17">
        <f>IFERROR(INDEX('Raw Data'!Y:Y,MATCH($B146,'Raw Data'!$C:$C,0)),"-")</f>
        <v>3861.6061301935301</v>
      </c>
      <c r="F146" s="10">
        <f>IFERROR(INDEX('Raw Data'!F:F,MATCH($B146,'Raw Data'!$C:$C,0)),"-")</f>
        <v>213.85579999999999</v>
      </c>
      <c r="G146" s="8">
        <f>IFERROR(INDEX('Raw Data'!U:U,MATCH($B146,'Raw Data'!$C:$C,0)),"-")</f>
        <v>299</v>
      </c>
      <c r="H146" s="8">
        <f>IFERROR(INDEX('Raw Data'!R:R,MATCH($B146,'Raw Data'!$C:$C,0)),"-")</f>
        <v>23011.16</v>
      </c>
    </row>
    <row r="147" spans="1:8" ht="15" customHeight="1" x14ac:dyDescent="0.35">
      <c r="A147" s="16" t="str">
        <f>IFERROR(INDEX('Raw Data'!AC:AC,MATCH($B147,'Raw Data'!$C:$C,0)),"-")</f>
        <v>Dumper</v>
      </c>
      <c r="B147" s="11" t="s">
        <v>125</v>
      </c>
      <c r="C147" s="12">
        <f>IFERROR(INDEX('Raw Data'!W:W,MATCH($B147,'Raw Data'!$C:$C,0)),"-")</f>
        <v>4025.85</v>
      </c>
      <c r="D147" s="18">
        <f>IFERROR(INDEX('Raw Data'!X:X,MATCH($B147,'Raw Data'!$C:$C,0)),"-")</f>
        <v>14.0396011</v>
      </c>
      <c r="E147" s="18">
        <f>IFERROR(INDEX('Raw Data'!Y:Y,MATCH($B147,'Raw Data'!$C:$C,0)),"-")</f>
        <v>3099.731925</v>
      </c>
      <c r="F147" s="14">
        <f>IFERROR(INDEX('Raw Data'!F:F,MATCH($B147,'Raw Data'!$C:$C,0)),"-")</f>
        <v>222.98329999999899</v>
      </c>
      <c r="G147" s="12">
        <f>IFERROR(INDEX('Raw Data'!U:U,MATCH($B147,'Raw Data'!$C:$C,0)),"-")</f>
        <v>10650</v>
      </c>
      <c r="H147" s="12">
        <f>IFERROR(INDEX('Raw Data'!R:R,MATCH($B147,'Raw Data'!$C:$C,0)),"-")</f>
        <v>139.6</v>
      </c>
    </row>
    <row r="148" spans="1:8" ht="15" customHeight="1" x14ac:dyDescent="0.35">
      <c r="A148" s="15" t="str">
        <f>IFERROR(INDEX('Raw Data'!AC:AC,MATCH($B148,'Raw Data'!$C:$C,0)),"-")</f>
        <v>Tipper</v>
      </c>
      <c r="B148" s="7" t="s">
        <v>71</v>
      </c>
      <c r="C148" s="8">
        <f>IFERROR(INDEX('Raw Data'!W:W,MATCH($B148,'Raw Data'!$C:$C,0)),"-")</f>
        <v>4020.74</v>
      </c>
      <c r="D148" s="17">
        <f>IFERROR(INDEX('Raw Data'!X:X,MATCH($B148,'Raw Data'!$C:$C,0)),"-")</f>
        <v>14.856826140000001</v>
      </c>
      <c r="E148" s="17">
        <f>IFERROR(INDEX('Raw Data'!Y:Y,MATCH($B148,'Raw Data'!$C:$C,0)),"-")</f>
        <v>3736.3966902127399</v>
      </c>
      <c r="F148" s="10">
        <f>IFERROR(INDEX('Raw Data'!F:F,MATCH($B148,'Raw Data'!$C:$C,0)),"-")</f>
        <v>253.524699999999</v>
      </c>
      <c r="G148" s="8">
        <f>IFERROR(INDEX('Raw Data'!U:U,MATCH($B148,'Raw Data'!$C:$C,0)),"-")</f>
        <v>104</v>
      </c>
      <c r="H148" s="8">
        <f>IFERROR(INDEX('Raw Data'!R:R,MATCH($B148,'Raw Data'!$C:$C,0)),"-")</f>
        <v>22246.39</v>
      </c>
    </row>
    <row r="149" spans="1:8" ht="15" customHeight="1" x14ac:dyDescent="0.35">
      <c r="A149" s="16" t="str">
        <f>IFERROR(INDEX('Raw Data'!AC:AC,MATCH($B149,'Raw Data'!$C:$C,0)),"-")</f>
        <v>Dumper</v>
      </c>
      <c r="B149" s="11" t="s">
        <v>121</v>
      </c>
      <c r="C149" s="12">
        <f>IFERROR(INDEX('Raw Data'!W:W,MATCH($B149,'Raw Data'!$C:$C,0)),"-")</f>
        <v>3965.78</v>
      </c>
      <c r="D149" s="18">
        <f>IFERROR(INDEX('Raw Data'!X:X,MATCH($B149,'Raw Data'!$C:$C,0)),"-")</f>
        <v>13.889100969999999</v>
      </c>
      <c r="E149" s="18">
        <f>IFERROR(INDEX('Raw Data'!Y:Y,MATCH($B149,'Raw Data'!$C:$C,0)),"-")</f>
        <v>3333.6300695964501</v>
      </c>
      <c r="F149" s="14">
        <f>IFERROR(INDEX('Raw Data'!F:F,MATCH($B149,'Raw Data'!$C:$C,0)),"-")</f>
        <v>244.58179999999999</v>
      </c>
      <c r="G149" s="12">
        <f>IFERROR(INDEX('Raw Data'!U:U,MATCH($B149,'Raw Data'!$C:$C,0)),"-")</f>
        <v>10675</v>
      </c>
      <c r="H149" s="12">
        <f>IFERROR(INDEX('Raw Data'!R:R,MATCH($B149,'Raw Data'!$C:$C,0)),"-")</f>
        <v>0</v>
      </c>
    </row>
    <row r="150" spans="1:8" ht="15" customHeight="1" x14ac:dyDescent="0.35">
      <c r="A150" s="15" t="str">
        <f>IFERROR(INDEX('Raw Data'!AC:AC,MATCH($B150,'Raw Data'!$C:$C,0)),"-")</f>
        <v>Tipper</v>
      </c>
      <c r="B150" s="7" t="s">
        <v>59</v>
      </c>
      <c r="C150" s="8">
        <f>IFERROR(INDEX('Raw Data'!W:W,MATCH($B150,'Raw Data'!$C:$C,0)),"-")</f>
        <v>3857.05</v>
      </c>
      <c r="D150" s="17">
        <f>IFERROR(INDEX('Raw Data'!X:X,MATCH($B150,'Raw Data'!$C:$C,0)),"-")</f>
        <v>20.362862889999999</v>
      </c>
      <c r="E150" s="17">
        <f>IFERROR(INDEX('Raw Data'!Y:Y,MATCH($B150,'Raw Data'!$C:$C,0)),"-")</f>
        <v>3675.4478799298199</v>
      </c>
      <c r="F150" s="10">
        <f>IFERROR(INDEX('Raw Data'!F:F,MATCH($B150,'Raw Data'!$C:$C,0)),"-")</f>
        <v>183.37559999999999</v>
      </c>
      <c r="G150" s="8">
        <f>IFERROR(INDEX('Raw Data'!U:U,MATCH($B150,'Raw Data'!$C:$C,0)),"-")</f>
        <v>338</v>
      </c>
      <c r="H150" s="8">
        <f>IFERROR(INDEX('Raw Data'!R:R,MATCH($B150,'Raw Data'!$C:$C,0)),"-")</f>
        <v>21237.87</v>
      </c>
    </row>
    <row r="151" spans="1:8" ht="15" customHeight="1" x14ac:dyDescent="0.35">
      <c r="A151" s="16" t="str">
        <f>IFERROR(INDEX('Raw Data'!AC:AC,MATCH($B151,'Raw Data'!$C:$C,0)),"-")</f>
        <v>Tipper</v>
      </c>
      <c r="B151" s="11" t="s">
        <v>74</v>
      </c>
      <c r="C151" s="12">
        <f>IFERROR(INDEX('Raw Data'!W:W,MATCH($B151,'Raw Data'!$C:$C,0)),"-")</f>
        <v>3844.84</v>
      </c>
      <c r="D151" s="18">
        <f>IFERROR(INDEX('Raw Data'!X:X,MATCH($B151,'Raw Data'!$C:$C,0)),"-")</f>
        <v>11.76527469</v>
      </c>
      <c r="E151" s="18">
        <f>IFERROR(INDEX('Raw Data'!Y:Y,MATCH($B151,'Raw Data'!$C:$C,0)),"-")</f>
        <v>3693.7115170000002</v>
      </c>
      <c r="F151" s="14">
        <f>IFERROR(INDEX('Raw Data'!F:F,MATCH($B151,'Raw Data'!$C:$C,0)),"-")</f>
        <v>326.97919999999903</v>
      </c>
      <c r="G151" s="12">
        <f>IFERROR(INDEX('Raw Data'!U:U,MATCH($B151,'Raw Data'!$C:$C,0)),"-")</f>
        <v>247</v>
      </c>
      <c r="H151" s="12">
        <f>IFERROR(INDEX('Raw Data'!R:R,MATCH($B151,'Raw Data'!$C:$C,0)),"-")</f>
        <v>20184.75</v>
      </c>
    </row>
    <row r="152" spans="1:8" ht="15" customHeight="1" x14ac:dyDescent="0.35">
      <c r="A152" s="15" t="str">
        <f>IFERROR(INDEX('Raw Data'!AC:AC,MATCH($B152,'Raw Data'!$C:$C,0)),"-")</f>
        <v>Dumper</v>
      </c>
      <c r="B152" s="7" t="s">
        <v>124</v>
      </c>
      <c r="C152" s="8">
        <f>IFERROR(INDEX('Raw Data'!W:W,MATCH($B152,'Raw Data'!$C:$C,0)),"-")</f>
        <v>3719.99</v>
      </c>
      <c r="D152" s="17">
        <f>IFERROR(INDEX('Raw Data'!X:X,MATCH($B152,'Raw Data'!$C:$C,0)),"-")</f>
        <v>17.36515709</v>
      </c>
      <c r="E152" s="17">
        <f>IFERROR(INDEX('Raw Data'!Y:Y,MATCH($B152,'Raw Data'!$C:$C,0)),"-")</f>
        <v>2883.4652329999999</v>
      </c>
      <c r="F152" s="10">
        <f>IFERROR(INDEX('Raw Data'!F:F,MATCH($B152,'Raw Data'!$C:$C,0)),"-")</f>
        <v>169.16319999999899</v>
      </c>
      <c r="G152" s="8">
        <f>IFERROR(INDEX('Raw Data'!U:U,MATCH($B152,'Raw Data'!$C:$C,0)),"-")</f>
        <v>9250</v>
      </c>
      <c r="H152" s="8">
        <f>IFERROR(INDEX('Raw Data'!R:R,MATCH($B152,'Raw Data'!$C:$C,0)),"-")</f>
        <v>0</v>
      </c>
    </row>
    <row r="153" spans="1:8" ht="15" customHeight="1" x14ac:dyDescent="0.35">
      <c r="A153" s="16" t="str">
        <f>IFERROR(INDEX('Raw Data'!AC:AC,MATCH($B153,'Raw Data'!$C:$C,0)),"-")</f>
        <v>Tipper</v>
      </c>
      <c r="B153" s="11" t="s">
        <v>89</v>
      </c>
      <c r="C153" s="12">
        <f>IFERROR(INDEX('Raw Data'!W:W,MATCH($B153,'Raw Data'!$C:$C,0)),"-")</f>
        <v>3456.21</v>
      </c>
      <c r="D153" s="18">
        <f>IFERROR(INDEX('Raw Data'!X:X,MATCH($B153,'Raw Data'!$C:$C,0)),"-")</f>
        <v>14.741432809999999</v>
      </c>
      <c r="E153" s="18">
        <f>IFERROR(INDEX('Raw Data'!Y:Y,MATCH($B153,'Raw Data'!$C:$C,0)),"-")</f>
        <v>3323.7316919999998</v>
      </c>
      <c r="F153" s="14">
        <f>IFERROR(INDEX('Raw Data'!F:F,MATCH($B153,'Raw Data'!$C:$C,0)),"-")</f>
        <v>252.3193</v>
      </c>
      <c r="G153" s="12">
        <f>IFERROR(INDEX('Raw Data'!U:U,MATCH($B153,'Raw Data'!$C:$C,0)),"-")</f>
        <v>234</v>
      </c>
      <c r="H153" s="12">
        <f>IFERROR(INDEX('Raw Data'!R:R,MATCH($B153,'Raw Data'!$C:$C,0)),"-")</f>
        <v>17513.490000000002</v>
      </c>
    </row>
    <row r="154" spans="1:8" ht="15" customHeight="1" x14ac:dyDescent="0.35">
      <c r="A154" s="15" t="str">
        <f>IFERROR(INDEX('Raw Data'!AC:AC,MATCH($B154,'Raw Data'!$C:$C,0)),"-")</f>
        <v>Tipper</v>
      </c>
      <c r="B154" s="7" t="s">
        <v>69</v>
      </c>
      <c r="C154" s="8">
        <f>IFERROR(INDEX('Raw Data'!W:W,MATCH($B154,'Raw Data'!$C:$C,0)),"-")</f>
        <v>3416.0699999999902</v>
      </c>
      <c r="D154" s="17">
        <f>IFERROR(INDEX('Raw Data'!X:X,MATCH($B154,'Raw Data'!$C:$C,0)),"-")</f>
        <v>15.72557591</v>
      </c>
      <c r="E154" s="17">
        <f>IFERROR(INDEX('Raw Data'!Y:Y,MATCH($B154,'Raw Data'!$C:$C,0)),"-")</f>
        <v>3248.5800359999998</v>
      </c>
      <c r="F154" s="10">
        <f>IFERROR(INDEX('Raw Data'!F:F,MATCH($B154,'Raw Data'!$C:$C,0)),"-")</f>
        <v>208.81899999999999</v>
      </c>
      <c r="G154" s="8">
        <f>IFERROR(INDEX('Raw Data'!U:U,MATCH($B154,'Raw Data'!$C:$C,0)),"-")</f>
        <v>312</v>
      </c>
      <c r="H154" s="8">
        <f>IFERROR(INDEX('Raw Data'!R:R,MATCH($B154,'Raw Data'!$C:$C,0)),"-")</f>
        <v>16107.53</v>
      </c>
    </row>
    <row r="155" spans="1:8" ht="15" customHeight="1" x14ac:dyDescent="0.35">
      <c r="A155" s="16" t="str">
        <f>IFERROR(INDEX('Raw Data'!AC:AC,MATCH($B155,'Raw Data'!$C:$C,0)),"-")</f>
        <v>Tipper</v>
      </c>
      <c r="B155" s="11" t="s">
        <v>55</v>
      </c>
      <c r="C155" s="12">
        <f>IFERROR(INDEX('Raw Data'!W:W,MATCH($B155,'Raw Data'!$C:$C,0)),"-")</f>
        <v>3339.0699999999902</v>
      </c>
      <c r="D155" s="18">
        <f>IFERROR(INDEX('Raw Data'!X:X,MATCH($B155,'Raw Data'!$C:$C,0)),"-")</f>
        <v>14.93427091</v>
      </c>
      <c r="E155" s="18">
        <f>IFERROR(INDEX('Raw Data'!Y:Y,MATCH($B155,'Raw Data'!$C:$C,0)),"-")</f>
        <v>3024.4452350000001</v>
      </c>
      <c r="F155" s="14">
        <f>IFERROR(INDEX('Raw Data'!F:F,MATCH($B155,'Raw Data'!$C:$C,0)),"-")</f>
        <v>205.45069999999899</v>
      </c>
      <c r="G155" s="12">
        <f>IFERROR(INDEX('Raw Data'!U:U,MATCH($B155,'Raw Data'!$C:$C,0)),"-")</f>
        <v>156</v>
      </c>
      <c r="H155" s="12">
        <f>IFERROR(INDEX('Raw Data'!R:R,MATCH($B155,'Raw Data'!$C:$C,0)),"-")</f>
        <v>15854.01</v>
      </c>
    </row>
    <row r="156" spans="1:8" ht="15" customHeight="1" x14ac:dyDescent="0.35">
      <c r="A156" s="15" t="str">
        <f>IFERROR(INDEX('Raw Data'!AC:AC,MATCH($B156,'Raw Data'!$C:$C,0)),"-")</f>
        <v>Dumper</v>
      </c>
      <c r="B156" s="7" t="s">
        <v>173</v>
      </c>
      <c r="C156" s="8">
        <f>IFERROR(INDEX('Raw Data'!W:W,MATCH($B156,'Raw Data'!$C:$C,0)),"-")</f>
        <v>3225.92</v>
      </c>
      <c r="D156" s="17">
        <f>IFERROR(INDEX('Raw Data'!X:X,MATCH($B156,'Raw Data'!$C:$C,0)),"-")</f>
        <v>37.645784759999998</v>
      </c>
      <c r="E156" s="17">
        <f>IFERROR(INDEX('Raw Data'!Y:Y,MATCH($B156,'Raw Data'!$C:$C,0)),"-")</f>
        <v>3062.985279</v>
      </c>
      <c r="F156" s="10">
        <f>IFERROR(INDEX('Raw Data'!F:F,MATCH($B156,'Raw Data'!$C:$C,0)),"-")</f>
        <v>81.765599999999907</v>
      </c>
      <c r="G156" s="8">
        <f>IFERROR(INDEX('Raw Data'!U:U,MATCH($B156,'Raw Data'!$C:$C,0)),"-")</f>
        <v>10920</v>
      </c>
      <c r="H156" s="8">
        <f>IFERROR(INDEX('Raw Data'!R:R,MATCH($B156,'Raw Data'!$C:$C,0)),"-")</f>
        <v>0</v>
      </c>
    </row>
    <row r="157" spans="1:8" ht="15" customHeight="1" x14ac:dyDescent="0.35">
      <c r="A157" s="16" t="str">
        <f>IFERROR(INDEX('Raw Data'!AC:AC,MATCH($B157,'Raw Data'!$C:$C,0)),"-")</f>
        <v>Tipper</v>
      </c>
      <c r="B157" s="11" t="s">
        <v>51</v>
      </c>
      <c r="C157" s="12">
        <f>IFERROR(INDEX('Raw Data'!W:W,MATCH($B157,'Raw Data'!$C:$C,0)),"-")</f>
        <v>3173.74</v>
      </c>
      <c r="D157" s="18">
        <f>IFERROR(INDEX('Raw Data'!X:X,MATCH($B157,'Raw Data'!$C:$C,0)),"-")</f>
        <v>13.9010544</v>
      </c>
      <c r="E157" s="18">
        <f>IFERROR(INDEX('Raw Data'!Y:Y,MATCH($B157,'Raw Data'!$C:$C,0)),"-")</f>
        <v>3086.6332130000001</v>
      </c>
      <c r="F157" s="14">
        <f>IFERROR(INDEX('Raw Data'!F:F,MATCH($B157,'Raw Data'!$C:$C,0)),"-")</f>
        <v>223.343999999999</v>
      </c>
      <c r="G157" s="12">
        <f>IFERROR(INDEX('Raw Data'!U:U,MATCH($B157,'Raw Data'!$C:$C,0)),"-")</f>
        <v>182</v>
      </c>
      <c r="H157" s="12">
        <f>IFERROR(INDEX('Raw Data'!R:R,MATCH($B157,'Raw Data'!$C:$C,0)),"-")</f>
        <v>16923.509999999998</v>
      </c>
    </row>
    <row r="158" spans="1:8" ht="15" customHeight="1" x14ac:dyDescent="0.35">
      <c r="A158" s="15" t="str">
        <f>IFERROR(INDEX('Raw Data'!AC:AC,MATCH($B158,'Raw Data'!$C:$C,0)),"-")</f>
        <v>Tipper</v>
      </c>
      <c r="B158" s="7" t="s">
        <v>63</v>
      </c>
      <c r="C158" s="8">
        <f>IFERROR(INDEX('Raw Data'!W:W,MATCH($B158,'Raw Data'!$C:$C,0)),"-")</f>
        <v>3161.41</v>
      </c>
      <c r="D158" s="17">
        <f>IFERROR(INDEX('Raw Data'!X:X,MATCH($B158,'Raw Data'!$C:$C,0)),"-")</f>
        <v>14.701039359999999</v>
      </c>
      <c r="E158" s="17">
        <f>IFERROR(INDEX('Raw Data'!Y:Y,MATCH($B158,'Raw Data'!$C:$C,0)),"-")</f>
        <v>3048.1870050000002</v>
      </c>
      <c r="F158" s="10">
        <f>IFERROR(INDEX('Raw Data'!F:F,MATCH($B158,'Raw Data'!$C:$C,0)),"-")</f>
        <v>209.32839999999899</v>
      </c>
      <c r="G158" s="8">
        <f>IFERROR(INDEX('Raw Data'!U:U,MATCH($B158,'Raw Data'!$C:$C,0)),"-")</f>
        <v>195</v>
      </c>
      <c r="H158" s="8">
        <f>IFERROR(INDEX('Raw Data'!R:R,MATCH($B158,'Raw Data'!$C:$C,0)),"-")</f>
        <v>18253.95</v>
      </c>
    </row>
    <row r="159" spans="1:8" ht="15" customHeight="1" x14ac:dyDescent="0.35">
      <c r="A159" s="16" t="str">
        <f>IFERROR(INDEX('Raw Data'!AC:AC,MATCH($B159,'Raw Data'!$C:$C,0)),"-")</f>
        <v>Tipper</v>
      </c>
      <c r="B159" s="11" t="s">
        <v>64</v>
      </c>
      <c r="C159" s="12">
        <f>IFERROR(INDEX('Raw Data'!W:W,MATCH($B159,'Raw Data'!$C:$C,0)),"-")</f>
        <v>3086.45</v>
      </c>
      <c r="D159" s="18">
        <f>IFERROR(INDEX('Raw Data'!X:X,MATCH($B159,'Raw Data'!$C:$C,0)),"-")</f>
        <v>16.397749489999999</v>
      </c>
      <c r="E159" s="18">
        <f>IFERROR(INDEX('Raw Data'!Y:Y,MATCH($B159,'Raw Data'!$C:$C,0)),"-")</f>
        <v>2963.1749989999998</v>
      </c>
      <c r="F159" s="14">
        <f>IFERROR(INDEX('Raw Data'!F:F,MATCH($B159,'Raw Data'!$C:$C,0)),"-")</f>
        <v>182.85659999999899</v>
      </c>
      <c r="G159" s="12">
        <f>IFERROR(INDEX('Raw Data'!U:U,MATCH($B159,'Raw Data'!$C:$C,0)),"-")</f>
        <v>195</v>
      </c>
      <c r="H159" s="12">
        <f>IFERROR(INDEX('Raw Data'!R:R,MATCH($B159,'Raw Data'!$C:$C,0)),"-")</f>
        <v>15170.49</v>
      </c>
    </row>
    <row r="160" spans="1:8" ht="15" customHeight="1" x14ac:dyDescent="0.35">
      <c r="A160" s="15" t="str">
        <f>IFERROR(INDEX('Raw Data'!AC:AC,MATCH($B160,'Raw Data'!$C:$C,0)),"-")</f>
        <v>Tipper</v>
      </c>
      <c r="B160" s="7" t="s">
        <v>81</v>
      </c>
      <c r="C160" s="8">
        <f>IFERROR(INDEX('Raw Data'!W:W,MATCH($B160,'Raw Data'!$C:$C,0)),"-")</f>
        <v>2953.3299999999899</v>
      </c>
      <c r="D160" s="17">
        <f>IFERROR(INDEX('Raw Data'!X:X,MATCH($B160,'Raw Data'!$C:$C,0)),"-")</f>
        <v>17.998188800000001</v>
      </c>
      <c r="E160" s="17">
        <f>IFERROR(INDEX('Raw Data'!Y:Y,MATCH($B160,'Raw Data'!$C:$C,0)),"-")</f>
        <v>2856.6347310000001</v>
      </c>
      <c r="F160" s="10">
        <f>IFERROR(INDEX('Raw Data'!F:F,MATCH($B160,'Raw Data'!$C:$C,0)),"-")</f>
        <v>160.58439999999999</v>
      </c>
      <c r="G160" s="8">
        <f>IFERROR(INDEX('Raw Data'!U:U,MATCH($B160,'Raw Data'!$C:$C,0)),"-")</f>
        <v>156</v>
      </c>
      <c r="H160" s="8">
        <f>IFERROR(INDEX('Raw Data'!R:R,MATCH($B160,'Raw Data'!$C:$C,0)),"-")</f>
        <v>15793.92</v>
      </c>
    </row>
    <row r="161" spans="1:8" ht="15" customHeight="1" x14ac:dyDescent="0.35">
      <c r="A161" s="16" t="str">
        <f>IFERROR(INDEX('Raw Data'!AC:AC,MATCH($B161,'Raw Data'!$C:$C,0)),"-")</f>
        <v>Tipper</v>
      </c>
      <c r="B161" s="11" t="s">
        <v>76</v>
      </c>
      <c r="C161" s="12">
        <f>IFERROR(INDEX('Raw Data'!W:W,MATCH($B161,'Raw Data'!$C:$C,0)),"-")</f>
        <v>2906.7</v>
      </c>
      <c r="D161" s="18">
        <f>IFERROR(INDEX('Raw Data'!X:X,MATCH($B161,'Raw Data'!$C:$C,0)),"-")</f>
        <v>14.02717509</v>
      </c>
      <c r="E161" s="18">
        <f>IFERROR(INDEX('Raw Data'!Y:Y,MATCH($B161,'Raw Data'!$C:$C,0)),"-")</f>
        <v>2433.3249219999998</v>
      </c>
      <c r="F161" s="14">
        <f>IFERROR(INDEX('Raw Data'!F:F,MATCH($B161,'Raw Data'!$C:$C,0)),"-")</f>
        <v>176.98259999999999</v>
      </c>
      <c r="G161" s="12">
        <f>IFERROR(INDEX('Raw Data'!U:U,MATCH($B161,'Raw Data'!$C:$C,0)),"-")</f>
        <v>117</v>
      </c>
      <c r="H161" s="12">
        <f>IFERROR(INDEX('Raw Data'!R:R,MATCH($B161,'Raw Data'!$C:$C,0)),"-")</f>
        <v>15758.49</v>
      </c>
    </row>
    <row r="162" spans="1:8" ht="15" customHeight="1" x14ac:dyDescent="0.35">
      <c r="A162" s="15" t="str">
        <f>IFERROR(INDEX('Raw Data'!AC:AC,MATCH($B162,'Raw Data'!$C:$C,0)),"-")</f>
        <v>Dumper</v>
      </c>
      <c r="B162" s="7" t="s">
        <v>103</v>
      </c>
      <c r="C162" s="8">
        <f>IFERROR(INDEX('Raw Data'!W:W,MATCH($B162,'Raw Data'!$C:$C,0)),"-")</f>
        <v>2711.14</v>
      </c>
      <c r="D162" s="17">
        <f>IFERROR(INDEX('Raw Data'!X:X,MATCH($B162,'Raw Data'!$C:$C,0)),"-")</f>
        <v>12.90365263</v>
      </c>
      <c r="E162" s="17">
        <f>IFERROR(INDEX('Raw Data'!Y:Y,MATCH($B162,'Raw Data'!$C:$C,0)),"-")</f>
        <v>2440.1116802534302</v>
      </c>
      <c r="F162" s="10">
        <f>IFERROR(INDEX('Raw Data'!F:F,MATCH($B162,'Raw Data'!$C:$C,0)),"-")</f>
        <v>192.865299999999</v>
      </c>
      <c r="G162" s="8">
        <f>IFERROR(INDEX('Raw Data'!U:U,MATCH($B162,'Raw Data'!$C:$C,0)),"-")</f>
        <v>9675</v>
      </c>
      <c r="H162" s="8">
        <f>IFERROR(INDEX('Raw Data'!R:R,MATCH($B162,'Raw Data'!$C:$C,0)),"-")</f>
        <v>0</v>
      </c>
    </row>
    <row r="163" spans="1:8" ht="15" customHeight="1" x14ac:dyDescent="0.35">
      <c r="A163" s="16" t="str">
        <f>IFERROR(INDEX('Raw Data'!AC:AC,MATCH($B163,'Raw Data'!$C:$C,0)),"-")</f>
        <v>Tipper</v>
      </c>
      <c r="B163" s="11" t="s">
        <v>70</v>
      </c>
      <c r="C163" s="12">
        <f>IFERROR(INDEX('Raw Data'!W:W,MATCH($B163,'Raw Data'!$C:$C,0)),"-")</f>
        <v>2683.18</v>
      </c>
      <c r="D163" s="18">
        <f>IFERROR(INDEX('Raw Data'!X:X,MATCH($B163,'Raw Data'!$C:$C,0)),"-")</f>
        <v>46.269222939999999</v>
      </c>
      <c r="E163" s="18">
        <f>IFERROR(INDEX('Raw Data'!Y:Y,MATCH($B163,'Raw Data'!$C:$C,0)),"-")</f>
        <v>2577.5196019999998</v>
      </c>
      <c r="F163" s="14">
        <f>IFERROR(INDEX('Raw Data'!F:F,MATCH($B163,'Raw Data'!$C:$C,0)),"-")</f>
        <v>56.712800000000001</v>
      </c>
      <c r="G163" s="12">
        <f>IFERROR(INDEX('Raw Data'!U:U,MATCH($B163,'Raw Data'!$C:$C,0)),"-")</f>
        <v>143</v>
      </c>
      <c r="H163" s="12">
        <f>IFERROR(INDEX('Raw Data'!R:R,MATCH($B163,'Raw Data'!$C:$C,0)),"-")</f>
        <v>14152.04</v>
      </c>
    </row>
    <row r="164" spans="1:8" ht="15" customHeight="1" x14ac:dyDescent="0.35">
      <c r="A164" s="15" t="str">
        <f>IFERROR(INDEX('Raw Data'!AC:AC,MATCH($B164,'Raw Data'!$C:$C,0)),"-")</f>
        <v>Dumper</v>
      </c>
      <c r="B164" s="7" t="s">
        <v>117</v>
      </c>
      <c r="C164" s="8">
        <f>IFERROR(INDEX('Raw Data'!W:W,MATCH($B164,'Raw Data'!$C:$C,0)),"-")</f>
        <v>2439.16</v>
      </c>
      <c r="D164" s="17">
        <f>IFERROR(INDEX('Raw Data'!X:X,MATCH($B164,'Raw Data'!$C:$C,0)),"-")</f>
        <v>22.786645419999999</v>
      </c>
      <c r="E164" s="17">
        <f>IFERROR(INDEX('Raw Data'!Y:Y,MATCH($B164,'Raw Data'!$C:$C,0)),"-")</f>
        <v>2234.8025280000002</v>
      </c>
      <c r="F164" s="10">
        <f>IFERROR(INDEX('Raw Data'!F:F,MATCH($B164,'Raw Data'!$C:$C,0)),"-")</f>
        <v>109.1661</v>
      </c>
      <c r="G164" s="8">
        <f>IFERROR(INDEX('Raw Data'!U:U,MATCH($B164,'Raw Data'!$C:$C,0)),"-")</f>
        <v>3900</v>
      </c>
      <c r="H164" s="8">
        <f>IFERROR(INDEX('Raw Data'!R:R,MATCH($B164,'Raw Data'!$C:$C,0)),"-")</f>
        <v>0</v>
      </c>
    </row>
    <row r="165" spans="1:8" ht="15" customHeight="1" x14ac:dyDescent="0.35">
      <c r="A165" s="16" t="str">
        <f>IFERROR(INDEX('Raw Data'!AC:AC,MATCH($B165,'Raw Data'!$C:$C,0)),"-")</f>
        <v>Tipper</v>
      </c>
      <c r="B165" s="11" t="s">
        <v>56</v>
      </c>
      <c r="C165" s="12">
        <f>IFERROR(INDEX('Raw Data'!W:W,MATCH($B165,'Raw Data'!$C:$C,0)),"-")</f>
        <v>2394.96</v>
      </c>
      <c r="D165" s="18">
        <f>IFERROR(INDEX('Raw Data'!X:X,MATCH($B165,'Raw Data'!$C:$C,0)),"-")</f>
        <v>10.31822453</v>
      </c>
      <c r="E165" s="18">
        <f>IFERROR(INDEX('Raw Data'!Y:Y,MATCH($B165,'Raw Data'!$C:$C,0)),"-")</f>
        <v>2058.4734119999998</v>
      </c>
      <c r="F165" s="14">
        <f>IFERROR(INDEX('Raw Data'!F:F,MATCH($B165,'Raw Data'!$C:$C,0)),"-")</f>
        <v>202.79910000000001</v>
      </c>
      <c r="G165" s="12">
        <f>IFERROR(INDEX('Raw Data'!U:U,MATCH($B165,'Raw Data'!$C:$C,0)),"-")</f>
        <v>1560</v>
      </c>
      <c r="H165" s="12">
        <f>IFERROR(INDEX('Raw Data'!R:R,MATCH($B165,'Raw Data'!$C:$C,0)),"-")</f>
        <v>6181.65</v>
      </c>
    </row>
    <row r="166" spans="1:8" ht="15" customHeight="1" x14ac:dyDescent="0.35">
      <c r="A166" s="15" t="str">
        <f>IFERROR(INDEX('Raw Data'!AC:AC,MATCH($B166,'Raw Data'!$C:$C,0)),"-")</f>
        <v>Dumper</v>
      </c>
      <c r="B166" s="7" t="s">
        <v>119</v>
      </c>
      <c r="C166" s="8">
        <f>IFERROR(INDEX('Raw Data'!W:W,MATCH($B166,'Raw Data'!$C:$C,0)),"-")</f>
        <v>2303.7599999999902</v>
      </c>
      <c r="D166" s="17">
        <f>IFERROR(INDEX('Raw Data'!X:X,MATCH($B166,'Raw Data'!$C:$C,0)),"-")</f>
        <v>15.01006639</v>
      </c>
      <c r="E166" s="17">
        <f>IFERROR(INDEX('Raw Data'!Y:Y,MATCH($B166,'Raw Data'!$C:$C,0)),"-")</f>
        <v>1801.676281</v>
      </c>
      <c r="F166" s="10">
        <f>IFERROR(INDEX('Raw Data'!F:F,MATCH($B166,'Raw Data'!$C:$C,0)),"-")</f>
        <v>122.9038</v>
      </c>
      <c r="G166" s="8">
        <f>IFERROR(INDEX('Raw Data'!U:U,MATCH($B166,'Raw Data'!$C:$C,0)),"-")</f>
        <v>5600</v>
      </c>
      <c r="H166" s="8">
        <f>IFERROR(INDEX('Raw Data'!R:R,MATCH($B166,'Raw Data'!$C:$C,0)),"-")</f>
        <v>0</v>
      </c>
    </row>
    <row r="167" spans="1:8" ht="15" customHeight="1" x14ac:dyDescent="0.35">
      <c r="A167" s="16" t="str">
        <f>IFERROR(INDEX('Raw Data'!AC:AC,MATCH($B167,'Raw Data'!$C:$C,0)),"-")</f>
        <v>Tipper</v>
      </c>
      <c r="B167" s="11" t="s">
        <v>65</v>
      </c>
      <c r="C167" s="12">
        <f>IFERROR(INDEX('Raw Data'!W:W,MATCH($B167,'Raw Data'!$C:$C,0)),"-")</f>
        <v>2101.69</v>
      </c>
      <c r="D167" s="18">
        <f>IFERROR(INDEX('Raw Data'!X:X,MATCH($B167,'Raw Data'!$C:$C,0)),"-")</f>
        <v>13.24005133</v>
      </c>
      <c r="E167" s="18">
        <f>IFERROR(INDEX('Raw Data'!Y:Y,MATCH($B167,'Raw Data'!$C:$C,0)),"-")</f>
        <v>1891.799438</v>
      </c>
      <c r="F167" s="14">
        <f>IFERROR(INDEX('Raw Data'!F:F,MATCH($B167,'Raw Data'!$C:$C,0)),"-")</f>
        <v>146.2132</v>
      </c>
      <c r="G167" s="12">
        <f>IFERROR(INDEX('Raw Data'!U:U,MATCH($B167,'Raw Data'!$C:$C,0)),"-")</f>
        <v>117</v>
      </c>
      <c r="H167" s="12">
        <f>IFERROR(INDEX('Raw Data'!R:R,MATCH($B167,'Raw Data'!$C:$C,0)),"-")</f>
        <v>10173.1</v>
      </c>
    </row>
    <row r="168" spans="1:8" ht="15" customHeight="1" x14ac:dyDescent="0.35">
      <c r="A168" s="15" t="str">
        <f>IFERROR(INDEX('Raw Data'!AC:AC,MATCH($B168,'Raw Data'!$C:$C,0)),"-")</f>
        <v>Tipper</v>
      </c>
      <c r="B168" s="7" t="s">
        <v>78</v>
      </c>
      <c r="C168" s="8">
        <f>IFERROR(INDEX('Raw Data'!W:W,MATCH($B168,'Raw Data'!$C:$C,0)),"-")</f>
        <v>1981.69999999999</v>
      </c>
      <c r="D168" s="17">
        <f>IFERROR(INDEX('Raw Data'!X:X,MATCH($B168,'Raw Data'!$C:$C,0)),"-")</f>
        <v>8.0979915410000007</v>
      </c>
      <c r="E168" s="17">
        <f>IFERROR(INDEX('Raw Data'!Y:Y,MATCH($B168,'Raw Data'!$C:$C,0)),"-")</f>
        <v>1725.573484</v>
      </c>
      <c r="F168" s="10">
        <f>IFERROR(INDEX('Raw Data'!F:F,MATCH($B168,'Raw Data'!$C:$C,0)),"-")</f>
        <v>218.267799999999</v>
      </c>
      <c r="G168" s="8">
        <f>IFERROR(INDEX('Raw Data'!U:U,MATCH($B168,'Raw Data'!$C:$C,0)),"-")</f>
        <v>637</v>
      </c>
      <c r="H168" s="8">
        <f>IFERROR(INDEX('Raw Data'!R:R,MATCH($B168,'Raw Data'!$C:$C,0)),"-")</f>
        <v>3721.15</v>
      </c>
    </row>
    <row r="169" spans="1:8" ht="15" customHeight="1" x14ac:dyDescent="0.35">
      <c r="A169" s="16" t="str">
        <f>IFERROR(INDEX('Raw Data'!AC:AC,MATCH($B169,'Raw Data'!$C:$C,0)),"-")</f>
        <v>Tipper</v>
      </c>
      <c r="B169" s="11" t="s">
        <v>48</v>
      </c>
      <c r="C169" s="12">
        <f>IFERROR(INDEX('Raw Data'!W:W,MATCH($B169,'Raw Data'!$C:$C,0)),"-")</f>
        <v>1881.1099999999899</v>
      </c>
      <c r="D169" s="18">
        <f>IFERROR(INDEX('Raw Data'!X:X,MATCH($B169,'Raw Data'!$C:$C,0)),"-")</f>
        <v>22.418319740000001</v>
      </c>
      <c r="E169" s="18">
        <f>IFERROR(INDEX('Raw Data'!Y:Y,MATCH($B169,'Raw Data'!$C:$C,0)),"-")</f>
        <v>1795.164888</v>
      </c>
      <c r="F169" s="14">
        <f>IFERROR(INDEX('Raw Data'!F:F,MATCH($B169,'Raw Data'!$C:$C,0)),"-")</f>
        <v>80.971999999999994</v>
      </c>
      <c r="G169" s="12">
        <f>IFERROR(INDEX('Raw Data'!U:U,MATCH($B169,'Raw Data'!$C:$C,0)),"-")</f>
        <v>117</v>
      </c>
      <c r="H169" s="12">
        <f>IFERROR(INDEX('Raw Data'!R:R,MATCH($B169,'Raw Data'!$C:$C,0)),"-")</f>
        <v>9895.4500000000007</v>
      </c>
    </row>
    <row r="170" spans="1:8" ht="15" customHeight="1" x14ac:dyDescent="0.35">
      <c r="A170" s="15" t="str">
        <f>IFERROR(INDEX('Raw Data'!AC:AC,MATCH($B170,'Raw Data'!$C:$C,0)),"-")</f>
        <v>Tipper</v>
      </c>
      <c r="B170" s="7" t="s">
        <v>58</v>
      </c>
      <c r="C170" s="8">
        <f>IFERROR(INDEX('Raw Data'!W:W,MATCH($B170,'Raw Data'!$C:$C,0)),"-")</f>
        <v>1879.77</v>
      </c>
      <c r="D170" s="17">
        <f>IFERROR(INDEX('Raw Data'!X:X,MATCH($B170,'Raw Data'!$C:$C,0)),"-")</f>
        <v>10.673912939999999</v>
      </c>
      <c r="E170" s="17">
        <f>IFERROR(INDEX('Raw Data'!Y:Y,MATCH($B170,'Raw Data'!$C:$C,0)),"-")</f>
        <v>1598.248748</v>
      </c>
      <c r="F170" s="10">
        <f>IFERROR(INDEX('Raw Data'!F:F,MATCH($B170,'Raw Data'!$C:$C,0)),"-")</f>
        <v>151.48649999999901</v>
      </c>
      <c r="G170" s="8">
        <f>IFERROR(INDEX('Raw Data'!U:U,MATCH($B170,'Raw Data'!$C:$C,0)),"-")</f>
        <v>182</v>
      </c>
      <c r="H170" s="8">
        <f>IFERROR(INDEX('Raw Data'!R:R,MATCH($B170,'Raw Data'!$C:$C,0)),"-")</f>
        <v>9637.2900000000009</v>
      </c>
    </row>
    <row r="171" spans="1:8" ht="15" customHeight="1" x14ac:dyDescent="0.35">
      <c r="A171" s="16" t="str">
        <f>IFERROR(INDEX('Raw Data'!AC:AC,MATCH($B171,'Raw Data'!$C:$C,0)),"-")</f>
        <v>Tipper</v>
      </c>
      <c r="B171" s="11" t="s">
        <v>83</v>
      </c>
      <c r="C171" s="12">
        <f>IFERROR(INDEX('Raw Data'!W:W,MATCH($B171,'Raw Data'!$C:$C,0)),"-")</f>
        <v>1368.87</v>
      </c>
      <c r="D171" s="18">
        <f>IFERROR(INDEX('Raw Data'!X:X,MATCH($B171,'Raw Data'!$C:$C,0)),"-")</f>
        <v>11.473557599999999</v>
      </c>
      <c r="E171" s="18">
        <f>IFERROR(INDEX('Raw Data'!Y:Y,MATCH($B171,'Raw Data'!$C:$C,0)),"-")</f>
        <v>1234.6431439999999</v>
      </c>
      <c r="F171" s="14">
        <f>IFERROR(INDEX('Raw Data'!F:F,MATCH($B171,'Raw Data'!$C:$C,0)),"-")</f>
        <v>108.9923</v>
      </c>
      <c r="G171" s="12">
        <f>IFERROR(INDEX('Raw Data'!U:U,MATCH($B171,'Raw Data'!$C:$C,0)),"-")</f>
        <v>182</v>
      </c>
      <c r="H171" s="12">
        <f>IFERROR(INDEX('Raw Data'!R:R,MATCH($B171,'Raw Data'!$C:$C,0)),"-")</f>
        <v>7076.13</v>
      </c>
    </row>
    <row r="172" spans="1:8" ht="15" customHeight="1" x14ac:dyDescent="0.35">
      <c r="A172" s="15" t="str">
        <f>IFERROR(INDEX('Raw Data'!AC:AC,MATCH($B172,'Raw Data'!$C:$C,0)),"-")</f>
        <v>Dumper</v>
      </c>
      <c r="B172" s="7" t="s">
        <v>113</v>
      </c>
      <c r="C172" s="8">
        <f>IFERROR(INDEX('Raw Data'!W:W,MATCH($B172,'Raw Data'!$C:$C,0)),"-")</f>
        <v>1332.3899999999901</v>
      </c>
      <c r="D172" s="17">
        <f>IFERROR(INDEX('Raw Data'!X:X,MATCH($B172,'Raw Data'!$C:$C,0)),"-")</f>
        <v>19.849415050000001</v>
      </c>
      <c r="E172" s="17">
        <f>IFERROR(INDEX('Raw Data'!Y:Y,MATCH($B172,'Raw Data'!$C:$C,0)),"-")</f>
        <v>1283.5425749999999</v>
      </c>
      <c r="F172" s="10">
        <f>IFERROR(INDEX('Raw Data'!F:F,MATCH($B172,'Raw Data'!$C:$C,0)),"-")</f>
        <v>65.498599999999996</v>
      </c>
      <c r="G172" s="8">
        <f>IFERROR(INDEX('Raw Data'!U:U,MATCH($B172,'Raw Data'!$C:$C,0)),"-")</f>
        <v>2625</v>
      </c>
      <c r="H172" s="8">
        <f>IFERROR(INDEX('Raw Data'!R:R,MATCH($B172,'Raw Data'!$C:$C,0)),"-")</f>
        <v>0</v>
      </c>
    </row>
    <row r="173" spans="1:8" ht="15" customHeight="1" x14ac:dyDescent="0.35">
      <c r="A173" s="16" t="str">
        <f>IFERROR(INDEX('Raw Data'!AC:AC,MATCH($B173,'Raw Data'!$C:$C,0)),"-")</f>
        <v>Tipper</v>
      </c>
      <c r="B173" s="11" t="s">
        <v>67</v>
      </c>
      <c r="C173" s="12">
        <f>IFERROR(INDEX('Raw Data'!W:W,MATCH($B173,'Raw Data'!$C:$C,0)),"-")</f>
        <v>1199.3699999999999</v>
      </c>
      <c r="D173" s="18">
        <f>IFERROR(INDEX('Raw Data'!X:X,MATCH($B173,'Raw Data'!$C:$C,0)),"-")</f>
        <v>11.681284059999999</v>
      </c>
      <c r="E173" s="18">
        <f>IFERROR(INDEX('Raw Data'!Y:Y,MATCH($B173,'Raw Data'!$C:$C,0)),"-")</f>
        <v>1148.773686</v>
      </c>
      <c r="F173" s="14">
        <f>IFERROR(INDEX('Raw Data'!F:F,MATCH($B173,'Raw Data'!$C:$C,0)),"-")</f>
        <v>99.541700000000006</v>
      </c>
      <c r="G173" s="12">
        <f>IFERROR(INDEX('Raw Data'!U:U,MATCH($B173,'Raw Data'!$C:$C,0)),"-")</f>
        <v>13</v>
      </c>
      <c r="H173" s="12">
        <f>IFERROR(INDEX('Raw Data'!R:R,MATCH($B173,'Raw Data'!$C:$C,0)),"-")</f>
        <v>7184.44</v>
      </c>
    </row>
    <row r="174" spans="1:8" ht="15" customHeight="1" x14ac:dyDescent="0.35">
      <c r="A174" s="15" t="str">
        <f>IFERROR(INDEX('Raw Data'!AC:AC,MATCH($B174,'Raw Data'!$C:$C,0)),"-")</f>
        <v>Excavator</v>
      </c>
      <c r="B174" s="7" t="s">
        <v>216</v>
      </c>
      <c r="C174" s="8">
        <f>IFERROR(INDEX('Raw Data'!W:W,MATCH($B174,'Raw Data'!$C:$C,0)),"-")</f>
        <v>1132.0999999999999</v>
      </c>
      <c r="D174" s="17">
        <f>IFERROR(INDEX('Raw Data'!X:X,MATCH($B174,'Raw Data'!$C:$C,0)),"-")</f>
        <v>29.532915070000001</v>
      </c>
      <c r="E174" s="17">
        <f>IFERROR(INDEX('Raw Data'!Y:Y,MATCH($B174,'Raw Data'!$C:$C,0)),"-")</f>
        <v>1132.0999999999999</v>
      </c>
      <c r="F174" s="10">
        <f>IFERROR(INDEX('Raw Data'!F:F,MATCH($B174,'Raw Data'!$C:$C,0)),"-")</f>
        <v>41.628099999999897</v>
      </c>
      <c r="G174" s="8">
        <f>IFERROR(INDEX('Raw Data'!U:U,MATCH($B174,'Raw Data'!$C:$C,0)),"-")</f>
        <v>0</v>
      </c>
      <c r="H174" s="8">
        <f>IFERROR(INDEX('Raw Data'!R:R,MATCH($B174,'Raw Data'!$C:$C,0)),"-")</f>
        <v>0</v>
      </c>
    </row>
    <row r="175" spans="1:8" ht="15" customHeight="1" x14ac:dyDescent="0.35">
      <c r="A175" s="16" t="str">
        <f>IFERROR(INDEX('Raw Data'!AC:AC,MATCH($B175,'Raw Data'!$C:$C,0)),"-")</f>
        <v>Tipper</v>
      </c>
      <c r="B175" s="11" t="s">
        <v>61</v>
      </c>
      <c r="C175" s="12">
        <f>IFERROR(INDEX('Raw Data'!W:W,MATCH($B175,'Raw Data'!$C:$C,0)),"-")</f>
        <v>1105.53</v>
      </c>
      <c r="D175" s="18">
        <f>IFERROR(INDEX('Raw Data'!X:X,MATCH($B175,'Raw Data'!$C:$C,0)),"-")</f>
        <v>11.364423690000001</v>
      </c>
      <c r="E175" s="18">
        <f>IFERROR(INDEX('Raw Data'!Y:Y,MATCH($B175,'Raw Data'!$C:$C,0)),"-")</f>
        <v>975.14710349999996</v>
      </c>
      <c r="F175" s="14">
        <f>IFERROR(INDEX('Raw Data'!F:F,MATCH($B175,'Raw Data'!$C:$C,0)),"-")</f>
        <v>96.880999999999901</v>
      </c>
      <c r="G175" s="12">
        <f>IFERROR(INDEX('Raw Data'!U:U,MATCH($B175,'Raw Data'!$C:$C,0)),"-")</f>
        <v>117</v>
      </c>
      <c r="H175" s="12">
        <f>IFERROR(INDEX('Raw Data'!R:R,MATCH($B175,'Raw Data'!$C:$C,0)),"-")</f>
        <v>4701.93</v>
      </c>
    </row>
    <row r="176" spans="1:8" ht="15" customHeight="1" x14ac:dyDescent="0.35">
      <c r="A176" s="15" t="str">
        <f>IFERROR(INDEX('Raw Data'!AC:AC,MATCH($B176,'Raw Data'!$C:$C,0)),"-")</f>
        <v>Diesel Bowser</v>
      </c>
      <c r="B176" s="7" t="s">
        <v>241</v>
      </c>
      <c r="C176" s="8">
        <f>IFERROR(INDEX('Raw Data'!W:W,MATCH($B176,'Raw Data'!$C:$C,0)),"-")</f>
        <v>1047.24</v>
      </c>
      <c r="D176" s="17">
        <f>IFERROR(INDEX('Raw Data'!X:X,MATCH($B176,'Raw Data'!$C:$C,0)),"-")</f>
        <v>7.9849335119999996</v>
      </c>
      <c r="E176" s="17">
        <f>IFERROR(INDEX('Raw Data'!Y:Y,MATCH($B176,'Raw Data'!$C:$C,0)),"-")</f>
        <v>629.94018819999997</v>
      </c>
      <c r="F176" s="10">
        <f>IFERROR(INDEX('Raw Data'!F:F,MATCH($B176,'Raw Data'!$C:$C,0)),"-")</f>
        <v>79.932399999999902</v>
      </c>
      <c r="G176" s="8">
        <f>IFERROR(INDEX('Raw Data'!U:U,MATCH($B176,'Raw Data'!$C:$C,0)),"-")</f>
        <v>0</v>
      </c>
      <c r="H176" s="8">
        <f>IFERROR(INDEX('Raw Data'!R:R,MATCH($B176,'Raw Data'!$C:$C,0)),"-")</f>
        <v>0</v>
      </c>
    </row>
    <row r="177" spans="1:8" ht="15" customHeight="1" x14ac:dyDescent="0.35">
      <c r="A177" s="16" t="str">
        <f>IFERROR(INDEX('Raw Data'!AC:AC,MATCH($B177,'Raw Data'!$C:$C,0)),"-")</f>
        <v>Tipper</v>
      </c>
      <c r="B177" s="11" t="s">
        <v>52</v>
      </c>
      <c r="C177" s="12">
        <f>IFERROR(INDEX('Raw Data'!W:W,MATCH($B177,'Raw Data'!$C:$C,0)),"-")</f>
        <v>998.02</v>
      </c>
      <c r="D177" s="18">
        <f>IFERROR(INDEX('Raw Data'!X:X,MATCH($B177,'Raw Data'!$C:$C,0)),"-")</f>
        <v>11.84045368</v>
      </c>
      <c r="E177" s="18">
        <f>IFERROR(INDEX('Raw Data'!Y:Y,MATCH($B177,'Raw Data'!$C:$C,0)),"-")</f>
        <v>963.49797330000001</v>
      </c>
      <c r="F177" s="14">
        <f>IFERROR(INDEX('Raw Data'!F:F,MATCH($B177,'Raw Data'!$C:$C,0)),"-")</f>
        <v>83.836699999999894</v>
      </c>
      <c r="G177" s="12">
        <f>IFERROR(INDEX('Raw Data'!U:U,MATCH($B177,'Raw Data'!$C:$C,0)),"-")</f>
        <v>13</v>
      </c>
      <c r="H177" s="12">
        <f>IFERROR(INDEX('Raw Data'!R:R,MATCH($B177,'Raw Data'!$C:$C,0)),"-")</f>
        <v>5633.1</v>
      </c>
    </row>
    <row r="178" spans="1:8" ht="15" customHeight="1" x14ac:dyDescent="0.35">
      <c r="A178" s="15" t="str">
        <f>IFERROR(INDEX('Raw Data'!AC:AC,MATCH($B178,'Raw Data'!$C:$C,0)),"-")</f>
        <v>Dumper</v>
      </c>
      <c r="B178" s="7" t="s">
        <v>123</v>
      </c>
      <c r="C178" s="8">
        <f>IFERROR(INDEX('Raw Data'!W:W,MATCH($B178,'Raw Data'!$C:$C,0)),"-")</f>
        <v>948.81</v>
      </c>
      <c r="D178" s="17">
        <f>IFERROR(INDEX('Raw Data'!X:X,MATCH($B178,'Raw Data'!$C:$C,0)),"-")</f>
        <v>18.163179750000001</v>
      </c>
      <c r="E178" s="17">
        <f>IFERROR(INDEX('Raw Data'!Y:Y,MATCH($B178,'Raw Data'!$C:$C,0)),"-")</f>
        <v>697.45157180000001</v>
      </c>
      <c r="F178" s="10">
        <f>IFERROR(INDEX('Raw Data'!F:F,MATCH($B178,'Raw Data'!$C:$C,0)),"-")</f>
        <v>39.055999999999997</v>
      </c>
      <c r="G178" s="8">
        <f>IFERROR(INDEX('Raw Data'!U:U,MATCH($B178,'Raw Data'!$C:$C,0)),"-")</f>
        <v>1800</v>
      </c>
      <c r="H178" s="8">
        <f>IFERROR(INDEX('Raw Data'!R:R,MATCH($B178,'Raw Data'!$C:$C,0)),"-")</f>
        <v>0</v>
      </c>
    </row>
    <row r="179" spans="1:8" ht="15" customHeight="1" x14ac:dyDescent="0.35">
      <c r="A179" s="16" t="str">
        <f>IFERROR(INDEX('Raw Data'!AC:AC,MATCH($B179,'Raw Data'!$C:$C,0)),"-")</f>
        <v>Diesel Bowser</v>
      </c>
      <c r="B179" s="11" t="s">
        <v>242</v>
      </c>
      <c r="C179" s="12">
        <f>IFERROR(INDEX('Raw Data'!W:W,MATCH($B179,'Raw Data'!$C:$C,0)),"-")</f>
        <v>910.58</v>
      </c>
      <c r="D179" s="18">
        <f>IFERROR(INDEX('Raw Data'!X:X,MATCH($B179,'Raw Data'!$C:$C,0)),"-")</f>
        <v>4.994013743</v>
      </c>
      <c r="E179" s="18">
        <f>IFERROR(INDEX('Raw Data'!Y:Y,MATCH($B179,'Raw Data'!$C:$C,0)),"-")</f>
        <v>861.90784269999995</v>
      </c>
      <c r="F179" s="14">
        <f>IFERROR(INDEX('Raw Data'!F:F,MATCH($B179,'Raw Data'!$C:$C,0)),"-")</f>
        <v>174.725999999999</v>
      </c>
      <c r="G179" s="12">
        <f>IFERROR(INDEX('Raw Data'!U:U,MATCH($B179,'Raw Data'!$C:$C,0)),"-")</f>
        <v>0</v>
      </c>
      <c r="H179" s="12">
        <f>IFERROR(INDEX('Raw Data'!R:R,MATCH($B179,'Raw Data'!$C:$C,0)),"-")</f>
        <v>0</v>
      </c>
    </row>
    <row r="180" spans="1:8" ht="15" customHeight="1" x14ac:dyDescent="0.35">
      <c r="A180" s="15" t="str">
        <f>IFERROR(INDEX('Raw Data'!AC:AC,MATCH($B180,'Raw Data'!$C:$C,0)),"-")</f>
        <v>Diesel Bowser</v>
      </c>
      <c r="B180" s="7" t="s">
        <v>237</v>
      </c>
      <c r="C180" s="8">
        <f>IFERROR(INDEX('Raw Data'!W:W,MATCH($B180,'Raw Data'!$C:$C,0)),"-")</f>
        <v>899.37</v>
      </c>
      <c r="D180" s="17">
        <f>IFERROR(INDEX('Raw Data'!X:X,MATCH($B180,'Raw Data'!$C:$C,0)),"-")</f>
        <v>52.591661309999999</v>
      </c>
      <c r="E180" s="17">
        <f>IFERROR(INDEX('Raw Data'!Y:Y,MATCH($B180,'Raw Data'!$C:$C,0)),"-")</f>
        <v>59.754645580000002</v>
      </c>
      <c r="F180" s="10">
        <f>IFERROR(INDEX('Raw Data'!F:F,MATCH($B180,'Raw Data'!$C:$C,0)),"-")</f>
        <v>11.382300000000001</v>
      </c>
      <c r="G180" s="8">
        <f>IFERROR(INDEX('Raw Data'!U:U,MATCH($B180,'Raw Data'!$C:$C,0)),"-")</f>
        <v>0</v>
      </c>
      <c r="H180" s="8">
        <f>IFERROR(INDEX('Raw Data'!R:R,MATCH($B180,'Raw Data'!$C:$C,0)),"-")</f>
        <v>0</v>
      </c>
    </row>
    <row r="181" spans="1:8" ht="15" customHeight="1" x14ac:dyDescent="0.35">
      <c r="A181" s="16" t="str">
        <f>IFERROR(INDEX('Raw Data'!AC:AC,MATCH($B181,'Raw Data'!$C:$C,0)),"-")</f>
        <v>Diesel Bowser</v>
      </c>
      <c r="B181" s="11" t="s">
        <v>238</v>
      </c>
      <c r="C181" s="12">
        <f>IFERROR(INDEX('Raw Data'!W:W,MATCH($B181,'Raw Data'!$C:$C,0)),"-")</f>
        <v>885.98</v>
      </c>
      <c r="D181" s="18">
        <f>IFERROR(INDEX('Raw Data'!X:X,MATCH($B181,'Raw Data'!$C:$C,0)),"-")</f>
        <v>6.9892854829999997</v>
      </c>
      <c r="E181" s="18">
        <f>IFERROR(INDEX('Raw Data'!Y:Y,MATCH($B181,'Raw Data'!$C:$C,0)),"-")</f>
        <v>783.47793479999996</v>
      </c>
      <c r="F181" s="14">
        <f>IFERROR(INDEX('Raw Data'!F:F,MATCH($B181,'Raw Data'!$C:$C,0)),"-")</f>
        <v>145.3486</v>
      </c>
      <c r="G181" s="12">
        <f>IFERROR(INDEX('Raw Data'!U:U,MATCH($B181,'Raw Data'!$C:$C,0)),"-")</f>
        <v>0</v>
      </c>
      <c r="H181" s="12">
        <f>IFERROR(INDEX('Raw Data'!R:R,MATCH($B181,'Raw Data'!$C:$C,0)),"-")</f>
        <v>0</v>
      </c>
    </row>
    <row r="182" spans="1:8" ht="15" customHeight="1" x14ac:dyDescent="0.35">
      <c r="A182" s="16" t="str">
        <f>IFERROR(INDEX('Raw Data'!AC:AC,MATCH($B182,'Raw Data'!$C:$C,0)),"-")</f>
        <v>Tipper</v>
      </c>
      <c r="B182" s="11" t="s">
        <v>35</v>
      </c>
      <c r="C182" s="12">
        <f>IFERROR(INDEX('Raw Data'!W:W,MATCH($B182,'Raw Data'!$C:$C,0)),"-")</f>
        <v>834.44</v>
      </c>
      <c r="D182" s="18">
        <f>IFERROR(INDEX('Raw Data'!X:X,MATCH($B182,'Raw Data'!$C:$C,0)),"-")</f>
        <v>8.3627394880000008</v>
      </c>
      <c r="E182" s="18">
        <f>IFERROR(INDEX('Raw Data'!Y:Y,MATCH($B182,'Raw Data'!$C:$C,0)),"-")</f>
        <v>595.22550950000004</v>
      </c>
      <c r="F182" s="14">
        <f>IFERROR(INDEX('Raw Data'!F:F,MATCH($B182,'Raw Data'!$C:$C,0)),"-")</f>
        <v>72.088800000000006</v>
      </c>
      <c r="G182" s="12">
        <f>IFERROR(INDEX('Raw Data'!U:U,MATCH($B182,'Raw Data'!$C:$C,0)),"-")</f>
        <v>221</v>
      </c>
      <c r="H182" s="12">
        <f>IFERROR(INDEX('Raw Data'!R:R,MATCH($B182,'Raw Data'!$C:$C,0)),"-")</f>
        <v>777.36</v>
      </c>
    </row>
    <row r="183" spans="1:8" ht="15" customHeight="1" x14ac:dyDescent="0.35">
      <c r="A183" s="15" t="str">
        <f>IFERROR(INDEX('Raw Data'!AC:AC,MATCH($B183,'Raw Data'!$C:$C,0)),"-")</f>
        <v>Tipper</v>
      </c>
      <c r="B183" s="7" t="s">
        <v>77</v>
      </c>
      <c r="C183" s="8">
        <f>IFERROR(INDEX('Raw Data'!W:W,MATCH($B183,'Raw Data'!$C:$C,0)),"-")</f>
        <v>828</v>
      </c>
      <c r="D183" s="17">
        <f>IFERROR(INDEX('Raw Data'!X:X,MATCH($B183,'Raw Data'!$C:$C,0)),"-")</f>
        <v>10.44026918</v>
      </c>
      <c r="E183" s="17">
        <f>IFERROR(INDEX('Raw Data'!Y:Y,MATCH($B183,'Raw Data'!$C:$C,0)),"-")</f>
        <v>784.86811590000002</v>
      </c>
      <c r="F183" s="10">
        <f>IFERROR(INDEX('Raw Data'!F:F,MATCH($B183,'Raw Data'!$C:$C,0)),"-")</f>
        <v>76.471999999999994</v>
      </c>
      <c r="G183" s="8">
        <f>IFERROR(INDEX('Raw Data'!U:U,MATCH($B183,'Raw Data'!$C:$C,0)),"-")</f>
        <v>65</v>
      </c>
      <c r="H183" s="8">
        <f>IFERROR(INDEX('Raw Data'!R:R,MATCH($B183,'Raw Data'!$C:$C,0)),"-")</f>
        <v>4042.16</v>
      </c>
    </row>
    <row r="184" spans="1:8" ht="15" customHeight="1" x14ac:dyDescent="0.35">
      <c r="A184" s="16" t="str">
        <f>IFERROR(INDEX('Raw Data'!AC:AC,MATCH($B184,'Raw Data'!$C:$C,0)),"-")</f>
        <v>Tipper</v>
      </c>
      <c r="B184" s="11" t="s">
        <v>41</v>
      </c>
      <c r="C184" s="12">
        <f>IFERROR(INDEX('Raw Data'!W:W,MATCH($B184,'Raw Data'!$C:$C,0)),"-")</f>
        <v>739.99</v>
      </c>
      <c r="D184" s="18">
        <f>IFERROR(INDEX('Raw Data'!X:X,MATCH($B184,'Raw Data'!$C:$C,0)),"-")</f>
        <v>10.04562677</v>
      </c>
      <c r="E184" s="18">
        <f>IFERROR(INDEX('Raw Data'!Y:Y,MATCH($B184,'Raw Data'!$C:$C,0)),"-")</f>
        <v>648.72045800000001</v>
      </c>
      <c r="F184" s="14">
        <f>IFERROR(INDEX('Raw Data'!F:F,MATCH($B184,'Raw Data'!$C:$C,0)),"-")</f>
        <v>289.60199999999998</v>
      </c>
      <c r="G184" s="12">
        <f>IFERROR(INDEX('Raw Data'!U:U,MATCH($B184,'Raw Data'!$C:$C,0)),"-")</f>
        <v>468</v>
      </c>
      <c r="H184" s="12">
        <f>IFERROR(INDEX('Raw Data'!R:R,MATCH($B184,'Raw Data'!$C:$C,0)),"-")</f>
        <v>891.32</v>
      </c>
    </row>
    <row r="185" spans="1:8" ht="15" customHeight="1" x14ac:dyDescent="0.35">
      <c r="A185" s="15" t="str">
        <f>IFERROR(INDEX('Raw Data'!AC:AC,MATCH($B185,'Raw Data'!$C:$C,0)),"-")</f>
        <v>Diesel Bowser</v>
      </c>
      <c r="B185" s="7" t="s">
        <v>239</v>
      </c>
      <c r="C185" s="8">
        <f>IFERROR(INDEX('Raw Data'!W:W,MATCH($B185,'Raw Data'!$C:$C,0)),"-")</f>
        <v>643</v>
      </c>
      <c r="D185" s="17">
        <f>IFERROR(INDEX('Raw Data'!X:X,MATCH($B185,'Raw Data'!$C:$C,0)),"-")</f>
        <v>12.53164582</v>
      </c>
      <c r="E185" s="17">
        <f>IFERROR(INDEX('Raw Data'!Y:Y,MATCH($B185,'Raw Data'!$C:$C,0)),"-")</f>
        <v>568.60087199999998</v>
      </c>
      <c r="F185" s="10">
        <f>IFERROR(INDEX('Raw Data'!F:F,MATCH($B185,'Raw Data'!$C:$C,0)),"-")</f>
        <v>47.4407</v>
      </c>
      <c r="G185" s="8">
        <f>IFERROR(INDEX('Raw Data'!U:U,MATCH($B185,'Raw Data'!$C:$C,0)),"-")</f>
        <v>0</v>
      </c>
      <c r="H185" s="8">
        <f>IFERROR(INDEX('Raw Data'!R:R,MATCH($B185,'Raw Data'!$C:$C,0)),"-")</f>
        <v>0</v>
      </c>
    </row>
    <row r="186" spans="1:8" ht="15" customHeight="1" x14ac:dyDescent="0.35">
      <c r="A186" s="15" t="str">
        <f>IFERROR(INDEX('Raw Data'!AC:AC,MATCH($B186,'Raw Data'!$C:$C,0)),"-")</f>
        <v>Tipper</v>
      </c>
      <c r="B186" s="7" t="s">
        <v>40</v>
      </c>
      <c r="C186" s="8">
        <f>IFERROR(INDEX('Raw Data'!W:W,MATCH($B186,'Raw Data'!$C:$C,0)),"-")</f>
        <v>418.51</v>
      </c>
      <c r="D186" s="17">
        <f>IFERROR(INDEX('Raw Data'!X:X,MATCH($B186,'Raw Data'!$C:$C,0)),"-")</f>
        <v>15.90833067</v>
      </c>
      <c r="E186" s="17">
        <f>IFERROR(INDEX('Raw Data'!Y:Y,MATCH($B186,'Raw Data'!$C:$C,0)),"-")</f>
        <v>175.13003990000001</v>
      </c>
      <c r="F186" s="10">
        <f>IFERROR(INDEX('Raw Data'!F:F,MATCH($B186,'Raw Data'!$C:$C,0)),"-")</f>
        <v>12.0064999999999</v>
      </c>
      <c r="G186" s="8">
        <f>IFERROR(INDEX('Raw Data'!U:U,MATCH($B186,'Raw Data'!$C:$C,0)),"-")</f>
        <v>26</v>
      </c>
      <c r="H186" s="8">
        <f>IFERROR(INDEX('Raw Data'!R:R,MATCH($B186,'Raw Data'!$C:$C,0)),"-")</f>
        <v>0</v>
      </c>
    </row>
    <row r="187" spans="1:8" ht="15" customHeight="1" x14ac:dyDescent="0.35">
      <c r="A187" s="16" t="str">
        <f>IFERROR(INDEX('Raw Data'!AC:AC,MATCH($B187,'Raw Data'!$C:$C,0)),"-")</f>
        <v>Tipper</v>
      </c>
      <c r="B187" s="11" t="s">
        <v>37</v>
      </c>
      <c r="C187" s="12">
        <f>IFERROR(INDEX('Raw Data'!W:W,MATCH($B187,'Raw Data'!$C:$C,0)),"-")</f>
        <v>386.84</v>
      </c>
      <c r="D187" s="18">
        <f>IFERROR(INDEX('Raw Data'!X:X,MATCH($B187,'Raw Data'!$C:$C,0)),"-")</f>
        <v>21.28511846</v>
      </c>
      <c r="E187" s="18">
        <f>IFERROR(INDEX('Raw Data'!Y:Y,MATCH($B187,'Raw Data'!$C:$C,0)),"-")</f>
        <v>111.7149443</v>
      </c>
      <c r="F187" s="14">
        <f>IFERROR(INDEX('Raw Data'!F:F,MATCH($B187,'Raw Data'!$C:$C,0)),"-")</f>
        <v>6.1477000000000004</v>
      </c>
      <c r="G187" s="12">
        <f>IFERROR(INDEX('Raw Data'!U:U,MATCH($B187,'Raw Data'!$C:$C,0)),"-")</f>
        <v>13</v>
      </c>
      <c r="H187" s="12">
        <f>IFERROR(INDEX('Raw Data'!R:R,MATCH($B187,'Raw Data'!$C:$C,0)),"-")</f>
        <v>0</v>
      </c>
    </row>
    <row r="188" spans="1:8" ht="15" customHeight="1" x14ac:dyDescent="0.35">
      <c r="A188" s="15" t="str">
        <f>IFERROR(INDEX('Raw Data'!AC:AC,MATCH($B188,'Raw Data'!$C:$C,0)),"-")</f>
        <v>Tipper</v>
      </c>
      <c r="B188" s="7" t="s">
        <v>38</v>
      </c>
      <c r="C188" s="8">
        <f>IFERROR(INDEX('Raw Data'!W:W,MATCH($B188,'Raw Data'!$C:$C,0)),"-")</f>
        <v>280.39</v>
      </c>
      <c r="D188" s="17">
        <f>IFERROR(INDEX('Raw Data'!X:X,MATCH($B188,'Raw Data'!$C:$C,0)),"-")</f>
        <v>11.49252385</v>
      </c>
      <c r="E188" s="17">
        <f>IFERROR(INDEX('Raw Data'!Y:Y,MATCH($B188,'Raw Data'!$C:$C,0)),"-")</f>
        <v>243.84377409999999</v>
      </c>
      <c r="F188" s="10">
        <f>IFERROR(INDEX('Raw Data'!F:F,MATCH($B188,'Raw Data'!$C:$C,0)),"-")</f>
        <v>22.690999999999899</v>
      </c>
      <c r="G188" s="8">
        <f>IFERROR(INDEX('Raw Data'!U:U,MATCH($B188,'Raw Data'!$C:$C,0)),"-")</f>
        <v>13</v>
      </c>
      <c r="H188" s="8">
        <f>IFERROR(INDEX('Raw Data'!R:R,MATCH($B188,'Raw Data'!$C:$C,0)),"-")</f>
        <v>193.28</v>
      </c>
    </row>
    <row r="189" spans="1:8" ht="15" customHeight="1" x14ac:dyDescent="0.35">
      <c r="A189" s="16" t="str">
        <f>IFERROR(INDEX('Raw Data'!AC:AC,MATCH($B189,'Raw Data'!$C:$C,0)),"-")</f>
        <v>Dumper</v>
      </c>
      <c r="B189" s="11" t="s">
        <v>112</v>
      </c>
      <c r="C189" s="12">
        <f>IFERROR(INDEX('Raw Data'!W:W,MATCH($B189,'Raw Data'!$C:$C,0)),"-")</f>
        <v>223.66</v>
      </c>
      <c r="D189" s="18">
        <f>IFERROR(INDEX('Raw Data'!X:X,MATCH($B189,'Raw Data'!$C:$C,0)),"-")</f>
        <v>67.515923569999998</v>
      </c>
      <c r="E189" s="18">
        <f>IFERROR(INDEX('Raw Data'!Y:Y,MATCH($B189,'Raw Data'!$C:$C,0)),"-")</f>
        <v>217.4755414</v>
      </c>
      <c r="F189" s="14">
        <f>IFERROR(INDEX('Raw Data'!F:F,MATCH($B189,'Raw Data'!$C:$C,0)),"-")</f>
        <v>3.3616000000000001</v>
      </c>
      <c r="G189" s="12">
        <f>IFERROR(INDEX('Raw Data'!U:U,MATCH($B189,'Raw Data'!$C:$C,0)),"-")</f>
        <v>350</v>
      </c>
      <c r="H189" s="12">
        <f>IFERROR(INDEX('Raw Data'!R:R,MATCH($B189,'Raw Data'!$C:$C,0)),"-")</f>
        <v>0</v>
      </c>
    </row>
    <row r="190" spans="1:8" ht="15" customHeight="1" x14ac:dyDescent="0.35">
      <c r="A190" s="15" t="str">
        <f>IFERROR(INDEX('Raw Data'!AC:AC,MATCH($B190,'Raw Data'!$C:$C,0)),"-")</f>
        <v>Tipper</v>
      </c>
      <c r="B190" s="7" t="s">
        <v>54</v>
      </c>
      <c r="C190" s="8">
        <f>IFERROR(INDEX('Raw Data'!W:W,MATCH($B190,'Raw Data'!$C:$C,0)),"-")</f>
        <v>180.95</v>
      </c>
      <c r="D190" s="17">
        <f>IFERROR(INDEX('Raw Data'!X:X,MATCH($B190,'Raw Data'!$C:$C,0)),"-")</f>
        <v>18.044655410000001</v>
      </c>
      <c r="E190" s="17">
        <f>IFERROR(INDEX('Raw Data'!Y:Y,MATCH($B190,'Raw Data'!$C:$C,0)),"-")</f>
        <v>153.9245196</v>
      </c>
      <c r="F190" s="10">
        <f>IFERROR(INDEX('Raw Data'!F:F,MATCH($B190,'Raw Data'!$C:$C,0)),"-")</f>
        <v>10.5343</v>
      </c>
      <c r="G190" s="8">
        <f>IFERROR(INDEX('Raw Data'!U:U,MATCH($B190,'Raw Data'!$C:$C,0)),"-")</f>
        <v>52</v>
      </c>
      <c r="H190" s="8">
        <f>IFERROR(INDEX('Raw Data'!R:R,MATCH($B190,'Raw Data'!$C:$C,0)),"-")</f>
        <v>35.28</v>
      </c>
    </row>
    <row r="191" spans="1:8" ht="15" customHeight="1" x14ac:dyDescent="0.35">
      <c r="A191" s="16" t="str">
        <f>IFERROR(INDEX('Raw Data'!AC:AC,MATCH($B191,'Raw Data'!$C:$C,0)),"-")</f>
        <v>Front End Loader</v>
      </c>
      <c r="B191" s="11" t="s">
        <v>182</v>
      </c>
      <c r="C191" s="12">
        <f>IFERROR(INDEX('Raw Data'!W:W,MATCH($B191,'Raw Data'!$C:$C,0)),"-")</f>
        <v>124.41</v>
      </c>
      <c r="D191" s="18">
        <f>IFERROR(INDEX('Raw Data'!X:X,MATCH($B191,'Raw Data'!$C:$C,0)),"-")</f>
        <v>4.7245440079999996</v>
      </c>
      <c r="E191" s="18">
        <f>IFERROR(INDEX('Raw Data'!Y:Y,MATCH($B191,'Raw Data'!$C:$C,0)),"-")</f>
        <v>40.076416999999999</v>
      </c>
      <c r="F191" s="14">
        <f>IFERROR(INDEX('Raw Data'!F:F,MATCH($B191,'Raw Data'!$C:$C,0)),"-")</f>
        <v>9.1537000000000006</v>
      </c>
      <c r="G191" s="12">
        <f>IFERROR(INDEX('Raw Data'!U:U,MATCH($B191,'Raw Data'!$C:$C,0)),"-")</f>
        <v>0</v>
      </c>
      <c r="H191" s="12">
        <f>IFERROR(INDEX('Raw Data'!R:R,MATCH($B191,'Raw Data'!$C:$C,0)),"-")</f>
        <v>0</v>
      </c>
    </row>
    <row r="192" spans="1:8" ht="15" customHeight="1" x14ac:dyDescent="0.35">
      <c r="A192" s="15" t="str">
        <f>IFERROR(INDEX('Raw Data'!AC:AC,MATCH($B192,'Raw Data'!$C:$C,0)),"-")</f>
        <v>Front End Loader</v>
      </c>
      <c r="B192" s="7" t="s">
        <v>185</v>
      </c>
      <c r="C192" s="8">
        <f>IFERROR(INDEX('Raw Data'!W:W,MATCH($B192,'Raw Data'!$C:$C,0)),"-")</f>
        <v>56.04</v>
      </c>
      <c r="D192" s="17">
        <f>IFERROR(INDEX('Raw Data'!X:X,MATCH($B192,'Raw Data'!$C:$C,0)),"-")</f>
        <v>204.52554739999999</v>
      </c>
      <c r="E192" s="17">
        <f>IFERROR(INDEX('Raw Data'!Y:Y,MATCH($B192,'Raw Data'!$C:$C,0)),"-")</f>
        <v>42.970817519999997</v>
      </c>
      <c r="F192" s="10">
        <f>IFERROR(INDEX('Raw Data'!F:F,MATCH($B192,'Raw Data'!$C:$C,0)),"-")</f>
        <v>0.33889999999999998</v>
      </c>
      <c r="G192" s="8">
        <f>IFERROR(INDEX('Raw Data'!U:U,MATCH($B192,'Raw Data'!$C:$C,0)),"-")</f>
        <v>0</v>
      </c>
      <c r="H192" s="8">
        <f>IFERROR(INDEX('Raw Data'!R:R,MATCH($B192,'Raw Data'!$C:$C,0)),"-")</f>
        <v>0</v>
      </c>
    </row>
    <row r="193" spans="1:8" ht="15" customHeight="1" x14ac:dyDescent="0.35">
      <c r="A193" s="16" t="str">
        <f>IFERROR(INDEX('Raw Data'!AC:AC,MATCH($B193,'Raw Data'!$C:$C,0)),"-")</f>
        <v>Tipper</v>
      </c>
      <c r="B193" s="11" t="s">
        <v>47</v>
      </c>
      <c r="C193" s="12">
        <f>IFERROR(INDEX('Raw Data'!W:W,MATCH($B193,'Raw Data'!$C:$C,0)),"-")</f>
        <v>40.619999999999997</v>
      </c>
      <c r="D193" s="18">
        <f>IFERROR(INDEX('Raw Data'!X:X,MATCH($B193,'Raw Data'!$C:$C,0)),"-")</f>
        <v>0</v>
      </c>
      <c r="E193" s="18">
        <f>IFERROR(INDEX('Raw Data'!Y:Y,MATCH($B193,'Raw Data'!$C:$C,0)),"-")</f>
        <v>0</v>
      </c>
      <c r="F193" s="14">
        <f>IFERROR(INDEX('Raw Data'!F:F,MATCH($B193,'Raw Data'!$C:$C,0)),"-")</f>
        <v>720</v>
      </c>
      <c r="G193" s="12">
        <f>IFERROR(INDEX('Raw Data'!U:U,MATCH($B193,'Raw Data'!$C:$C,0)),"-")</f>
        <v>0</v>
      </c>
      <c r="H193" s="12">
        <f>IFERROR(INDEX('Raw Data'!R:R,MATCH($B193,'Raw Data'!$C:$C,0)),"-")</f>
        <v>0</v>
      </c>
    </row>
    <row r="194" spans="1:8" ht="15" customHeight="1" x14ac:dyDescent="0.35">
      <c r="A194" s="15" t="str">
        <f>IFERROR(INDEX('Raw Data'!AC:AC,MATCH($B194,'Raw Data'!$C:$C,0)),"-")</f>
        <v>Tipper</v>
      </c>
      <c r="B194" s="7" t="s">
        <v>33</v>
      </c>
      <c r="C194" s="8">
        <f>IFERROR(INDEX('Raw Data'!W:W,MATCH($B194,'Raw Data'!$C:$C,0)),"-")</f>
        <v>0</v>
      </c>
      <c r="D194" s="17">
        <f>IFERROR(INDEX('Raw Data'!X:X,MATCH($B194,'Raw Data'!$C:$C,0)),"-")</f>
        <v>0</v>
      </c>
      <c r="E194" s="17">
        <f>IFERROR(INDEX('Raw Data'!Y:Y,MATCH($B194,'Raw Data'!$C:$C,0)),"-")</f>
        <v>0</v>
      </c>
      <c r="F194" s="10">
        <f>IFERROR(INDEX('Raw Data'!F:F,MATCH($B194,'Raw Data'!$C:$C,0)),"-")</f>
        <v>5.9700000000000003E-2</v>
      </c>
      <c r="G194" s="8">
        <f>IFERROR(INDEX('Raw Data'!U:U,MATCH($B194,'Raw Data'!$C:$C,0)),"-")</f>
        <v>0</v>
      </c>
      <c r="H194" s="8">
        <f>IFERROR(INDEX('Raw Data'!R:R,MATCH($B194,'Raw Data'!$C:$C,0)),"-")</f>
        <v>0</v>
      </c>
    </row>
    <row r="195" spans="1:8" ht="15" customHeight="1" x14ac:dyDescent="0.35">
      <c r="A195" s="16" t="str">
        <f>IFERROR(INDEX('Raw Data'!AC:AC,MATCH($B195,'Raw Data'!$C:$C,0)),"-")</f>
        <v>Tipper</v>
      </c>
      <c r="B195" s="11" t="s">
        <v>42</v>
      </c>
      <c r="C195" s="12">
        <f>IFERROR(INDEX('Raw Data'!W:W,MATCH($B195,'Raw Data'!$C:$C,0)),"-")</f>
        <v>0</v>
      </c>
      <c r="D195" s="18">
        <f>IFERROR(INDEX('Raw Data'!X:X,MATCH($B195,'Raw Data'!$C:$C,0)),"-")</f>
        <v>0</v>
      </c>
      <c r="E195" s="18">
        <f>IFERROR(INDEX('Raw Data'!Y:Y,MATCH($B195,'Raw Data'!$C:$C,0)),"-")</f>
        <v>0</v>
      </c>
      <c r="F195" s="14">
        <f>IFERROR(INDEX('Raw Data'!F:F,MATCH($B195,'Raw Data'!$C:$C,0)),"-")</f>
        <v>3.0599999999999999E-2</v>
      </c>
      <c r="G195" s="12">
        <f>IFERROR(INDEX('Raw Data'!U:U,MATCH($B195,'Raw Data'!$C:$C,0)),"-")</f>
        <v>0</v>
      </c>
      <c r="H195" s="12">
        <f>IFERROR(INDEX('Raw Data'!R:R,MATCH($B195,'Raw Data'!$C:$C,0)),"-")</f>
        <v>0</v>
      </c>
    </row>
    <row r="196" spans="1:8" ht="15" customHeight="1" x14ac:dyDescent="0.35">
      <c r="A196" s="15" t="str">
        <f>IFERROR(INDEX('Raw Data'!AC:AC,MATCH($B196,'Raw Data'!$C:$C,0)),"-")</f>
        <v>Tipper</v>
      </c>
      <c r="B196" s="7" t="s">
        <v>43</v>
      </c>
      <c r="C196" s="8">
        <f>IFERROR(INDEX('Raw Data'!W:W,MATCH($B196,'Raw Data'!$C:$C,0)),"-")</f>
        <v>0</v>
      </c>
      <c r="D196" s="17">
        <f>IFERROR(INDEX('Raw Data'!X:X,MATCH($B196,'Raw Data'!$C:$C,0)),"-")</f>
        <v>0</v>
      </c>
      <c r="E196" s="17">
        <f>IFERROR(INDEX('Raw Data'!Y:Y,MATCH($B196,'Raw Data'!$C:$C,0)),"-")</f>
        <v>0</v>
      </c>
      <c r="F196" s="10">
        <f>IFERROR(INDEX('Raw Data'!F:F,MATCH($B196,'Raw Data'!$C:$C,0)),"-")</f>
        <v>0.15720000000000001</v>
      </c>
      <c r="G196" s="8">
        <f>IFERROR(INDEX('Raw Data'!U:U,MATCH($B196,'Raw Data'!$C:$C,0)),"-")</f>
        <v>0</v>
      </c>
      <c r="H196" s="8">
        <f>IFERROR(INDEX('Raw Data'!R:R,MATCH($B196,'Raw Data'!$C:$C,0)),"-")</f>
        <v>0</v>
      </c>
    </row>
    <row r="197" spans="1:8" ht="15" customHeight="1" x14ac:dyDescent="0.35">
      <c r="A197" s="16" t="str">
        <f>IFERROR(INDEX('Raw Data'!AC:AC,MATCH($B197,'Raw Data'!$C:$C,0)),"-")</f>
        <v>Tipper</v>
      </c>
      <c r="B197" s="11" t="s">
        <v>44</v>
      </c>
      <c r="C197" s="12">
        <f>IFERROR(INDEX('Raw Data'!W:W,MATCH($B197,'Raw Data'!$C:$C,0)),"-")</f>
        <v>0</v>
      </c>
      <c r="D197" s="18">
        <f>IFERROR(INDEX('Raw Data'!X:X,MATCH($B197,'Raw Data'!$C:$C,0)),"-")</f>
        <v>0</v>
      </c>
      <c r="E197" s="18">
        <f>IFERROR(INDEX('Raw Data'!Y:Y,MATCH($B197,'Raw Data'!$C:$C,0)),"-")</f>
        <v>0</v>
      </c>
      <c r="F197" s="14">
        <f>IFERROR(INDEX('Raw Data'!F:F,MATCH($B197,'Raw Data'!$C:$C,0)),"-")</f>
        <v>3.4700000000000002E-2</v>
      </c>
      <c r="G197" s="12">
        <f>IFERROR(INDEX('Raw Data'!U:U,MATCH($B197,'Raw Data'!$C:$C,0)),"-")</f>
        <v>0</v>
      </c>
      <c r="H197" s="12">
        <f>IFERROR(INDEX('Raw Data'!R:R,MATCH($B197,'Raw Data'!$C:$C,0)),"-")</f>
        <v>0</v>
      </c>
    </row>
    <row r="198" spans="1:8" ht="15" customHeight="1" x14ac:dyDescent="0.35">
      <c r="A198" s="15" t="str">
        <f>IFERROR(INDEX('Raw Data'!AC:AC,MATCH($B198,'Raw Data'!$C:$C,0)),"-")</f>
        <v>Tipper</v>
      </c>
      <c r="B198" s="7" t="s">
        <v>57</v>
      </c>
      <c r="C198" s="8">
        <f>IFERROR(INDEX('Raw Data'!W:W,MATCH($B198,'Raw Data'!$C:$C,0)),"-")</f>
        <v>0</v>
      </c>
      <c r="D198" s="17">
        <f>IFERROR(INDEX('Raw Data'!X:X,MATCH($B198,'Raw Data'!$C:$C,0)),"-")</f>
        <v>0</v>
      </c>
      <c r="E198" s="17">
        <f>IFERROR(INDEX('Raw Data'!Y:Y,MATCH($B198,'Raw Data'!$C:$C,0)),"-")</f>
        <v>0</v>
      </c>
      <c r="F198" s="10">
        <f>IFERROR(INDEX('Raw Data'!F:F,MATCH($B198,'Raw Data'!$C:$C,0)),"-")</f>
        <v>1.10919999999999</v>
      </c>
      <c r="G198" s="8">
        <f>IFERROR(INDEX('Raw Data'!U:U,MATCH($B198,'Raw Data'!$C:$C,0)),"-")</f>
        <v>0</v>
      </c>
      <c r="H198" s="8">
        <f>IFERROR(INDEX('Raw Data'!R:R,MATCH($B198,'Raw Data'!$C:$C,0)),"-")</f>
        <v>35.82</v>
      </c>
    </row>
    <row r="199" spans="1:8" ht="15" customHeight="1" x14ac:dyDescent="0.35">
      <c r="A199" s="16" t="str">
        <f>IFERROR(INDEX('Raw Data'!AC:AC,MATCH($B199,'Raw Data'!$C:$C,0)),"-")</f>
        <v>Tipper</v>
      </c>
      <c r="B199" s="11" t="s">
        <v>68</v>
      </c>
      <c r="C199" s="12">
        <f>IFERROR(INDEX('Raw Data'!W:W,MATCH($B199,'Raw Data'!$C:$C,0)),"-")</f>
        <v>0</v>
      </c>
      <c r="D199" s="18">
        <f>IFERROR(INDEX('Raw Data'!X:X,MATCH($B199,'Raw Data'!$C:$C,0)),"-")</f>
        <v>0</v>
      </c>
      <c r="E199" s="18">
        <f>IFERROR(INDEX('Raw Data'!Y:Y,MATCH($B199,'Raw Data'!$C:$C,0)),"-")</f>
        <v>0</v>
      </c>
      <c r="F199" s="14">
        <f>IFERROR(INDEX('Raw Data'!F:F,MATCH($B199,'Raw Data'!$C:$C,0)),"-")</f>
        <v>720</v>
      </c>
      <c r="G199" s="12">
        <f>IFERROR(INDEX('Raw Data'!U:U,MATCH($B199,'Raw Data'!$C:$C,0)),"-")</f>
        <v>0</v>
      </c>
      <c r="H199" s="12">
        <f>IFERROR(INDEX('Raw Data'!R:R,MATCH($B199,'Raw Data'!$C:$C,0)),"-")</f>
        <v>0</v>
      </c>
    </row>
    <row r="200" spans="1:8" ht="15" customHeight="1" x14ac:dyDescent="0.35">
      <c r="A200" s="15" t="str">
        <f>IFERROR(INDEX('Raw Data'!AC:AC,MATCH($B200,'Raw Data'!$C:$C,0)),"-")</f>
        <v>Dumper</v>
      </c>
      <c r="B200" s="7" t="s">
        <v>176</v>
      </c>
      <c r="C200" s="8">
        <f>IFERROR(INDEX('Raw Data'!W:W,MATCH($B200,'Raw Data'!$C:$C,0)),"-")</f>
        <v>0</v>
      </c>
      <c r="D200" s="17">
        <f>IFERROR(INDEX('Raw Data'!X:X,MATCH($B200,'Raw Data'!$C:$C,0)),"-")</f>
        <v>0</v>
      </c>
      <c r="E200" s="17">
        <f>IFERROR(INDEX('Raw Data'!Y:Y,MATCH($B200,'Raw Data'!$C:$C,0)),"-")</f>
        <v>0</v>
      </c>
      <c r="F200" s="10">
        <f>IFERROR(INDEX('Raw Data'!F:F,MATCH($B200,'Raw Data'!$C:$C,0)),"-")</f>
        <v>7.6399999999999996E-2</v>
      </c>
      <c r="G200" s="8">
        <f>IFERROR(INDEX('Raw Data'!U:U,MATCH($B200,'Raw Data'!$C:$C,0)),"-")</f>
        <v>0</v>
      </c>
      <c r="H200" s="8">
        <f>IFERROR(INDEX('Raw Data'!R:R,MATCH($B200,'Raw Data'!$C:$C,0)),"-")</f>
        <v>0</v>
      </c>
    </row>
    <row r="201" spans="1:8" ht="15" customHeight="1" x14ac:dyDescent="0.35">
      <c r="A201" s="16" t="str">
        <f>IFERROR(INDEX('Raw Data'!AC:AC,MATCH($B201,'Raw Data'!$C:$C,0)),"-")</f>
        <v>Front End Loader</v>
      </c>
      <c r="B201" s="11" t="s">
        <v>190</v>
      </c>
      <c r="C201" s="12">
        <f>IFERROR(INDEX('Raw Data'!W:W,MATCH($B201,'Raw Data'!$C:$C,0)),"-")</f>
        <v>0</v>
      </c>
      <c r="D201" s="18">
        <f>IFERROR(INDEX('Raw Data'!X:X,MATCH($B201,'Raw Data'!$C:$C,0)),"-")</f>
        <v>0</v>
      </c>
      <c r="E201" s="18">
        <f>IFERROR(INDEX('Raw Data'!Y:Y,MATCH($B201,'Raw Data'!$C:$C,0)),"-")</f>
        <v>0</v>
      </c>
      <c r="F201" s="14">
        <f>IFERROR(INDEX('Raw Data'!F:F,MATCH($B201,'Raw Data'!$C:$C,0)),"-")</f>
        <v>0</v>
      </c>
      <c r="G201" s="12">
        <f>IFERROR(INDEX('Raw Data'!U:U,MATCH($B201,'Raw Data'!$C:$C,0)),"-")</f>
        <v>0</v>
      </c>
      <c r="H201" s="12">
        <f>IFERROR(INDEX('Raw Data'!R:R,MATCH($B201,'Raw Data'!$C:$C,0)),"-")</f>
        <v>0</v>
      </c>
    </row>
    <row r="202" spans="1:8" ht="15" customHeight="1" x14ac:dyDescent="0.35">
      <c r="A202" s="15" t="str">
        <f>IFERROR(INDEX('Raw Data'!AC:AC,MATCH($B202,'Raw Data'!$C:$C,0)),"-")</f>
        <v>Excavator</v>
      </c>
      <c r="B202" s="7" t="s">
        <v>204</v>
      </c>
      <c r="C202" s="8">
        <f>IFERROR(INDEX('Raw Data'!W:W,MATCH($B202,'Raw Data'!$C:$C,0)),"-")</f>
        <v>0</v>
      </c>
      <c r="D202" s="17">
        <f>IFERROR(INDEX('Raw Data'!X:X,MATCH($B202,'Raw Data'!$C:$C,0)),"-")</f>
        <v>0</v>
      </c>
      <c r="E202" s="17">
        <f>IFERROR(INDEX('Raw Data'!Y:Y,MATCH($B202,'Raw Data'!$C:$C,0)),"-")</f>
        <v>0</v>
      </c>
      <c r="F202" s="10">
        <f>IFERROR(INDEX('Raw Data'!F:F,MATCH($B202,'Raw Data'!$C:$C,0)),"-")</f>
        <v>0.17499999999999999</v>
      </c>
      <c r="G202" s="8">
        <f>IFERROR(INDEX('Raw Data'!U:U,MATCH($B202,'Raw Data'!$C:$C,0)),"-")</f>
        <v>0</v>
      </c>
      <c r="H202" s="8">
        <f>IFERROR(INDEX('Raw Data'!R:R,MATCH($B202,'Raw Data'!$C:$C,0)),"-")</f>
        <v>0</v>
      </c>
    </row>
    <row r="203" spans="1:8" ht="15" customHeight="1" x14ac:dyDescent="0.35">
      <c r="A203" s="16" t="str">
        <f>IFERROR(INDEX('Raw Data'!AC:AC,MATCH($B203,'Raw Data'!$C:$C,0)),"-")</f>
        <v>Excavator</v>
      </c>
      <c r="B203" s="11" t="s">
        <v>207</v>
      </c>
      <c r="C203" s="12">
        <f>IFERROR(INDEX('Raw Data'!W:W,MATCH($B203,'Raw Data'!$C:$C,0)),"-")</f>
        <v>0</v>
      </c>
      <c r="D203" s="18">
        <f>IFERROR(INDEX('Raw Data'!X:X,MATCH($B203,'Raw Data'!$C:$C,0)),"-")</f>
        <v>0</v>
      </c>
      <c r="E203" s="18">
        <f>IFERROR(INDEX('Raw Data'!Y:Y,MATCH($B203,'Raw Data'!$C:$C,0)),"-")</f>
        <v>0</v>
      </c>
      <c r="F203" s="14">
        <f>IFERROR(INDEX('Raw Data'!F:F,MATCH($B203,'Raw Data'!$C:$C,0)),"-")</f>
        <v>0.1389</v>
      </c>
      <c r="G203" s="12">
        <f>IFERROR(INDEX('Raw Data'!U:U,MATCH($B203,'Raw Data'!$C:$C,0)),"-")</f>
        <v>0</v>
      </c>
      <c r="H203" s="12">
        <f>IFERROR(INDEX('Raw Data'!R:R,MATCH($B203,'Raw Data'!$C:$C,0)),"-")</f>
        <v>0</v>
      </c>
    </row>
    <row r="204" spans="1:8" ht="15" customHeight="1" x14ac:dyDescent="0.35">
      <c r="A204" s="15" t="str">
        <f>IFERROR(INDEX('Raw Data'!AC:AC,MATCH($B204,'Raw Data'!$C:$C,0)),"-")</f>
        <v>Diesel Bowser</v>
      </c>
      <c r="B204" s="7" t="s">
        <v>240</v>
      </c>
      <c r="C204" s="8">
        <f>IFERROR(INDEX('Raw Data'!W:W,MATCH($B204,'Raw Data'!$C:$C,0)),"-")</f>
        <v>0</v>
      </c>
      <c r="D204" s="17">
        <f>IFERROR(INDEX('Raw Data'!X:X,MATCH($B204,'Raw Data'!$C:$C,0)),"-")</f>
        <v>0</v>
      </c>
      <c r="E204" s="17">
        <f>IFERROR(INDEX('Raw Data'!Y:Y,MATCH($B204,'Raw Data'!$C:$C,0)),"-")</f>
        <v>0</v>
      </c>
      <c r="F204" s="10">
        <f>IFERROR(INDEX('Raw Data'!F:F,MATCH($B204,'Raw Data'!$C:$C,0)),"-")</f>
        <v>720</v>
      </c>
      <c r="G204" s="8">
        <f>IFERROR(INDEX('Raw Data'!U:U,MATCH($B204,'Raw Data'!$C:$C,0)),"-")</f>
        <v>0</v>
      </c>
      <c r="H204" s="8">
        <f>IFERROR(INDEX('Raw Data'!R:R,MATCH($B204,'Raw Data'!$C:$C,0)),"-")</f>
        <v>0</v>
      </c>
    </row>
  </sheetData>
  <mergeCells count="3">
    <mergeCell ref="A3:H3"/>
    <mergeCell ref="A13:H13"/>
    <mergeCell ref="A1:H1"/>
  </mergeCells>
  <conditionalFormatting sqref="D15:D28">
    <cfRule type="cellIs" dxfId="5" priority="14" operator="greaterThan">
      <formula>AVERAGE(D15:D204)*2</formula>
    </cfRule>
  </conditionalFormatting>
  <conditionalFormatting sqref="D29:D181">
    <cfRule type="cellIs" dxfId="4" priority="10" operator="greaterThan">
      <formula>AVERAGE(D29:D219)*2</formula>
    </cfRule>
  </conditionalFormatting>
  <conditionalFormatting sqref="D182:D185">
    <cfRule type="cellIs" dxfId="3" priority="7" operator="greaterThan">
      <formula>AVERAGE(D182:D373)*2</formula>
    </cfRule>
  </conditionalFormatting>
  <conditionalFormatting sqref="D186:D204">
    <cfRule type="cellIs" dxfId="2" priority="1" operator="greaterThan">
      <formula>AVERAGE(D186:D378)*2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4"/>
  <sheetViews>
    <sheetView showGridLines="0" workbookViewId="0">
      <pane ySplit="2" topLeftCell="A3" activePane="bottomLeft" state="frozen"/>
      <selection pane="bottomLeft" sqref="A1:H1"/>
    </sheetView>
  </sheetViews>
  <sheetFormatPr defaultRowHeight="14.5" x14ac:dyDescent="0.35"/>
  <cols>
    <col min="1" max="1" width="20" customWidth="1"/>
    <col min="2" max="2" width="14" customWidth="1"/>
    <col min="3" max="5" width="10" customWidth="1"/>
    <col min="6" max="6" width="16" customWidth="1"/>
    <col min="7" max="7" width="12" customWidth="1"/>
    <col min="8" max="8" width="18" customWidth="1"/>
  </cols>
  <sheetData>
    <row r="1" spans="1:8" ht="28" customHeight="1" x14ac:dyDescent="0.35">
      <c r="A1" s="63" t="s">
        <v>295</v>
      </c>
      <c r="B1" s="62"/>
      <c r="C1" s="62"/>
      <c r="D1" s="62"/>
      <c r="E1" s="62"/>
      <c r="F1" s="62"/>
      <c r="G1" s="62"/>
      <c r="H1" s="62"/>
    </row>
    <row r="3" spans="1:8" ht="18" customHeight="1" x14ac:dyDescent="0.35">
      <c r="A3" s="70" t="s">
        <v>286</v>
      </c>
      <c r="B3" s="62"/>
      <c r="C3" s="62"/>
      <c r="D3" s="62"/>
      <c r="E3" s="62"/>
      <c r="F3" s="62"/>
      <c r="G3" s="62"/>
      <c r="H3" s="62"/>
    </row>
    <row r="4" spans="1:8" ht="26" customHeight="1" x14ac:dyDescent="0.35">
      <c r="A4" s="6" t="s">
        <v>246</v>
      </c>
      <c r="B4" s="6" t="s">
        <v>287</v>
      </c>
      <c r="C4" s="6" t="s">
        <v>263</v>
      </c>
      <c r="D4" s="6" t="s">
        <v>296</v>
      </c>
      <c r="E4" s="6" t="s">
        <v>297</v>
      </c>
      <c r="F4" s="6" t="s">
        <v>265</v>
      </c>
      <c r="G4" s="6" t="s">
        <v>298</v>
      </c>
      <c r="H4" s="6" t="s">
        <v>299</v>
      </c>
    </row>
    <row r="5" spans="1:8" ht="16" customHeight="1" x14ac:dyDescent="0.35">
      <c r="A5" s="7" t="s">
        <v>32</v>
      </c>
      <c r="B5" s="8">
        <f>COUNTIFS('Raw Data'!AC:AC,"Tipper",'Raw Data'!AD:AD,"Operational",'Raw Data'!AE:AE,"Individual")</f>
        <v>62</v>
      </c>
      <c r="C5" s="19">
        <f>SUMIFS('Raw Data'!J:J,'Raw Data'!AC:AC,"Tipper",'Raw Data'!AD:AD,"Operational",'Raw Data'!AE:AE,"Individual")</f>
        <v>14448.158699999967</v>
      </c>
      <c r="D5" s="10">
        <f>IFERROR(AVERAGEIFS('Raw Data'!J:J,'Raw Data'!AC:AC,"Tipper",'Raw Data'!AD:AD,"Operational",'Raw Data'!AE:AE,"Individual"),0)</f>
        <v>233.03481774193494</v>
      </c>
      <c r="E5" s="9">
        <f>IFERROR(SUMIFS('Raw Data'!J:J,'Raw Data'!AC:AC,"Tipper",'Raw Data'!AD:AD,"Operational",'Raw Data'!AE:AE,"Individual")/SUMIFS('Raw Data'!E:E,'Raw Data'!AC:AC,"Tipper",'Raw Data'!AD:AD,"Operational",'Raw Data'!AE:AE,"Individual"),0)</f>
        <v>0.51115998619897307</v>
      </c>
      <c r="F5" s="19">
        <f>SUMIFS('Raw Data'!H:H,'Raw Data'!AC:AC,"Tipper",'Raw Data'!AD:AD,"Operational",'Raw Data'!AE:AE,"Individual")</f>
        <v>16346.827199999994</v>
      </c>
      <c r="G5" s="9">
        <f>IFERROR(SUMIFS('Raw Data'!H:H,'Raw Data'!AC:AC,"Tipper",'Raw Data'!AE:AE,"Individual")/SUMIFS('Raw Data'!D:D,'Raw Data'!AC:AC,"Tipper",'Raw Data'!AE:AE,"Individual"),0)</f>
        <v>0.40484126962252082</v>
      </c>
      <c r="H5" s="10">
        <f>IFERROR(AVERAGEIFS('Raw Data'!D:D,'Raw Data'!AC:AC,"Tipper",'Raw Data'!AE:AE,"Individual"),0)</f>
        <v>719.57971060606019</v>
      </c>
    </row>
    <row r="6" spans="1:8" ht="16" customHeight="1" x14ac:dyDescent="0.35">
      <c r="A6" s="11" t="s">
        <v>101</v>
      </c>
      <c r="B6" s="12">
        <f>COUNTIFS('Raw Data'!AC:AC,"Dumper",'Raw Data'!AD:AD,"Operational",'Raw Data'!AE:AE,"Individual")</f>
        <v>75</v>
      </c>
      <c r="C6" s="20">
        <f>SUMIFS('Raw Data'!J:J,'Raw Data'!AC:AC,"Dumper",'Raw Data'!AD:AD,"Operational",'Raw Data'!AE:AE,"Individual")</f>
        <v>5051.5937999999942</v>
      </c>
      <c r="D6" s="14">
        <f>IFERROR(AVERAGEIFS('Raw Data'!J:J,'Raw Data'!AC:AC,"Dumper",'Raw Data'!AD:AD,"Operational",'Raw Data'!AE:AE,"Individual"),0)</f>
        <v>67.354583999999917</v>
      </c>
      <c r="E6" s="13">
        <f>IFERROR(SUMIFS('Raw Data'!J:J,'Raw Data'!AC:AC,"Dumper",'Raw Data'!AD:AD,"Operational",'Raw Data'!AE:AE,"Individual")/SUMIFS('Raw Data'!E:E,'Raw Data'!AC:AC,"Dumper",'Raw Data'!AD:AD,"Operational",'Raw Data'!AE:AE,"Individual"),0)</f>
        <v>0.15363115446564063</v>
      </c>
      <c r="F6" s="20">
        <f>SUMIFS('Raw Data'!H:H,'Raw Data'!AC:AC,"Dumper",'Raw Data'!AD:AD,"Operational",'Raw Data'!AE:AE,"Individual")</f>
        <v>21115.153799999967</v>
      </c>
      <c r="G6" s="13">
        <f>IFERROR(SUMIFS('Raw Data'!H:H,'Raw Data'!AC:AC,"Dumper",'Raw Data'!AE:AE,"Individual")/SUMIFS('Raw Data'!D:D,'Raw Data'!AC:AC,"Dumper",'Raw Data'!AE:AE,"Individual"),0)</f>
        <v>0.40686493628336468</v>
      </c>
      <c r="H6" s="14">
        <f>IFERROR(AVERAGEIFS('Raw Data'!D:D,'Raw Data'!AC:AC,"Dumper",'Raw Data'!AE:AE,"Individual"),0)</f>
        <v>719.95409090909072</v>
      </c>
    </row>
    <row r="7" spans="1:8" ht="16" customHeight="1" x14ac:dyDescent="0.35">
      <c r="A7" s="7" t="s">
        <v>199</v>
      </c>
      <c r="B7" s="8">
        <f>COUNTIFS('Raw Data'!AC:AC,"Excavator",'Raw Data'!AD:AD,"Operational",'Raw Data'!AE:AE,"Individual")</f>
        <v>27</v>
      </c>
      <c r="C7" s="19">
        <f>SUMIFS('Raw Data'!J:J,'Raw Data'!AC:AC,"Excavator",'Raw Data'!AD:AD,"Operational",'Raw Data'!AE:AE,"Individual")</f>
        <v>1359.2696999999996</v>
      </c>
      <c r="D7" s="10">
        <f>IFERROR(AVERAGEIFS('Raw Data'!J:J,'Raw Data'!AC:AC,"Excavator",'Raw Data'!AD:AD,"Operational",'Raw Data'!AE:AE,"Individual"),0)</f>
        <v>50.343322222222206</v>
      </c>
      <c r="E7" s="9">
        <f>IFERROR(SUMIFS('Raw Data'!J:J,'Raw Data'!AC:AC,"Excavator",'Raw Data'!AD:AD,"Operational",'Raw Data'!AE:AE,"Individual")/SUMIFS('Raw Data'!E:E,'Raw Data'!AC:AC,"Excavator",'Raw Data'!AD:AD,"Operational",'Raw Data'!AE:AE,"Individual"),0)</f>
        <v>0.12234944029306485</v>
      </c>
      <c r="F7" s="19">
        <f>SUMIFS('Raw Data'!H:H,'Raw Data'!AC:AC,"Excavator",'Raw Data'!AD:AD,"Operational",'Raw Data'!AE:AE,"Individual")</f>
        <v>8308.191299999995</v>
      </c>
      <c r="G7" s="9">
        <f>IFERROR(SUMIFS('Raw Data'!H:H,'Raw Data'!AC:AC,"Excavator",'Raw Data'!AE:AE,"Individual")/SUMIFS('Raw Data'!D:D,'Raw Data'!AC:AC,"Excavator",'Raw Data'!AE:AE,"Individual"),0)</f>
        <v>0.44831785300620586</v>
      </c>
      <c r="H7" s="10">
        <f>IFERROR(AVERAGEIFS('Raw Data'!D:D,'Raw Data'!AC:AC,"Excavator",'Raw Data'!AE:AE,"Individual"),0)</f>
        <v>719.21160714285691</v>
      </c>
    </row>
    <row r="8" spans="1:8" ht="16" customHeight="1" x14ac:dyDescent="0.35">
      <c r="A8" s="11" t="s">
        <v>181</v>
      </c>
      <c r="B8" s="12">
        <f>COUNTIFS('Raw Data'!AC:AC,"Front End Loader",'Raw Data'!AD:AD,"Operational",'Raw Data'!AE:AE,"Individual")</f>
        <v>15</v>
      </c>
      <c r="C8" s="20">
        <f>SUMIFS('Raw Data'!J:J,'Raw Data'!AC:AC,"Front End Loader",'Raw Data'!AD:AD,"Operational",'Raw Data'!AE:AE,"Individual")</f>
        <v>3821.2327999999916</v>
      </c>
      <c r="D8" s="14">
        <f>IFERROR(AVERAGEIFS('Raw Data'!J:J,'Raw Data'!AC:AC,"Front End Loader",'Raw Data'!AD:AD,"Operational",'Raw Data'!AE:AE,"Individual"),0)</f>
        <v>254.74885333333276</v>
      </c>
      <c r="E8" s="13">
        <f>IFERROR(SUMIFS('Raw Data'!J:J,'Raw Data'!AC:AC,"Front End Loader",'Raw Data'!AD:AD,"Operational",'Raw Data'!AE:AE,"Individual")/SUMIFS('Raw Data'!E:E,'Raw Data'!AC:AC,"Front End Loader",'Raw Data'!AD:AD,"Operational",'Raw Data'!AE:AE,"Individual"),0)</f>
        <v>0.50589645241635328</v>
      </c>
      <c r="F8" s="20">
        <f>SUMIFS('Raw Data'!H:H,'Raw Data'!AC:AC,"Front End Loader",'Raw Data'!AD:AD,"Operational",'Raw Data'!AE:AE,"Individual")</f>
        <v>3229.3160999999973</v>
      </c>
      <c r="G8" s="13">
        <f>IFERROR(SUMIFS('Raw Data'!H:H,'Raw Data'!AC:AC,"Front End Loader",'Raw Data'!AE:AE,"Individual")/SUMIFS('Raw Data'!D:D,'Raw Data'!AC:AC,"Front End Loader",'Raw Data'!AE:AE,"Individual"),0)</f>
        <v>0.3433380232735338</v>
      </c>
      <c r="H8" s="14">
        <f>IFERROR(AVERAGEIFS('Raw Data'!D:D,'Raw Data'!AC:AC,"Front End Loader",'Raw Data'!AE:AE,"Individual"),0)</f>
        <v>718.91908124999941</v>
      </c>
    </row>
    <row r="9" spans="1:8" ht="16" customHeight="1" x14ac:dyDescent="0.35">
      <c r="A9" s="7" t="s">
        <v>228</v>
      </c>
      <c r="B9" s="8">
        <f>COUNTIFS('Raw Data'!AC:AC,"Surface Miner",'Raw Data'!AD:AD,"Operational",'Raw Data'!AE:AE,"Individual")</f>
        <v>5</v>
      </c>
      <c r="C9" s="19">
        <f>SUMIFS('Raw Data'!J:J,'Raw Data'!AC:AC,"Surface Miner",'Raw Data'!AD:AD,"Operational",'Raw Data'!AE:AE,"Individual")</f>
        <v>153.57480000000001</v>
      </c>
      <c r="D9" s="10">
        <f>IFERROR(AVERAGEIFS('Raw Data'!J:J,'Raw Data'!AC:AC,"Surface Miner",'Raw Data'!AD:AD,"Operational",'Raw Data'!AE:AE,"Individual"),0)</f>
        <v>30.714960000000001</v>
      </c>
      <c r="E9" s="9">
        <f>IFERROR(SUMIFS('Raw Data'!J:J,'Raw Data'!AC:AC,"Surface Miner",'Raw Data'!AD:AD,"Operational",'Raw Data'!AE:AE,"Individual")/SUMIFS('Raw Data'!E:E,'Raw Data'!AC:AC,"Surface Miner",'Raw Data'!AD:AD,"Operational",'Raw Data'!AE:AE,"Individual"),0)</f>
        <v>8.1428999546340738E-2</v>
      </c>
      <c r="F9" s="19">
        <f>SUMIFS('Raw Data'!H:H,'Raw Data'!AC:AC,"Surface Miner",'Raw Data'!AD:AD,"Operational",'Raw Data'!AE:AE,"Individual")</f>
        <v>1681.312099999999</v>
      </c>
      <c r="G9" s="9">
        <f>IFERROR(SUMIFS('Raw Data'!H:H,'Raw Data'!AC:AC,"Surface Miner",'Raw Data'!AE:AE,"Individual")/SUMIFS('Raw Data'!D:D,'Raw Data'!AC:AC,"Surface Miner",'Raw Data'!AE:AE,"Individual"),0)</f>
        <v>0.56009780961645295</v>
      </c>
      <c r="H9" s="10">
        <f>IFERROR(AVERAGEIFS('Raw Data'!D:D,'Raw Data'!AC:AC,"Surface Miner",'Raw Data'!AE:AE,"Individual"),0)</f>
        <v>714.55141666666623</v>
      </c>
    </row>
    <row r="10" spans="1:8" ht="16" customHeight="1" x14ac:dyDescent="0.35">
      <c r="A10" s="11" t="s">
        <v>236</v>
      </c>
      <c r="B10" s="12">
        <f>COUNTIFS('Raw Data'!AC:AC,"Diesel Bowser",'Raw Data'!AD:AD,"Operational",'Raw Data'!AE:AE,"Individual")</f>
        <v>6</v>
      </c>
      <c r="C10" s="20">
        <f>SUMIFS('Raw Data'!J:J,'Raw Data'!AC:AC,"Diesel Bowser",'Raw Data'!AD:AD,"Operational",'Raw Data'!AE:AE,"Individual")</f>
        <v>1748.908099999999</v>
      </c>
      <c r="D10" s="14">
        <f>IFERROR(AVERAGEIFS('Raw Data'!J:J,'Raw Data'!AC:AC,"Diesel Bowser",'Raw Data'!AD:AD,"Operational",'Raw Data'!AE:AE,"Individual"),0)</f>
        <v>291.48468333333318</v>
      </c>
      <c r="E10" s="13">
        <f>IFERROR(SUMIFS('Raw Data'!J:J,'Raw Data'!AC:AC,"Diesel Bowser",'Raw Data'!AD:AD,"Operational",'Raw Data'!AE:AE,"Individual")/SUMIFS('Raw Data'!E:E,'Raw Data'!AC:AC,"Diesel Bowser",'Raw Data'!AD:AD,"Operational",'Raw Data'!AE:AE,"Individual"),0)</f>
        <v>0.5973581106861986</v>
      </c>
      <c r="F10" s="20">
        <f>SUMIFS('Raw Data'!H:H,'Raw Data'!AC:AC,"Diesel Bowser",'Raw Data'!AD:AD,"Operational",'Raw Data'!AE:AE,"Individual")</f>
        <v>1392.2667999999969</v>
      </c>
      <c r="G10" s="13">
        <f>IFERROR(SUMIFS('Raw Data'!H:H,'Raw Data'!AC:AC,"Diesel Bowser",'Raw Data'!AE:AE,"Individual")/SUMIFS('Raw Data'!D:D,'Raw Data'!AC:AC,"Diesel Bowser",'Raw Data'!AE:AE,"Individual"),0)</f>
        <v>0.32228361592830551</v>
      </c>
      <c r="H10" s="14">
        <f>IFERROR(AVERAGEIFS('Raw Data'!D:D,'Raw Data'!AC:AC,"Diesel Bowser",'Raw Data'!AE:AE,"Individual"),0)</f>
        <v>720.0008166666662</v>
      </c>
    </row>
    <row r="13" spans="1:8" ht="18" customHeight="1" x14ac:dyDescent="0.35">
      <c r="A13" s="70" t="s">
        <v>300</v>
      </c>
      <c r="B13" s="62"/>
      <c r="C13" s="62"/>
      <c r="D13" s="62"/>
      <c r="E13" s="62"/>
      <c r="F13" s="62"/>
      <c r="G13" s="62"/>
      <c r="H13" s="62"/>
    </row>
    <row r="14" spans="1:8" ht="26" customHeight="1" x14ac:dyDescent="0.35">
      <c r="A14" s="6" t="s">
        <v>29</v>
      </c>
      <c r="B14" s="6" t="s">
        <v>3</v>
      </c>
      <c r="C14" s="6" t="s">
        <v>272</v>
      </c>
      <c r="D14" s="6" t="s">
        <v>273</v>
      </c>
      <c r="E14" s="6" t="s">
        <v>275</v>
      </c>
      <c r="F14" s="6" t="s">
        <v>297</v>
      </c>
      <c r="G14" s="6" t="s">
        <v>301</v>
      </c>
      <c r="H14" s="6" t="s">
        <v>298</v>
      </c>
    </row>
    <row r="15" spans="1:8" ht="15" customHeight="1" x14ac:dyDescent="0.35">
      <c r="A15" s="15" t="str">
        <f>IFERROR(INDEX('Raw Data'!AC:AC,MATCH($B15,'Raw Data'!$C:$C,0)),"-")</f>
        <v>Front End Loader</v>
      </c>
      <c r="B15" s="7" t="s">
        <v>190</v>
      </c>
      <c r="C15" s="10">
        <f>IFERROR(INDEX('Raw Data'!D:D,MATCH($B15,'Raw Data'!$C:$C,0)),0)</f>
        <v>720</v>
      </c>
      <c r="D15" s="10">
        <f>IFERROR(INDEX('Raw Data'!E:E,MATCH($B15,'Raw Data'!$C:$C,0)),0)</f>
        <v>720</v>
      </c>
      <c r="E15" s="10">
        <f>IFERROR(INDEX('Raw Data'!J:J,MATCH($B15,'Raw Data'!$C:$C,0)),0)</f>
        <v>720</v>
      </c>
      <c r="F15" s="9">
        <f t="shared" ref="F15:F44" si="0">IFERROR(E15/D15,"-")</f>
        <v>1</v>
      </c>
      <c r="G15" s="10">
        <f>IFERROR(INDEX('Raw Data'!H:H,MATCH($B15,'Raw Data'!$C:$C,0)),0)</f>
        <v>0</v>
      </c>
      <c r="H15" s="9">
        <f t="shared" ref="H15:H44" si="1">IFERROR(G15/C15,"-")</f>
        <v>0</v>
      </c>
    </row>
    <row r="16" spans="1:8" ht="15" customHeight="1" x14ac:dyDescent="0.35">
      <c r="A16" s="16" t="str">
        <f>IFERROR(INDEX('Raw Data'!AC:AC,MATCH($B16,'Raw Data'!$C:$C,0)),"-")</f>
        <v>Tipper</v>
      </c>
      <c r="B16" s="11" t="s">
        <v>70</v>
      </c>
      <c r="C16" s="14">
        <f>IFERROR(INDEX('Raw Data'!D:D,MATCH($B16,'Raw Data'!$C:$C,0)),0)</f>
        <v>716.2894</v>
      </c>
      <c r="D16" s="14">
        <f>IFERROR(INDEX('Raw Data'!E:E,MATCH($B16,'Raw Data'!$C:$C,0)),0)</f>
        <v>657.18020000000001</v>
      </c>
      <c r="E16" s="14">
        <f>IFERROR(INDEX('Raw Data'!J:J,MATCH($B16,'Raw Data'!$C:$C,0)),0)</f>
        <v>600.4674</v>
      </c>
      <c r="F16" s="13">
        <f t="shared" si="0"/>
        <v>0.9137028169747049</v>
      </c>
      <c r="G16" s="14">
        <f>IFERROR(INDEX('Raw Data'!H:H,MATCH($B16,'Raw Data'!$C:$C,0)),0)</f>
        <v>59.109200000000001</v>
      </c>
      <c r="H16" s="13">
        <f t="shared" si="1"/>
        <v>8.2521394285605787E-2</v>
      </c>
    </row>
    <row r="17" spans="1:8" ht="15" customHeight="1" x14ac:dyDescent="0.35">
      <c r="A17" s="15" t="str">
        <f>IFERROR(INDEX('Raw Data'!AC:AC,MATCH($B17,'Raw Data'!$C:$C,0)),"-")</f>
        <v>Dumper</v>
      </c>
      <c r="B17" s="7" t="s">
        <v>173</v>
      </c>
      <c r="C17" s="10">
        <f>IFERROR(INDEX('Raw Data'!D:D,MATCH($B17,'Raw Data'!$C:$C,0)),0)</f>
        <v>720.00029999999902</v>
      </c>
      <c r="D17" s="10">
        <f>IFERROR(INDEX('Raw Data'!E:E,MATCH($B17,'Raw Data'!$C:$C,0)),0)</f>
        <v>654.66919999999902</v>
      </c>
      <c r="E17" s="10">
        <f>IFERROR(INDEX('Raw Data'!J:J,MATCH($B17,'Raw Data'!$C:$C,0)),0)</f>
        <v>572.90359999999998</v>
      </c>
      <c r="F17" s="9">
        <f t="shared" si="0"/>
        <v>0.87510394562628091</v>
      </c>
      <c r="G17" s="10">
        <f>IFERROR(INDEX('Raw Data'!H:H,MATCH($B17,'Raw Data'!$C:$C,0)),0)</f>
        <v>65.331100000000006</v>
      </c>
      <c r="H17" s="9">
        <f t="shared" si="1"/>
        <v>9.0737601081555236E-2</v>
      </c>
    </row>
    <row r="18" spans="1:8" ht="15" customHeight="1" x14ac:dyDescent="0.35">
      <c r="A18" s="16" t="str">
        <f>IFERROR(INDEX('Raw Data'!AC:AC,MATCH($B18,'Raw Data'!$C:$C,0)),"-")</f>
        <v>Excavator</v>
      </c>
      <c r="B18" s="11" t="s">
        <v>220</v>
      </c>
      <c r="C18" s="14">
        <f>IFERROR(INDEX('Raw Data'!D:D,MATCH($B18,'Raw Data'!$C:$C,0)),0)</f>
        <v>720.00040000000001</v>
      </c>
      <c r="D18" s="14">
        <f>IFERROR(INDEX('Raw Data'!E:E,MATCH($B18,'Raw Data'!$C:$C,0)),0)</f>
        <v>684.25009999999997</v>
      </c>
      <c r="E18" s="14">
        <f>IFERROR(INDEX('Raw Data'!J:J,MATCH($B18,'Raw Data'!$C:$C,0)),0)</f>
        <v>489.74529999999999</v>
      </c>
      <c r="F18" s="13">
        <f t="shared" si="0"/>
        <v>0.71574019499595254</v>
      </c>
      <c r="G18" s="14">
        <f>IFERROR(INDEX('Raw Data'!H:H,MATCH($B18,'Raw Data'!$C:$C,0)),0)</f>
        <v>35.750300000000003</v>
      </c>
      <c r="H18" s="13">
        <f t="shared" si="1"/>
        <v>4.9653166859351748E-2</v>
      </c>
    </row>
    <row r="19" spans="1:8" ht="15" customHeight="1" x14ac:dyDescent="0.35">
      <c r="A19" s="15" t="str">
        <f>IFERROR(INDEX('Raw Data'!AC:AC,MATCH($B19,'Raw Data'!$C:$C,0)),"-")</f>
        <v>Diesel Bowser</v>
      </c>
      <c r="B19" s="7" t="s">
        <v>241</v>
      </c>
      <c r="C19" s="10">
        <f>IFERROR(INDEX('Raw Data'!D:D,MATCH($B19,'Raw Data'!$C:$C,0)),0)</f>
        <v>720.00149999999906</v>
      </c>
      <c r="D19" s="10">
        <f>IFERROR(INDEX('Raw Data'!E:E,MATCH($B19,'Raw Data'!$C:$C,0)),0)</f>
        <v>556.005799999999</v>
      </c>
      <c r="E19" s="10">
        <f>IFERROR(INDEX('Raw Data'!J:J,MATCH($B19,'Raw Data'!$C:$C,0)),0)</f>
        <v>476.07339999999999</v>
      </c>
      <c r="F19" s="9">
        <f t="shared" si="0"/>
        <v>0.85623819032103776</v>
      </c>
      <c r="G19" s="10">
        <f>IFERROR(INDEX('Raw Data'!H:H,MATCH($B19,'Raw Data'!$C:$C,0)),0)</f>
        <v>163.995699999999</v>
      </c>
      <c r="H19" s="9">
        <f t="shared" si="1"/>
        <v>0.22777133103194816</v>
      </c>
    </row>
    <row r="20" spans="1:8" ht="15" customHeight="1" x14ac:dyDescent="0.35">
      <c r="A20" s="16" t="str">
        <f>IFERROR(INDEX('Raw Data'!AC:AC,MATCH($B20,'Raw Data'!$C:$C,0)),"-")</f>
        <v>Tipper</v>
      </c>
      <c r="B20" s="11" t="s">
        <v>80</v>
      </c>
      <c r="C20" s="14">
        <f>IFERROR(INDEX('Raw Data'!D:D,MATCH($B20,'Raw Data'!$C:$C,0)),0)</f>
        <v>720.00019999999995</v>
      </c>
      <c r="D20" s="14">
        <f>IFERROR(INDEX('Raw Data'!E:E,MATCH($B20,'Raw Data'!$C:$C,0)),0)</f>
        <v>626.212299999999</v>
      </c>
      <c r="E20" s="14">
        <f>IFERROR(INDEX('Raw Data'!J:J,MATCH($B20,'Raw Data'!$C:$C,0)),0)</f>
        <v>450.23059999999901</v>
      </c>
      <c r="F20" s="13">
        <f t="shared" si="0"/>
        <v>0.71897437977503753</v>
      </c>
      <c r="G20" s="14">
        <f>IFERROR(INDEX('Raw Data'!H:H,MATCH($B20,'Raw Data'!$C:$C,0)),0)</f>
        <v>93.787899999999993</v>
      </c>
      <c r="H20" s="13">
        <f t="shared" si="1"/>
        <v>0.13026093603862887</v>
      </c>
    </row>
    <row r="21" spans="1:8" ht="15" customHeight="1" x14ac:dyDescent="0.35">
      <c r="A21" s="15" t="str">
        <f>IFERROR(INDEX('Raw Data'!AC:AC,MATCH($B21,'Raw Data'!$C:$C,0)),"-")</f>
        <v>Tipper</v>
      </c>
      <c r="B21" s="7" t="s">
        <v>46</v>
      </c>
      <c r="C21" s="10">
        <f>IFERROR(INDEX('Raw Data'!D:D,MATCH($B21,'Raw Data'!$C:$C,0)),0)</f>
        <v>720.00059999999905</v>
      </c>
      <c r="D21" s="10">
        <f>IFERROR(INDEX('Raw Data'!E:E,MATCH($B21,'Raw Data'!$C:$C,0)),0)</f>
        <v>654.52739999999994</v>
      </c>
      <c r="E21" s="10">
        <f>IFERROR(INDEX('Raw Data'!J:J,MATCH($B21,'Raw Data'!$C:$C,0)),0)</f>
        <v>449.59599999999898</v>
      </c>
      <c r="F21" s="9">
        <f t="shared" si="0"/>
        <v>0.68690172481701917</v>
      </c>
      <c r="G21" s="10">
        <f>IFERROR(INDEX('Raw Data'!H:H,MATCH($B21,'Raw Data'!$C:$C,0)),0)</f>
        <v>65.473199999999906</v>
      </c>
      <c r="H21" s="9">
        <f t="shared" si="1"/>
        <v>9.0934924220896468E-2</v>
      </c>
    </row>
    <row r="22" spans="1:8" ht="15" customHeight="1" x14ac:dyDescent="0.35">
      <c r="A22" s="16" t="str">
        <f>IFERROR(INDEX('Raw Data'!AC:AC,MATCH($B22,'Raw Data'!$C:$C,0)),"-")</f>
        <v>Diesel Bowser</v>
      </c>
      <c r="B22" s="11" t="s">
        <v>237</v>
      </c>
      <c r="C22" s="14">
        <f>IFERROR(INDEX('Raw Data'!D:D,MATCH($B22,'Raw Data'!$C:$C,0)),0)</f>
        <v>720.000799999999</v>
      </c>
      <c r="D22" s="14">
        <f>IFERROR(INDEX('Raw Data'!E:E,MATCH($B22,'Raw Data'!$C:$C,0)),0)</f>
        <v>448.91739999999902</v>
      </c>
      <c r="E22" s="14">
        <f>IFERROR(INDEX('Raw Data'!J:J,MATCH($B22,'Raw Data'!$C:$C,0)),0)</f>
        <v>437.53509999999898</v>
      </c>
      <c r="F22" s="13">
        <f t="shared" si="0"/>
        <v>0.97464500150807243</v>
      </c>
      <c r="G22" s="14">
        <f>IFERROR(INDEX('Raw Data'!H:H,MATCH($B22,'Raw Data'!$C:$C,0)),0)</f>
        <v>271.08339999999998</v>
      </c>
      <c r="H22" s="13">
        <f t="shared" si="1"/>
        <v>0.37650430388410727</v>
      </c>
    </row>
    <row r="23" spans="1:8" ht="15" customHeight="1" x14ac:dyDescent="0.35">
      <c r="A23" s="15" t="str">
        <f>IFERROR(INDEX('Raw Data'!AC:AC,MATCH($B23,'Raw Data'!$C:$C,0)),"-")</f>
        <v>Tipper</v>
      </c>
      <c r="B23" s="7" t="s">
        <v>69</v>
      </c>
      <c r="C23" s="10">
        <f>IFERROR(INDEX('Raw Data'!D:D,MATCH($B23,'Raw Data'!$C:$C,0)),0)</f>
        <v>720.00109999999995</v>
      </c>
      <c r="D23" s="10">
        <f>IFERROR(INDEX('Raw Data'!E:E,MATCH($B23,'Raw Data'!$C:$C,0)),0)</f>
        <v>598.94939999999997</v>
      </c>
      <c r="E23" s="10">
        <f>IFERROR(INDEX('Raw Data'!J:J,MATCH($B23,'Raw Data'!$C:$C,0)),0)</f>
        <v>390.13040000000001</v>
      </c>
      <c r="F23" s="9">
        <f t="shared" si="0"/>
        <v>0.65135786094785308</v>
      </c>
      <c r="G23" s="10">
        <f>IFERROR(INDEX('Raw Data'!H:H,MATCH($B23,'Raw Data'!$C:$C,0)),0)</f>
        <v>121.0517</v>
      </c>
      <c r="H23" s="9">
        <f t="shared" si="1"/>
        <v>0.1681271042502574</v>
      </c>
    </row>
    <row r="24" spans="1:8" ht="15" customHeight="1" x14ac:dyDescent="0.35">
      <c r="A24" s="16" t="str">
        <f>IFERROR(INDEX('Raw Data'!AC:AC,MATCH($B24,'Raw Data'!$C:$C,0)),"-")</f>
        <v>Tipper</v>
      </c>
      <c r="B24" s="11" t="s">
        <v>66</v>
      </c>
      <c r="C24" s="14">
        <f>IFERROR(INDEX('Raw Data'!D:D,MATCH($B24,'Raw Data'!$C:$C,0)),0)</f>
        <v>720.00099999999998</v>
      </c>
      <c r="D24" s="14">
        <f>IFERROR(INDEX('Raw Data'!E:E,MATCH($B24,'Raw Data'!$C:$C,0)),0)</f>
        <v>600.40159999999901</v>
      </c>
      <c r="E24" s="14">
        <f>IFERROR(INDEX('Raw Data'!J:J,MATCH($B24,'Raw Data'!$C:$C,0)),0)</f>
        <v>386.54579999999999</v>
      </c>
      <c r="F24" s="13">
        <f t="shared" si="0"/>
        <v>0.6438120751177222</v>
      </c>
      <c r="G24" s="14">
        <f>IFERROR(INDEX('Raw Data'!H:H,MATCH($B24,'Raw Data'!$C:$C,0)),0)</f>
        <v>119.59939999999899</v>
      </c>
      <c r="H24" s="13">
        <f t="shared" si="1"/>
        <v>0.16611004706937768</v>
      </c>
    </row>
    <row r="25" spans="1:8" ht="15" customHeight="1" x14ac:dyDescent="0.35">
      <c r="A25" s="15" t="str">
        <f>IFERROR(INDEX('Raw Data'!AC:AC,MATCH($B25,'Raw Data'!$C:$C,0)),"-")</f>
        <v>Tipper</v>
      </c>
      <c r="B25" s="7" t="s">
        <v>56</v>
      </c>
      <c r="C25" s="10">
        <f>IFERROR(INDEX('Raw Data'!D:D,MATCH($B25,'Raw Data'!$C:$C,0)),0)</f>
        <v>720.00109999999995</v>
      </c>
      <c r="D25" s="10">
        <f>IFERROR(INDEX('Raw Data'!E:E,MATCH($B25,'Raw Data'!$C:$C,0)),0)</f>
        <v>582.8098</v>
      </c>
      <c r="E25" s="10">
        <f>IFERROR(INDEX('Raw Data'!J:J,MATCH($B25,'Raw Data'!$C:$C,0)),0)</f>
        <v>380.01069999999999</v>
      </c>
      <c r="F25" s="9">
        <f t="shared" si="0"/>
        <v>0.65203210378411613</v>
      </c>
      <c r="G25" s="10">
        <f>IFERROR(INDEX('Raw Data'!H:H,MATCH($B25,'Raw Data'!$C:$C,0)),0)</f>
        <v>137.19130000000001</v>
      </c>
      <c r="H25" s="9">
        <f t="shared" si="1"/>
        <v>0.19054318111458443</v>
      </c>
    </row>
    <row r="26" spans="1:8" ht="15" customHeight="1" x14ac:dyDescent="0.35">
      <c r="A26" s="16" t="str">
        <f>IFERROR(INDEX('Raw Data'!AC:AC,MATCH($B26,'Raw Data'!$C:$C,0)),"-")</f>
        <v>Tipper</v>
      </c>
      <c r="B26" s="11" t="s">
        <v>48</v>
      </c>
      <c r="C26" s="14">
        <f>IFERROR(INDEX('Raw Data'!D:D,MATCH($B26,'Raw Data'!$C:$C,0)),0)</f>
        <v>720.00019999999995</v>
      </c>
      <c r="D26" s="14">
        <f>IFERROR(INDEX('Raw Data'!E:E,MATCH($B26,'Raw Data'!$C:$C,0)),0)</f>
        <v>451.474999999999</v>
      </c>
      <c r="E26" s="14">
        <f>IFERROR(INDEX('Raw Data'!J:J,MATCH($B26,'Raw Data'!$C:$C,0)),0)</f>
        <v>370.50299999999999</v>
      </c>
      <c r="F26" s="13">
        <f t="shared" si="0"/>
        <v>0.82065009136718714</v>
      </c>
      <c r="G26" s="14">
        <f>IFERROR(INDEX('Raw Data'!H:H,MATCH($B26,'Raw Data'!$C:$C,0)),0)</f>
        <v>268.52519999999998</v>
      </c>
      <c r="H26" s="13">
        <f t="shared" si="1"/>
        <v>0.37295156306901028</v>
      </c>
    </row>
    <row r="27" spans="1:8" ht="15" customHeight="1" x14ac:dyDescent="0.35">
      <c r="A27" s="15" t="str">
        <f>IFERROR(INDEX('Raw Data'!AC:AC,MATCH($B27,'Raw Data'!$C:$C,0)),"-")</f>
        <v>Tipper</v>
      </c>
      <c r="B27" s="7" t="s">
        <v>60</v>
      </c>
      <c r="C27" s="10">
        <f>IFERROR(INDEX('Raw Data'!D:D,MATCH($B27,'Raw Data'!$C:$C,0)),0)</f>
        <v>720.00139999999897</v>
      </c>
      <c r="D27" s="10">
        <f>IFERROR(INDEX('Raw Data'!E:E,MATCH($B27,'Raw Data'!$C:$C,0)),0)</f>
        <v>675.46979999999905</v>
      </c>
      <c r="E27" s="10">
        <f>IFERROR(INDEX('Raw Data'!J:J,MATCH($B27,'Raw Data'!$C:$C,0)),0)</f>
        <v>368.063099999999</v>
      </c>
      <c r="F27" s="9">
        <f t="shared" si="0"/>
        <v>0.54489941667266173</v>
      </c>
      <c r="G27" s="10">
        <f>IFERROR(INDEX('Raw Data'!H:H,MATCH($B27,'Raw Data'!$C:$C,0)),0)</f>
        <v>44.531599999999997</v>
      </c>
      <c r="H27" s="9">
        <f t="shared" si="1"/>
        <v>6.1849324181869732E-2</v>
      </c>
    </row>
    <row r="28" spans="1:8" ht="15" customHeight="1" x14ac:dyDescent="0.35">
      <c r="A28" s="16" t="str">
        <f>IFERROR(INDEX('Raw Data'!AC:AC,MATCH($B28,'Raw Data'!$C:$C,0)),"-")</f>
        <v>Front End Loader</v>
      </c>
      <c r="B28" s="11" t="s">
        <v>186</v>
      </c>
      <c r="C28" s="14">
        <f>IFERROR(INDEX('Raw Data'!D:D,MATCH($B28,'Raw Data'!$C:$C,0)),0)</f>
        <v>715.766199999999</v>
      </c>
      <c r="D28" s="14">
        <f>IFERROR(INDEX('Raw Data'!E:E,MATCH($B28,'Raw Data'!$C:$C,0)),0)</f>
        <v>574.27419999999904</v>
      </c>
      <c r="E28" s="14">
        <f>IFERROR(INDEX('Raw Data'!J:J,MATCH($B28,'Raw Data'!$C:$C,0)),0)</f>
        <v>366.85419999999903</v>
      </c>
      <c r="F28" s="13">
        <f t="shared" si="0"/>
        <v>0.63881365382599398</v>
      </c>
      <c r="G28" s="14">
        <f>IFERROR(INDEX('Raw Data'!H:H,MATCH($B28,'Raw Data'!$C:$C,0)),0)</f>
        <v>141.49199999999999</v>
      </c>
      <c r="H28" s="13">
        <f t="shared" si="1"/>
        <v>0.19767907453579142</v>
      </c>
    </row>
    <row r="29" spans="1:8" ht="15" customHeight="1" x14ac:dyDescent="0.35">
      <c r="A29" s="15" t="str">
        <f>IFERROR(INDEX('Raw Data'!AC:AC,MATCH($B29,'Raw Data'!$C:$C,0)),"-")</f>
        <v>Dumper</v>
      </c>
      <c r="B29" s="7" t="s">
        <v>168</v>
      </c>
      <c r="C29" s="10">
        <f>IFERROR(INDEX('Raw Data'!D:D,MATCH($B29,'Raw Data'!$C:$C,0)),0)</f>
        <v>720.00119999999902</v>
      </c>
      <c r="D29" s="10">
        <f>IFERROR(INDEX('Raw Data'!E:E,MATCH($B29,'Raw Data'!$C:$C,0)),0)</f>
        <v>650.24389999999903</v>
      </c>
      <c r="E29" s="10">
        <f>IFERROR(INDEX('Raw Data'!J:J,MATCH($B29,'Raw Data'!$C:$C,0)),0)</f>
        <v>359.05689999999902</v>
      </c>
      <c r="F29" s="9">
        <f t="shared" si="0"/>
        <v>0.55218803282891171</v>
      </c>
      <c r="G29" s="10">
        <f>IFERROR(INDEX('Raw Data'!H:H,MATCH($B29,'Raw Data'!$C:$C,0)),0)</f>
        <v>69.757300000000001</v>
      </c>
      <c r="H29" s="9">
        <f t="shared" si="1"/>
        <v>9.6884977413926668E-2</v>
      </c>
    </row>
    <row r="30" spans="1:8" ht="15" customHeight="1" x14ac:dyDescent="0.35">
      <c r="A30" s="16" t="str">
        <f>IFERROR(INDEX('Raw Data'!AC:AC,MATCH($B30,'Raw Data'!$C:$C,0)),"-")</f>
        <v>Tipper</v>
      </c>
      <c r="B30" s="11" t="s">
        <v>84</v>
      </c>
      <c r="C30" s="14">
        <f>IFERROR(INDEX('Raw Data'!D:D,MATCH($B30,'Raw Data'!$C:$C,0)),0)</f>
        <v>720.00209999999902</v>
      </c>
      <c r="D30" s="14">
        <f>IFERROR(INDEX('Raw Data'!E:E,MATCH($B30,'Raw Data'!$C:$C,0)),0)</f>
        <v>673.50969999999904</v>
      </c>
      <c r="E30" s="14">
        <f>IFERROR(INDEX('Raw Data'!J:J,MATCH($B30,'Raw Data'!$C:$C,0)),0)</f>
        <v>357.48229999999899</v>
      </c>
      <c r="F30" s="13">
        <f t="shared" si="0"/>
        <v>0.53077528059358237</v>
      </c>
      <c r="G30" s="14">
        <f>IFERROR(INDEX('Raw Data'!H:H,MATCH($B30,'Raw Data'!$C:$C,0)),0)</f>
        <v>46.492399999999897</v>
      </c>
      <c r="H30" s="13">
        <f t="shared" si="1"/>
        <v>6.4572589441058523E-2</v>
      </c>
    </row>
    <row r="31" spans="1:8" ht="15" customHeight="1" x14ac:dyDescent="0.35">
      <c r="A31" s="15" t="str">
        <f>IFERROR(INDEX('Raw Data'!AC:AC,MATCH($B31,'Raw Data'!$C:$C,0)),"-")</f>
        <v>Tipper</v>
      </c>
      <c r="B31" s="7" t="s">
        <v>49</v>
      </c>
      <c r="C31" s="10">
        <f>IFERROR(INDEX('Raw Data'!D:D,MATCH($B31,'Raw Data'!$C:$C,0)),0)</f>
        <v>720.00129999999899</v>
      </c>
      <c r="D31" s="10">
        <f>IFERROR(INDEX('Raw Data'!E:E,MATCH($B31,'Raw Data'!$C:$C,0)),0)</f>
        <v>650.62259999999901</v>
      </c>
      <c r="E31" s="10">
        <f>IFERROR(INDEX('Raw Data'!J:J,MATCH($B31,'Raw Data'!$C:$C,0)),0)</f>
        <v>356.63720000000001</v>
      </c>
      <c r="F31" s="9">
        <f t="shared" si="0"/>
        <v>0.54814757433879568</v>
      </c>
      <c r="G31" s="10">
        <f>IFERROR(INDEX('Raw Data'!H:H,MATCH($B31,'Raw Data'!$C:$C,0)),0)</f>
        <v>69.378699999999895</v>
      </c>
      <c r="H31" s="9">
        <f t="shared" si="1"/>
        <v>9.635913157379021E-2</v>
      </c>
    </row>
    <row r="32" spans="1:8" ht="15" customHeight="1" x14ac:dyDescent="0.35">
      <c r="A32" s="16" t="str">
        <f>IFERROR(INDEX('Raw Data'!AC:AC,MATCH($B32,'Raw Data'!$C:$C,0)),"-")</f>
        <v>Tipper</v>
      </c>
      <c r="B32" s="11" t="s">
        <v>86</v>
      </c>
      <c r="C32" s="14">
        <f>IFERROR(INDEX('Raw Data'!D:D,MATCH($B32,'Raw Data'!$C:$C,0)),0)</f>
        <v>720.00109999999995</v>
      </c>
      <c r="D32" s="14">
        <f>IFERROR(INDEX('Raw Data'!E:E,MATCH($B32,'Raw Data'!$C:$C,0)),0)</f>
        <v>358.83890000000002</v>
      </c>
      <c r="E32" s="14">
        <f>IFERROR(INDEX('Raw Data'!J:J,MATCH($B32,'Raw Data'!$C:$C,0)),0)</f>
        <v>354.92540000000002</v>
      </c>
      <c r="F32" s="13">
        <f t="shared" si="0"/>
        <v>0.98909399176064805</v>
      </c>
      <c r="G32" s="14">
        <f>IFERROR(INDEX('Raw Data'!H:H,MATCH($B32,'Raw Data'!$C:$C,0)),0)</f>
        <v>361.16219999999998</v>
      </c>
      <c r="H32" s="13">
        <f t="shared" si="1"/>
        <v>0.50161340031286061</v>
      </c>
    </row>
    <row r="33" spans="1:8" ht="15" customHeight="1" x14ac:dyDescent="0.35">
      <c r="A33" s="15" t="str">
        <f>IFERROR(INDEX('Raw Data'!AC:AC,MATCH($B33,'Raw Data'!$C:$C,0)),"-")</f>
        <v>Tipper</v>
      </c>
      <c r="B33" s="7" t="s">
        <v>94</v>
      </c>
      <c r="C33" s="10">
        <f>IFERROR(INDEX('Raw Data'!D:D,MATCH($B33,'Raw Data'!$C:$C,0)),0)</f>
        <v>720.00019999999995</v>
      </c>
      <c r="D33" s="10">
        <f>IFERROR(INDEX('Raw Data'!E:E,MATCH($B33,'Raw Data'!$C:$C,0)),0)</f>
        <v>678.13589999999999</v>
      </c>
      <c r="E33" s="10">
        <f>IFERROR(INDEX('Raw Data'!J:J,MATCH($B33,'Raw Data'!$C:$C,0)),0)</f>
        <v>348.6105</v>
      </c>
      <c r="F33" s="9">
        <f t="shared" si="0"/>
        <v>0.51407173694830199</v>
      </c>
      <c r="G33" s="10">
        <f>IFERROR(INDEX('Raw Data'!H:H,MATCH($B33,'Raw Data'!$C:$C,0)),0)</f>
        <v>41.8643</v>
      </c>
      <c r="H33" s="9">
        <f t="shared" si="1"/>
        <v>5.8144844959765296E-2</v>
      </c>
    </row>
    <row r="34" spans="1:8" ht="15" customHeight="1" x14ac:dyDescent="0.35">
      <c r="A34" s="16" t="str">
        <f>IFERROR(INDEX('Raw Data'!AC:AC,MATCH($B34,'Raw Data'!$C:$C,0)),"-")</f>
        <v>Diesel Bowser</v>
      </c>
      <c r="B34" s="11" t="s">
        <v>239</v>
      </c>
      <c r="C34" s="14">
        <f>IFERROR(INDEX('Raw Data'!D:D,MATCH($B34,'Raw Data'!$C:$C,0)),0)</f>
        <v>720.00049999999999</v>
      </c>
      <c r="D34" s="14">
        <f>IFERROR(INDEX('Raw Data'!E:E,MATCH($B34,'Raw Data'!$C:$C,0)),0)</f>
        <v>385.30009999999999</v>
      </c>
      <c r="E34" s="14">
        <f>IFERROR(INDEX('Raw Data'!J:J,MATCH($B34,'Raw Data'!$C:$C,0)),0)</f>
        <v>337.85939999999999</v>
      </c>
      <c r="F34" s="13">
        <f t="shared" si="0"/>
        <v>0.8768733774011479</v>
      </c>
      <c r="G34" s="14">
        <f>IFERROR(INDEX('Raw Data'!H:H,MATCH($B34,'Raw Data'!$C:$C,0)),0)</f>
        <v>334.70039999999898</v>
      </c>
      <c r="H34" s="13">
        <f t="shared" si="1"/>
        <v>0.46486134384628758</v>
      </c>
    </row>
    <row r="35" spans="1:8" ht="15" customHeight="1" x14ac:dyDescent="0.35">
      <c r="A35" s="15" t="str">
        <f>IFERROR(INDEX('Raw Data'!AC:AC,MATCH($B35,'Raw Data'!$C:$C,0)),"-")</f>
        <v>Diesel Bowser</v>
      </c>
      <c r="B35" s="7" t="s">
        <v>238</v>
      </c>
      <c r="C35" s="10">
        <f>IFERROR(INDEX('Raw Data'!D:D,MATCH($B35,'Raw Data'!$C:$C,0)),0)</f>
        <v>720.00139999999999</v>
      </c>
      <c r="D35" s="10">
        <f>IFERROR(INDEX('Raw Data'!E:E,MATCH($B35,'Raw Data'!$C:$C,0)),0)</f>
        <v>481.22739999999999</v>
      </c>
      <c r="E35" s="10">
        <f>IFERROR(INDEX('Raw Data'!J:J,MATCH($B35,'Raw Data'!$C:$C,0)),0)</f>
        <v>335.87880000000001</v>
      </c>
      <c r="F35" s="9">
        <f t="shared" si="0"/>
        <v>0.69796275108192096</v>
      </c>
      <c r="G35" s="10">
        <f>IFERROR(INDEX('Raw Data'!H:H,MATCH($B35,'Raw Data'!$C:$C,0)),0)</f>
        <v>238.774</v>
      </c>
      <c r="H35" s="9">
        <f t="shared" si="1"/>
        <v>0.33162991071961806</v>
      </c>
    </row>
    <row r="36" spans="1:8" ht="15" customHeight="1" x14ac:dyDescent="0.35">
      <c r="A36" s="16" t="str">
        <f>IFERROR(INDEX('Raw Data'!AC:AC,MATCH($B36,'Raw Data'!$C:$C,0)),"-")</f>
        <v>Tipper</v>
      </c>
      <c r="B36" s="11" t="s">
        <v>95</v>
      </c>
      <c r="C36" s="14">
        <f>IFERROR(INDEX('Raw Data'!D:D,MATCH($B36,'Raw Data'!$C:$C,0)),0)</f>
        <v>720.00009999999895</v>
      </c>
      <c r="D36" s="14">
        <f>IFERROR(INDEX('Raw Data'!E:E,MATCH($B36,'Raw Data'!$C:$C,0)),0)</f>
        <v>685.38329999999905</v>
      </c>
      <c r="E36" s="14">
        <f>IFERROR(INDEX('Raw Data'!J:J,MATCH($B36,'Raw Data'!$C:$C,0)),0)</f>
        <v>331.57619999999901</v>
      </c>
      <c r="F36" s="13">
        <f t="shared" si="0"/>
        <v>0.48378214059198621</v>
      </c>
      <c r="G36" s="14">
        <f>IFERROR(INDEX('Raw Data'!H:H,MATCH($B36,'Raw Data'!$C:$C,0)),0)</f>
        <v>34.616799999999998</v>
      </c>
      <c r="H36" s="13">
        <f t="shared" si="1"/>
        <v>4.8078882211266424E-2</v>
      </c>
    </row>
    <row r="37" spans="1:8" ht="15" customHeight="1" x14ac:dyDescent="0.35">
      <c r="A37" s="15" t="str">
        <f>IFERROR(INDEX('Raw Data'!AC:AC,MATCH($B37,'Raw Data'!$C:$C,0)),"-")</f>
        <v>Tipper</v>
      </c>
      <c r="B37" s="7" t="s">
        <v>98</v>
      </c>
      <c r="C37" s="10">
        <f>IFERROR(INDEX('Raw Data'!D:D,MATCH($B37,'Raw Data'!$C:$C,0)),0)</f>
        <v>720.00099999999998</v>
      </c>
      <c r="D37" s="10">
        <f>IFERROR(INDEX('Raw Data'!E:E,MATCH($B37,'Raw Data'!$C:$C,0)),0)</f>
        <v>680.8297</v>
      </c>
      <c r="E37" s="10">
        <f>IFERROR(INDEX('Raw Data'!J:J,MATCH($B37,'Raw Data'!$C:$C,0)),0)</f>
        <v>315.66669999999999</v>
      </c>
      <c r="F37" s="9">
        <f t="shared" si="0"/>
        <v>0.46365001409309847</v>
      </c>
      <c r="G37" s="10">
        <f>IFERROR(INDEX('Raw Data'!H:H,MATCH($B37,'Raw Data'!$C:$C,0)),0)</f>
        <v>39.171300000000002</v>
      </c>
      <c r="H37" s="9">
        <f t="shared" si="1"/>
        <v>5.4404507771516987E-2</v>
      </c>
    </row>
    <row r="38" spans="1:8" ht="15" customHeight="1" x14ac:dyDescent="0.35">
      <c r="A38" s="16" t="str">
        <f>IFERROR(INDEX('Raw Data'!AC:AC,MATCH($B38,'Raw Data'!$C:$C,0)),"-")</f>
        <v>Front End Loader</v>
      </c>
      <c r="B38" s="11" t="s">
        <v>185</v>
      </c>
      <c r="C38" s="14">
        <f>IFERROR(INDEX('Raw Data'!D:D,MATCH($B38,'Raw Data'!$C:$C,0)),0)</f>
        <v>714.5018</v>
      </c>
      <c r="D38" s="14">
        <f>IFERROR(INDEX('Raw Data'!E:E,MATCH($B38,'Raw Data'!$C:$C,0)),0)</f>
        <v>312.79199999999997</v>
      </c>
      <c r="E38" s="14">
        <f>IFERROR(INDEX('Raw Data'!J:J,MATCH($B38,'Raw Data'!$C:$C,0)),0)</f>
        <v>312.45310000000001</v>
      </c>
      <c r="F38" s="13">
        <f t="shared" si="0"/>
        <v>0.99891653239213285</v>
      </c>
      <c r="G38" s="14">
        <f>IFERROR(INDEX('Raw Data'!H:H,MATCH($B38,'Raw Data'!$C:$C,0)),0)</f>
        <v>401.70979999999997</v>
      </c>
      <c r="H38" s="13">
        <f t="shared" si="1"/>
        <v>0.56222363610560533</v>
      </c>
    </row>
    <row r="39" spans="1:8" ht="15" customHeight="1" x14ac:dyDescent="0.35">
      <c r="A39" s="15" t="str">
        <f>IFERROR(INDEX('Raw Data'!AC:AC,MATCH($B39,'Raw Data'!$C:$C,0)),"-")</f>
        <v>Tipper</v>
      </c>
      <c r="B39" s="7" t="s">
        <v>88</v>
      </c>
      <c r="C39" s="10">
        <f>IFERROR(INDEX('Raw Data'!D:D,MATCH($B39,'Raw Data'!$C:$C,0)),0)</f>
        <v>720.00039999999899</v>
      </c>
      <c r="D39" s="10">
        <f>IFERROR(INDEX('Raw Data'!E:E,MATCH($B39,'Raw Data'!$C:$C,0)),0)</f>
        <v>588.29839999999899</v>
      </c>
      <c r="E39" s="10">
        <f>IFERROR(INDEX('Raw Data'!J:J,MATCH($B39,'Raw Data'!$C:$C,0)),0)</f>
        <v>309.747199999999</v>
      </c>
      <c r="F39" s="9">
        <f t="shared" si="0"/>
        <v>0.52651375560429792</v>
      </c>
      <c r="G39" s="10">
        <f>IFERROR(INDEX('Raw Data'!H:H,MATCH($B39,'Raw Data'!$C:$C,0)),0)</f>
        <v>131.702</v>
      </c>
      <c r="H39" s="9">
        <f t="shared" si="1"/>
        <v>0.18291934282258757</v>
      </c>
    </row>
    <row r="40" spans="1:8" ht="15" customHeight="1" x14ac:dyDescent="0.35">
      <c r="A40" s="16" t="str">
        <f>IFERROR(INDEX('Raw Data'!AC:AC,MATCH($B40,'Raw Data'!$C:$C,0)),"-")</f>
        <v>Tipper</v>
      </c>
      <c r="B40" s="11" t="s">
        <v>75</v>
      </c>
      <c r="C40" s="14">
        <f>IFERROR(INDEX('Raw Data'!D:D,MATCH($B40,'Raw Data'!$C:$C,0)),0)</f>
        <v>720.00209999999902</v>
      </c>
      <c r="D40" s="14">
        <f>IFERROR(INDEX('Raw Data'!E:E,MATCH($B40,'Raw Data'!$C:$C,0)),0)</f>
        <v>587.37549999999896</v>
      </c>
      <c r="E40" s="14">
        <f>IFERROR(INDEX('Raw Data'!J:J,MATCH($B40,'Raw Data'!$C:$C,0)),0)</f>
        <v>308.20669999999899</v>
      </c>
      <c r="F40" s="13">
        <f t="shared" si="0"/>
        <v>0.52471834456833755</v>
      </c>
      <c r="G40" s="14">
        <f>IFERROR(INDEX('Raw Data'!H:H,MATCH($B40,'Raw Data'!$C:$C,0)),0)</f>
        <v>132.6266</v>
      </c>
      <c r="H40" s="13">
        <f t="shared" si="1"/>
        <v>0.18420307385214596</v>
      </c>
    </row>
    <row r="41" spans="1:8" ht="15" customHeight="1" x14ac:dyDescent="0.35">
      <c r="A41" s="15" t="str">
        <f>IFERROR(INDEX('Raw Data'!AC:AC,MATCH($B41,'Raw Data'!$C:$C,0)),"-")</f>
        <v>Tipper</v>
      </c>
      <c r="B41" s="7" t="s">
        <v>72</v>
      </c>
      <c r="C41" s="10">
        <f>IFERROR(INDEX('Raw Data'!D:D,MATCH($B41,'Raw Data'!$C:$C,0)),0)</f>
        <v>720.001699999999</v>
      </c>
      <c r="D41" s="10">
        <f>IFERROR(INDEX('Raw Data'!E:E,MATCH($B41,'Raw Data'!$C:$C,0)),0)</f>
        <v>592.23759999999902</v>
      </c>
      <c r="E41" s="10">
        <f>IFERROR(INDEX('Raw Data'!J:J,MATCH($B41,'Raw Data'!$C:$C,0)),0)</f>
        <v>300.72059999999902</v>
      </c>
      <c r="F41" s="9">
        <f t="shared" si="0"/>
        <v>0.50777019223365671</v>
      </c>
      <c r="G41" s="10">
        <f>IFERROR(INDEX('Raw Data'!H:H,MATCH($B41,'Raw Data'!$C:$C,0)),0)</f>
        <v>127.764099999999</v>
      </c>
      <c r="H41" s="9">
        <f t="shared" si="1"/>
        <v>0.17744971991038241</v>
      </c>
    </row>
    <row r="42" spans="1:8" ht="15" customHeight="1" x14ac:dyDescent="0.35">
      <c r="A42" s="16" t="str">
        <f>IFERROR(INDEX('Raw Data'!AC:AC,MATCH($B42,'Raw Data'!$C:$C,0)),"-")</f>
        <v>Tipper</v>
      </c>
      <c r="B42" s="11" t="s">
        <v>78</v>
      </c>
      <c r="C42" s="14">
        <f>IFERROR(INDEX('Raw Data'!D:D,MATCH($B42,'Raw Data'!$C:$C,0)),0)</f>
        <v>720.00279999999998</v>
      </c>
      <c r="D42" s="14">
        <f>IFERROR(INDEX('Raw Data'!E:E,MATCH($B42,'Raw Data'!$C:$C,0)),0)</f>
        <v>517.69920000000002</v>
      </c>
      <c r="E42" s="14">
        <f>IFERROR(INDEX('Raw Data'!J:J,MATCH($B42,'Raw Data'!$C:$C,0)),0)</f>
        <v>299.4314</v>
      </c>
      <c r="F42" s="13">
        <f t="shared" si="0"/>
        <v>0.57838876320457899</v>
      </c>
      <c r="G42" s="14">
        <f>IFERROR(INDEX('Raw Data'!H:H,MATCH($B42,'Raw Data'!$C:$C,0)),0)</f>
        <v>202.30359999999999</v>
      </c>
      <c r="H42" s="13">
        <f t="shared" si="1"/>
        <v>0.28097612953727402</v>
      </c>
    </row>
    <row r="43" spans="1:8" ht="15" customHeight="1" x14ac:dyDescent="0.35">
      <c r="A43" s="15" t="str">
        <f>IFERROR(INDEX('Raw Data'!AC:AC,MATCH($B43,'Raw Data'!$C:$C,0)),"-")</f>
        <v>Tipper</v>
      </c>
      <c r="B43" s="7" t="s">
        <v>97</v>
      </c>
      <c r="C43" s="10">
        <f>IFERROR(INDEX('Raw Data'!D:D,MATCH($B43,'Raw Data'!$C:$C,0)),0)</f>
        <v>720.00109999999995</v>
      </c>
      <c r="D43" s="10">
        <f>IFERROR(INDEX('Raw Data'!E:E,MATCH($B43,'Raw Data'!$C:$C,0)),0)</f>
        <v>665.88179999999898</v>
      </c>
      <c r="E43" s="10">
        <f>IFERROR(INDEX('Raw Data'!J:J,MATCH($B43,'Raw Data'!$C:$C,0)),0)</f>
        <v>298.31049999999902</v>
      </c>
      <c r="F43" s="9">
        <f t="shared" si="0"/>
        <v>0.44799317236182079</v>
      </c>
      <c r="G43" s="10">
        <f>IFERROR(INDEX('Raw Data'!H:H,MATCH($B43,'Raw Data'!$C:$C,0)),0)</f>
        <v>54.119300000000003</v>
      </c>
      <c r="H43" s="9">
        <f t="shared" si="1"/>
        <v>7.5165579608142269E-2</v>
      </c>
    </row>
    <row r="44" spans="1:8" ht="15" customHeight="1" x14ac:dyDescent="0.35">
      <c r="A44" s="16" t="str">
        <f>IFERROR(INDEX('Raw Data'!AC:AC,MATCH($B44,'Raw Data'!$C:$C,0)),"-")</f>
        <v>Tipper</v>
      </c>
      <c r="B44" s="11" t="s">
        <v>51</v>
      </c>
      <c r="C44" s="14">
        <f>IFERROR(INDEX('Raw Data'!D:D,MATCH($B44,'Raw Data'!$C:$C,0)),0)</f>
        <v>720.00289999999904</v>
      </c>
      <c r="D44" s="14">
        <f>IFERROR(INDEX('Raw Data'!E:E,MATCH($B44,'Raw Data'!$C:$C,0)),0)</f>
        <v>521.65219999999897</v>
      </c>
      <c r="E44" s="14">
        <f>IFERROR(INDEX('Raw Data'!J:J,MATCH($B44,'Raw Data'!$C:$C,0)),0)</f>
        <v>298.30819999999898</v>
      </c>
      <c r="F44" s="13">
        <f t="shared" si="0"/>
        <v>0.57185266351795228</v>
      </c>
      <c r="G44" s="14">
        <f>IFERROR(INDEX('Raw Data'!H:H,MATCH($B44,'Raw Data'!$C:$C,0)),0)</f>
        <v>198.35069999999999</v>
      </c>
      <c r="H44" s="13">
        <f t="shared" si="1"/>
        <v>0.27548597373705058</v>
      </c>
    </row>
  </sheetData>
  <mergeCells count="3">
    <mergeCell ref="A3:H3"/>
    <mergeCell ref="A13:H13"/>
    <mergeCell ref="A1:H1"/>
  </mergeCells>
  <conditionalFormatting sqref="E15:E44">
    <cfRule type="cellIs" dxfId="1" priority="1" operator="greaterThan">
      <formula>150</formula>
    </cfRule>
    <cfRule type="cellIs" dxfId="0" priority="2" operator="between">
      <formula>80</formula>
      <formula>150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6"/>
  <sheetViews>
    <sheetView showGridLines="0" workbookViewId="0">
      <pane ySplit="2" topLeftCell="A3" activePane="bottomLeft" state="frozen"/>
      <selection pane="bottomLeft" sqref="A1:I1"/>
    </sheetView>
  </sheetViews>
  <sheetFormatPr defaultRowHeight="14.5" x14ac:dyDescent="0.35"/>
  <cols>
    <col min="1" max="1" width="14" customWidth="1"/>
    <col min="2" max="5" width="10" customWidth="1"/>
    <col min="6" max="6" width="14" customWidth="1"/>
    <col min="7" max="7" width="8" customWidth="1"/>
    <col min="8" max="9" width="12" customWidth="1"/>
  </cols>
  <sheetData>
    <row r="1" spans="1:9" ht="28" customHeight="1" x14ac:dyDescent="0.35">
      <c r="A1" s="63" t="s">
        <v>302</v>
      </c>
      <c r="B1" s="62"/>
      <c r="C1" s="62"/>
      <c r="D1" s="62"/>
      <c r="E1" s="62"/>
      <c r="F1" s="62"/>
      <c r="G1" s="62"/>
      <c r="H1" s="62"/>
      <c r="I1" s="62"/>
    </row>
    <row r="3" spans="1:9" ht="18" customHeight="1" x14ac:dyDescent="0.35">
      <c r="A3" s="70" t="s">
        <v>303</v>
      </c>
      <c r="B3" s="62"/>
      <c r="C3" s="62"/>
      <c r="D3" s="62"/>
      <c r="E3" s="62"/>
      <c r="F3" s="62"/>
      <c r="G3" s="62"/>
      <c r="H3" s="62"/>
      <c r="I3" s="62"/>
    </row>
    <row r="4" spans="1:9" ht="26" customHeight="1" x14ac:dyDescent="0.35">
      <c r="A4" s="6" t="s">
        <v>3</v>
      </c>
      <c r="B4" s="6" t="s">
        <v>272</v>
      </c>
      <c r="C4" s="6" t="s">
        <v>304</v>
      </c>
      <c r="D4" s="6" t="s">
        <v>305</v>
      </c>
      <c r="E4" s="6" t="s">
        <v>306</v>
      </c>
      <c r="F4" s="6" t="s">
        <v>307</v>
      </c>
      <c r="G4" s="6" t="s">
        <v>308</v>
      </c>
      <c r="H4" s="6" t="s">
        <v>309</v>
      </c>
      <c r="I4" s="6" t="s">
        <v>310</v>
      </c>
    </row>
    <row r="5" spans="1:9" ht="15" customHeight="1" x14ac:dyDescent="0.35">
      <c r="A5" s="7" t="s">
        <v>99</v>
      </c>
      <c r="B5" s="10">
        <f>IFERROR(INDEX('Raw Data'!D:D,MATCH($A5,'Raw Data'!$C:$C,0)),0)</f>
        <v>720.001699999999</v>
      </c>
      <c r="C5" s="9">
        <f>IFERROR(INDEX('Raw Data'!O:O,MATCH($A5,'Raw Data'!$C:$C,0)),0)</f>
        <v>0.84827896930000002</v>
      </c>
      <c r="D5" s="9">
        <f>IFERROR(INDEX('Raw Data'!P:P,MATCH($A5,'Raw Data'!$C:$C,0)),0)</f>
        <v>0.60878708459999997</v>
      </c>
      <c r="E5" s="8">
        <f>IFERROR(INDEX('Raw Data'!Q:Q,MATCH($A5,'Raw Data'!$C:$C,0)),0)</f>
        <v>949</v>
      </c>
      <c r="F5" s="19">
        <f>IFERROR(INDEX('Raw Data'!R:R,MATCH($A5,'Raw Data'!$C:$C,0)),0)</f>
        <v>33780.29</v>
      </c>
      <c r="G5" s="17">
        <f t="shared" ref="G5:G36" si="0">IFERROR(F5/E5,"-")</f>
        <v>35.595669125395155</v>
      </c>
      <c r="H5" s="8">
        <f>IFERROR(INDEX('Raw Data'!W:W,MATCH($A5,'Raw Data'!$C:$C,0)),0)</f>
        <v>5309.29</v>
      </c>
      <c r="I5" s="17">
        <f t="shared" ref="I5:I36" si="1">IFERROR(H5/F5,"-")</f>
        <v>0.15717123802075114</v>
      </c>
    </row>
    <row r="6" spans="1:9" ht="15" customHeight="1" x14ac:dyDescent="0.35">
      <c r="A6" s="11" t="s">
        <v>98</v>
      </c>
      <c r="B6" s="14">
        <f>IFERROR(INDEX('Raw Data'!D:D,MATCH($A6,'Raw Data'!$C:$C,0)),0)</f>
        <v>720.00099999999998</v>
      </c>
      <c r="C6" s="13">
        <f>IFERROR(INDEX('Raw Data'!O:O,MATCH($A6,'Raw Data'!$C:$C,0)),0)</f>
        <v>0.94559549220000005</v>
      </c>
      <c r="D6" s="13">
        <f>IFERROR(INDEX('Raw Data'!P:P,MATCH($A6,'Raw Data'!$C:$C,0)),0)</f>
        <v>0.52866935739999998</v>
      </c>
      <c r="E6" s="12">
        <f>IFERROR(INDEX('Raw Data'!Q:Q,MATCH($A6,'Raw Data'!$C:$C,0)),0)</f>
        <v>944</v>
      </c>
      <c r="F6" s="20">
        <f>IFERROR(INDEX('Raw Data'!R:R,MATCH($A6,'Raw Data'!$C:$C,0)),0)</f>
        <v>33439.71</v>
      </c>
      <c r="G6" s="18">
        <f t="shared" si="0"/>
        <v>35.423421610169491</v>
      </c>
      <c r="H6" s="12">
        <f>IFERROR(INDEX('Raw Data'!W:W,MATCH($A6,'Raw Data'!$C:$C,0)),0)</f>
        <v>4694.28</v>
      </c>
      <c r="I6" s="18">
        <f t="shared" si="1"/>
        <v>0.14038040401666163</v>
      </c>
    </row>
    <row r="7" spans="1:9" ht="15" customHeight="1" x14ac:dyDescent="0.35">
      <c r="A7" s="7" t="s">
        <v>92</v>
      </c>
      <c r="B7" s="10">
        <f>IFERROR(INDEX('Raw Data'!D:D,MATCH($A7,'Raw Data'!$C:$C,0)),0)</f>
        <v>720.00109999999995</v>
      </c>
      <c r="C7" s="9">
        <f>IFERROR(INDEX('Raw Data'!O:O,MATCH($A7,'Raw Data'!$C:$C,0)),0)</f>
        <v>0.9150679075</v>
      </c>
      <c r="D7" s="9">
        <f>IFERROR(INDEX('Raw Data'!P:P,MATCH($A7,'Raw Data'!$C:$C,0)),0)</f>
        <v>0.60568347970000003</v>
      </c>
      <c r="E7" s="8">
        <f>IFERROR(INDEX('Raw Data'!Q:Q,MATCH($A7,'Raw Data'!$C:$C,0)),0)</f>
        <v>925</v>
      </c>
      <c r="F7" s="19">
        <f>IFERROR(INDEX('Raw Data'!R:R,MATCH($A7,'Raw Data'!$C:$C,0)),0)</f>
        <v>32484.98</v>
      </c>
      <c r="G7" s="17">
        <f t="shared" si="0"/>
        <v>35.118897297297295</v>
      </c>
      <c r="H7" s="8">
        <f>IFERROR(INDEX('Raw Data'!W:W,MATCH($A7,'Raw Data'!$C:$C,0)),0)</f>
        <v>5494.24</v>
      </c>
      <c r="I7" s="17">
        <f t="shared" si="1"/>
        <v>0.16913170332873839</v>
      </c>
    </row>
    <row r="8" spans="1:9" ht="15" customHeight="1" x14ac:dyDescent="0.35">
      <c r="A8" s="11" t="s">
        <v>91</v>
      </c>
      <c r="B8" s="14">
        <f>IFERROR(INDEX('Raw Data'!D:D,MATCH($A8,'Raw Data'!$C:$C,0)),0)</f>
        <v>720.00099999999998</v>
      </c>
      <c r="C8" s="13">
        <f>IFERROR(INDEX('Raw Data'!O:O,MATCH($A8,'Raw Data'!$C:$C,0)),0)</f>
        <v>0.93082051269999999</v>
      </c>
      <c r="D8" s="13">
        <f>IFERROR(INDEX('Raw Data'!P:P,MATCH($A8,'Raw Data'!$C:$C,0)),0)</f>
        <v>0.6351869174</v>
      </c>
      <c r="E8" s="12">
        <f>IFERROR(INDEX('Raw Data'!Q:Q,MATCH($A8,'Raw Data'!$C:$C,0)),0)</f>
        <v>911</v>
      </c>
      <c r="F8" s="20">
        <f>IFERROR(INDEX('Raw Data'!R:R,MATCH($A8,'Raw Data'!$C:$C,0)),0)</f>
        <v>32265.1</v>
      </c>
      <c r="G8" s="18">
        <f t="shared" si="0"/>
        <v>35.417233809001097</v>
      </c>
      <c r="H8" s="12">
        <f>IFERROR(INDEX('Raw Data'!W:W,MATCH($A8,'Raw Data'!$C:$C,0)),0)</f>
        <v>5821.4299999999903</v>
      </c>
      <c r="I8" s="18">
        <f t="shared" si="1"/>
        <v>0.18042497931201176</v>
      </c>
    </row>
    <row r="9" spans="1:9" ht="15" customHeight="1" x14ac:dyDescent="0.35">
      <c r="A9" s="7" t="s">
        <v>96</v>
      </c>
      <c r="B9" s="10">
        <f>IFERROR(INDEX('Raw Data'!D:D,MATCH($A9,'Raw Data'!$C:$C,0)),0)</f>
        <v>720.00019999999904</v>
      </c>
      <c r="C9" s="9">
        <f>IFERROR(INDEX('Raw Data'!O:O,MATCH($A9,'Raw Data'!$C:$C,0)),0)</f>
        <v>0.9471523758</v>
      </c>
      <c r="D9" s="9">
        <f>IFERROR(INDEX('Raw Data'!P:P,MATCH($A9,'Raw Data'!$C:$C,0)),0)</f>
        <v>0.55899986199999996</v>
      </c>
      <c r="E9" s="8">
        <f>IFERROR(INDEX('Raw Data'!Q:Q,MATCH($A9,'Raw Data'!$C:$C,0)),0)</f>
        <v>904</v>
      </c>
      <c r="F9" s="19">
        <f>IFERROR(INDEX('Raw Data'!R:R,MATCH($A9,'Raw Data'!$C:$C,0)),0)</f>
        <v>31807.29</v>
      </c>
      <c r="G9" s="17">
        <f t="shared" si="0"/>
        <v>35.185055309734516</v>
      </c>
      <c r="H9" s="8">
        <f>IFERROR(INDEX('Raw Data'!W:W,MATCH($A9,'Raw Data'!$C:$C,0)),0)</f>
        <v>5689.4</v>
      </c>
      <c r="I9" s="17">
        <f t="shared" si="1"/>
        <v>0.17887094436526971</v>
      </c>
    </row>
    <row r="10" spans="1:9" ht="15" customHeight="1" x14ac:dyDescent="0.35">
      <c r="A10" s="11" t="s">
        <v>94</v>
      </c>
      <c r="B10" s="14">
        <f>IFERROR(INDEX('Raw Data'!D:D,MATCH($A10,'Raw Data'!$C:$C,0)),0)</f>
        <v>720.00019999999995</v>
      </c>
      <c r="C10" s="13">
        <f>IFERROR(INDEX('Raw Data'!O:O,MATCH($A10,'Raw Data'!$C:$C,0)),0)</f>
        <v>0.94185515500000005</v>
      </c>
      <c r="D10" s="13">
        <f>IFERROR(INDEX('Raw Data'!P:P,MATCH($A10,'Raw Data'!$C:$C,0)),0)</f>
        <v>0.4787285262</v>
      </c>
      <c r="E10" s="12">
        <f>IFERROR(INDEX('Raw Data'!Q:Q,MATCH($A10,'Raw Data'!$C:$C,0)),0)</f>
        <v>867</v>
      </c>
      <c r="F10" s="20">
        <f>IFERROR(INDEX('Raw Data'!R:R,MATCH($A10,'Raw Data'!$C:$C,0)),0)</f>
        <v>30433.18</v>
      </c>
      <c r="G10" s="18">
        <f t="shared" si="0"/>
        <v>35.101707035755481</v>
      </c>
      <c r="H10" s="12">
        <f>IFERROR(INDEX('Raw Data'!W:W,MATCH($A10,'Raw Data'!$C:$C,0)),0)</f>
        <v>5572.7699999999904</v>
      </c>
      <c r="I10" s="18">
        <f t="shared" si="1"/>
        <v>0.18311494230967615</v>
      </c>
    </row>
    <row r="11" spans="1:9" ht="15" customHeight="1" x14ac:dyDescent="0.35">
      <c r="A11" s="7" t="s">
        <v>93</v>
      </c>
      <c r="B11" s="10">
        <f>IFERROR(INDEX('Raw Data'!D:D,MATCH($A11,'Raw Data'!$C:$C,0)),0)</f>
        <v>720.00129999999899</v>
      </c>
      <c r="C11" s="9">
        <f>IFERROR(INDEX('Raw Data'!O:O,MATCH($A11,'Raw Data'!$C:$C,0)),0)</f>
        <v>0.79573425769999995</v>
      </c>
      <c r="D11" s="9">
        <f>IFERROR(INDEX('Raw Data'!P:P,MATCH($A11,'Raw Data'!$C:$C,0)),0)</f>
        <v>0.56105295290000001</v>
      </c>
      <c r="E11" s="8">
        <f>IFERROR(INDEX('Raw Data'!Q:Q,MATCH($A11,'Raw Data'!$C:$C,0)),0)</f>
        <v>866</v>
      </c>
      <c r="F11" s="19">
        <f>IFERROR(INDEX('Raw Data'!R:R,MATCH($A11,'Raw Data'!$C:$C,0)),0)</f>
        <v>30530.62</v>
      </c>
      <c r="G11" s="17">
        <f t="shared" si="0"/>
        <v>35.254757505773668</v>
      </c>
      <c r="H11" s="8">
        <f>IFERROR(INDEX('Raw Data'!W:W,MATCH($A11,'Raw Data'!$C:$C,0)),0)</f>
        <v>5070.4099999999899</v>
      </c>
      <c r="I11" s="17">
        <f t="shared" si="1"/>
        <v>0.16607622118384724</v>
      </c>
    </row>
    <row r="12" spans="1:9" ht="15" customHeight="1" x14ac:dyDescent="0.35">
      <c r="A12" s="11" t="s">
        <v>95</v>
      </c>
      <c r="B12" s="14">
        <f>IFERROR(INDEX('Raw Data'!D:D,MATCH($A12,'Raw Data'!$C:$C,0)),0)</f>
        <v>720.00009999999895</v>
      </c>
      <c r="C12" s="13">
        <f>IFERROR(INDEX('Raw Data'!O:O,MATCH($A12,'Raw Data'!$C:$C,0)),0)</f>
        <v>0.95192111779999999</v>
      </c>
      <c r="D12" s="13">
        <f>IFERROR(INDEX('Raw Data'!P:P,MATCH($A12,'Raw Data'!$C:$C,0)),0)</f>
        <v>0.51164217160000003</v>
      </c>
      <c r="E12" s="12">
        <f>IFERROR(INDEX('Raw Data'!Q:Q,MATCH($A12,'Raw Data'!$C:$C,0)),0)</f>
        <v>864</v>
      </c>
      <c r="F12" s="20">
        <f>IFERROR(INDEX('Raw Data'!R:R,MATCH($A12,'Raw Data'!$C:$C,0)),0)</f>
        <v>30498.67</v>
      </c>
      <c r="G12" s="18">
        <f t="shared" si="0"/>
        <v>35.29938657407407</v>
      </c>
      <c r="H12" s="12">
        <f>IFERROR(INDEX('Raw Data'!W:W,MATCH($A12,'Raw Data'!$C:$C,0)),0)</f>
        <v>5707.15</v>
      </c>
      <c r="I12" s="18">
        <f t="shared" si="1"/>
        <v>0.18712783213169623</v>
      </c>
    </row>
    <row r="13" spans="1:9" ht="15" customHeight="1" x14ac:dyDescent="0.35">
      <c r="A13" s="7" t="s">
        <v>97</v>
      </c>
      <c r="B13" s="10">
        <f>IFERROR(INDEX('Raw Data'!D:D,MATCH($A13,'Raw Data'!$C:$C,0)),0)</f>
        <v>720.00109999999995</v>
      </c>
      <c r="C13" s="9">
        <f>IFERROR(INDEX('Raw Data'!O:O,MATCH($A13,'Raw Data'!$C:$C,0)),0)</f>
        <v>0.92483442039999997</v>
      </c>
      <c r="D13" s="9">
        <f>IFERROR(INDEX('Raw Data'!P:P,MATCH($A13,'Raw Data'!$C:$C,0)),0)</f>
        <v>0.54565825349999997</v>
      </c>
      <c r="E13" s="8">
        <f>IFERROR(INDEX('Raw Data'!Q:Q,MATCH($A13,'Raw Data'!$C:$C,0)),0)</f>
        <v>857</v>
      </c>
      <c r="F13" s="19">
        <f>IFERROR(INDEX('Raw Data'!R:R,MATCH($A13,'Raw Data'!$C:$C,0)),0)</f>
        <v>30062.65</v>
      </c>
      <c r="G13" s="17">
        <f t="shared" si="0"/>
        <v>35.078938156359392</v>
      </c>
      <c r="H13" s="8">
        <f>IFERROR(INDEX('Raw Data'!W:W,MATCH($A13,'Raw Data'!$C:$C,0)),0)</f>
        <v>5531.57</v>
      </c>
      <c r="I13" s="17">
        <f t="shared" si="1"/>
        <v>0.1840014103879731</v>
      </c>
    </row>
    <row r="14" spans="1:9" ht="15" customHeight="1" x14ac:dyDescent="0.35">
      <c r="A14" s="11" t="s">
        <v>90</v>
      </c>
      <c r="B14" s="14">
        <f>IFERROR(INDEX('Raw Data'!D:D,MATCH($A14,'Raw Data'!$C:$C,0)),0)</f>
        <v>720.00219999999899</v>
      </c>
      <c r="C14" s="13">
        <f>IFERROR(INDEX('Raw Data'!O:O,MATCH($A14,'Raw Data'!$C:$C,0)),0)</f>
        <v>0.82857274599999997</v>
      </c>
      <c r="D14" s="13">
        <f>IFERROR(INDEX('Raw Data'!P:P,MATCH($A14,'Raw Data'!$C:$C,0)),0)</f>
        <v>0.57896050480000005</v>
      </c>
      <c r="E14" s="12">
        <f>IFERROR(INDEX('Raw Data'!Q:Q,MATCH($A14,'Raw Data'!$C:$C,0)),0)</f>
        <v>846</v>
      </c>
      <c r="F14" s="20">
        <f>IFERROR(INDEX('Raw Data'!R:R,MATCH($A14,'Raw Data'!$C:$C,0)),0)</f>
        <v>29955.96</v>
      </c>
      <c r="G14" s="18">
        <f t="shared" si="0"/>
        <v>35.408936170212762</v>
      </c>
      <c r="H14" s="12">
        <f>IFERROR(INDEX('Raw Data'!W:W,MATCH($A14,'Raw Data'!$C:$C,0)),0)</f>
        <v>4950.6899999999896</v>
      </c>
      <c r="I14" s="18">
        <f t="shared" si="1"/>
        <v>0.16526560991535541</v>
      </c>
    </row>
    <row r="15" spans="1:9" ht="15" customHeight="1" x14ac:dyDescent="0.35">
      <c r="A15" s="7" t="s">
        <v>60</v>
      </c>
      <c r="B15" s="10">
        <f>IFERROR(INDEX('Raw Data'!D:D,MATCH($A15,'Raw Data'!$C:$C,0)),0)</f>
        <v>720.00139999999897</v>
      </c>
      <c r="C15" s="9">
        <f>IFERROR(INDEX('Raw Data'!O:O,MATCH($A15,'Raw Data'!$C:$C,0)),0)</f>
        <v>0.9381506758</v>
      </c>
      <c r="D15" s="9">
        <f>IFERROR(INDEX('Raw Data'!P:P,MATCH($A15,'Raw Data'!$C:$C,0)),0)</f>
        <v>0.45013515040000002</v>
      </c>
      <c r="E15" s="8">
        <f>IFERROR(INDEX('Raw Data'!Q:Q,MATCH($A15,'Raw Data'!$C:$C,0)),0)</f>
        <v>738</v>
      </c>
      <c r="F15" s="19">
        <f>IFERROR(INDEX('Raw Data'!R:R,MATCH($A15,'Raw Data'!$C:$C,0)),0)</f>
        <v>27270.82</v>
      </c>
      <c r="G15" s="17">
        <f t="shared" si="0"/>
        <v>36.952330623306231</v>
      </c>
      <c r="H15" s="8">
        <f>IFERROR(INDEX('Raw Data'!W:W,MATCH($A15,'Raw Data'!$C:$C,0)),0)</f>
        <v>4938.5899999999901</v>
      </c>
      <c r="I15" s="17">
        <f t="shared" si="1"/>
        <v>0.18109429786123007</v>
      </c>
    </row>
    <row r="16" spans="1:9" ht="15" customHeight="1" x14ac:dyDescent="0.35">
      <c r="A16" s="11" t="s">
        <v>86</v>
      </c>
      <c r="B16" s="14">
        <f>IFERROR(INDEX('Raw Data'!D:D,MATCH($A16,'Raw Data'!$C:$C,0)),0)</f>
        <v>720.00109999999995</v>
      </c>
      <c r="C16" s="13">
        <f>IFERROR(INDEX('Raw Data'!O:O,MATCH($A16,'Raw Data'!$C:$C,0)),0)</f>
        <v>0.49838659969999999</v>
      </c>
      <c r="D16" s="13">
        <f>IFERROR(INDEX('Raw Data'!P:P,MATCH($A16,'Raw Data'!$C:$C,0)),0)</f>
        <v>0</v>
      </c>
      <c r="E16" s="12">
        <f>IFERROR(INDEX('Raw Data'!Q:Q,MATCH($A16,'Raw Data'!$C:$C,0)),0)</f>
        <v>730</v>
      </c>
      <c r="F16" s="20">
        <f>IFERROR(INDEX('Raw Data'!R:R,MATCH($A16,'Raw Data'!$C:$C,0)),0)</f>
        <v>26879.43</v>
      </c>
      <c r="G16" s="18">
        <f t="shared" si="0"/>
        <v>36.821136986301369</v>
      </c>
      <c r="H16" s="12">
        <f>IFERROR(INDEX('Raw Data'!W:W,MATCH($A16,'Raw Data'!$C:$C,0)),0)</f>
        <v>5028.8999999999996</v>
      </c>
      <c r="I16" s="18">
        <f t="shared" si="1"/>
        <v>0.18709102090334503</v>
      </c>
    </row>
    <row r="17" spans="1:9" ht="15" customHeight="1" x14ac:dyDescent="0.35">
      <c r="A17" s="7" t="s">
        <v>84</v>
      </c>
      <c r="B17" s="10">
        <f>IFERROR(INDEX('Raw Data'!D:D,MATCH($A17,'Raw Data'!$C:$C,0)),0)</f>
        <v>720.00209999999902</v>
      </c>
      <c r="C17" s="9">
        <f>IFERROR(INDEX('Raw Data'!O:O,MATCH($A17,'Raw Data'!$C:$C,0)),0)</f>
        <v>0.93542741060000001</v>
      </c>
      <c r="D17" s="9">
        <f>IFERROR(INDEX('Raw Data'!P:P,MATCH($A17,'Raw Data'!$C:$C,0)),0)</f>
        <v>0.46321589730000001</v>
      </c>
      <c r="E17" s="8">
        <f>IFERROR(INDEX('Raw Data'!Q:Q,MATCH($A17,'Raw Data'!$C:$C,0)),0)</f>
        <v>715</v>
      </c>
      <c r="F17" s="19">
        <f>IFERROR(INDEX('Raw Data'!R:R,MATCH($A17,'Raw Data'!$C:$C,0)),0)</f>
        <v>26475.62</v>
      </c>
      <c r="G17" s="17">
        <f t="shared" si="0"/>
        <v>37.028839160839162</v>
      </c>
      <c r="H17" s="8">
        <f>IFERROR(INDEX('Raw Data'!W:W,MATCH($A17,'Raw Data'!$C:$C,0)),0)</f>
        <v>4868.6000000000004</v>
      </c>
      <c r="I17" s="17">
        <f t="shared" si="1"/>
        <v>0.18388993345576046</v>
      </c>
    </row>
    <row r="18" spans="1:9" ht="15" customHeight="1" x14ac:dyDescent="0.35">
      <c r="A18" s="11" t="s">
        <v>72</v>
      </c>
      <c r="B18" s="14">
        <f>IFERROR(INDEX('Raw Data'!D:D,MATCH($A18,'Raw Data'!$C:$C,0)),0)</f>
        <v>720.001699999999</v>
      </c>
      <c r="C18" s="13">
        <f>IFERROR(INDEX('Raw Data'!O:O,MATCH($A18,'Raw Data'!$C:$C,0)),0)</f>
        <v>0.82255028009999998</v>
      </c>
      <c r="D18" s="13">
        <f>IFERROR(INDEX('Raw Data'!P:P,MATCH($A18,'Raw Data'!$C:$C,0)),0)</f>
        <v>0.48733903420000002</v>
      </c>
      <c r="E18" s="12">
        <f>IFERROR(INDEX('Raw Data'!Q:Q,MATCH($A18,'Raw Data'!$C:$C,0)),0)</f>
        <v>699</v>
      </c>
      <c r="F18" s="20">
        <f>IFERROR(INDEX('Raw Data'!R:R,MATCH($A18,'Raw Data'!$C:$C,0)),0)</f>
        <v>25583.07</v>
      </c>
      <c r="G18" s="18">
        <f t="shared" si="0"/>
        <v>36.59952789699571</v>
      </c>
      <c r="H18" s="12">
        <f>IFERROR(INDEX('Raw Data'!W:W,MATCH($A18,'Raw Data'!$C:$C,0)),0)</f>
        <v>4567.8099999999904</v>
      </c>
      <c r="I18" s="18">
        <f t="shared" si="1"/>
        <v>0.17854815704291901</v>
      </c>
    </row>
    <row r="19" spans="1:9" ht="15" customHeight="1" x14ac:dyDescent="0.35">
      <c r="A19" s="7" t="s">
        <v>53</v>
      </c>
      <c r="B19" s="10">
        <f>IFERROR(INDEX('Raw Data'!D:D,MATCH($A19,'Raw Data'!$C:$C,0)),0)</f>
        <v>720.00049999999896</v>
      </c>
      <c r="C19" s="9">
        <f>IFERROR(INDEX('Raw Data'!O:O,MATCH($A19,'Raw Data'!$C:$C,0)),0)</f>
        <v>0.8498655209</v>
      </c>
      <c r="D19" s="9">
        <f>IFERROR(INDEX('Raw Data'!P:P,MATCH($A19,'Raw Data'!$C:$C,0)),0)</f>
        <v>0.55171713320000004</v>
      </c>
      <c r="E19" s="8">
        <f>IFERROR(INDEX('Raw Data'!Q:Q,MATCH($A19,'Raw Data'!$C:$C,0)),0)</f>
        <v>679</v>
      </c>
      <c r="F19" s="19">
        <f>IFERROR(INDEX('Raw Data'!R:R,MATCH($A19,'Raw Data'!$C:$C,0)),0)</f>
        <v>24977.95</v>
      </c>
      <c r="G19" s="17">
        <f t="shared" si="0"/>
        <v>36.78637702503682</v>
      </c>
      <c r="H19" s="8">
        <f>IFERROR(INDEX('Raw Data'!W:W,MATCH($A19,'Raw Data'!$C:$C,0)),0)</f>
        <v>4428.5099999999902</v>
      </c>
      <c r="I19" s="17">
        <f t="shared" si="1"/>
        <v>0.17729677575621658</v>
      </c>
    </row>
    <row r="20" spans="1:9" ht="15" customHeight="1" x14ac:dyDescent="0.35">
      <c r="A20" s="11" t="s">
        <v>75</v>
      </c>
      <c r="B20" s="14">
        <f>IFERROR(INDEX('Raw Data'!D:D,MATCH($A20,'Raw Data'!$C:$C,0)),0)</f>
        <v>720.00209999999902</v>
      </c>
      <c r="C20" s="13">
        <f>IFERROR(INDEX('Raw Data'!O:O,MATCH($A20,'Raw Data'!$C:$C,0)),0)</f>
        <v>0.81579692609999999</v>
      </c>
      <c r="D20" s="13">
        <f>IFERROR(INDEX('Raw Data'!P:P,MATCH($A20,'Raw Data'!$C:$C,0)),0)</f>
        <v>0.46810873110000001</v>
      </c>
      <c r="E20" s="12">
        <f>IFERROR(INDEX('Raw Data'!Q:Q,MATCH($A20,'Raw Data'!$C:$C,0)),0)</f>
        <v>678</v>
      </c>
      <c r="F20" s="20">
        <f>IFERROR(INDEX('Raw Data'!R:R,MATCH($A20,'Raw Data'!$C:$C,0)),0)</f>
        <v>24658.43</v>
      </c>
      <c r="G20" s="18">
        <f t="shared" si="0"/>
        <v>36.369365781710918</v>
      </c>
      <c r="H20" s="12">
        <f>IFERROR(INDEX('Raw Data'!W:W,MATCH($A20,'Raw Data'!$C:$C,0)),0)</f>
        <v>4084.74999999999</v>
      </c>
      <c r="I20" s="18">
        <f t="shared" si="1"/>
        <v>0.16565328773972998</v>
      </c>
    </row>
    <row r="21" spans="1:9" ht="15" customHeight="1" x14ac:dyDescent="0.35">
      <c r="A21" s="7" t="s">
        <v>85</v>
      </c>
      <c r="B21" s="10">
        <f>IFERROR(INDEX('Raw Data'!D:D,MATCH($A21,'Raw Data'!$C:$C,0)),0)</f>
        <v>715.84799999999905</v>
      </c>
      <c r="C21" s="9">
        <f>IFERROR(INDEX('Raw Data'!O:O,MATCH($A21,'Raw Data'!$C:$C,0)),0)</f>
        <v>0.81888864679999995</v>
      </c>
      <c r="D21" s="9">
        <f>IFERROR(INDEX('Raw Data'!P:P,MATCH($A21,'Raw Data'!$C:$C,0)),0)</f>
        <v>0.58148535700000004</v>
      </c>
      <c r="E21" s="8">
        <f>IFERROR(INDEX('Raw Data'!Q:Q,MATCH($A21,'Raw Data'!$C:$C,0)),0)</f>
        <v>665</v>
      </c>
      <c r="F21" s="19">
        <f>IFERROR(INDEX('Raw Data'!R:R,MATCH($A21,'Raw Data'!$C:$C,0)),0)</f>
        <v>24877.82</v>
      </c>
      <c r="G21" s="17">
        <f t="shared" si="0"/>
        <v>37.410255639097741</v>
      </c>
      <c r="H21" s="8">
        <f>IFERROR(INDEX('Raw Data'!W:W,MATCH($A21,'Raw Data'!$C:$C,0)),0)</f>
        <v>4924.38</v>
      </c>
      <c r="I21" s="17">
        <f t="shared" si="1"/>
        <v>0.19794258500141895</v>
      </c>
    </row>
    <row r="22" spans="1:9" ht="15" customHeight="1" x14ac:dyDescent="0.35">
      <c r="A22" s="11" t="s">
        <v>80</v>
      </c>
      <c r="B22" s="14">
        <f>IFERROR(INDEX('Raw Data'!D:D,MATCH($A22,'Raw Data'!$C:$C,0)),0)</f>
        <v>720.00019999999995</v>
      </c>
      <c r="C22" s="13">
        <f>IFERROR(INDEX('Raw Data'!O:O,MATCH($A22,'Raw Data'!$C:$C,0)),0)</f>
        <v>0.86973906400000001</v>
      </c>
      <c r="D22" s="13">
        <f>IFERROR(INDEX('Raw Data'!P:P,MATCH($A22,'Raw Data'!$C:$C,0)),0)</f>
        <v>0.27704310500000001</v>
      </c>
      <c r="E22" s="12">
        <f>IFERROR(INDEX('Raw Data'!Q:Q,MATCH($A22,'Raw Data'!$C:$C,0)),0)</f>
        <v>651</v>
      </c>
      <c r="F22" s="20">
        <f>IFERROR(INDEX('Raw Data'!R:R,MATCH($A22,'Raw Data'!$C:$C,0)),0)</f>
        <v>24039.4</v>
      </c>
      <c r="G22" s="18">
        <f t="shared" si="0"/>
        <v>36.92688172043011</v>
      </c>
      <c r="H22" s="12">
        <f>IFERROR(INDEX('Raw Data'!W:W,MATCH($A22,'Raw Data'!$C:$C,0)),0)</f>
        <v>4786.08</v>
      </c>
      <c r="I22" s="18">
        <f t="shared" si="1"/>
        <v>0.19909315540321304</v>
      </c>
    </row>
    <row r="23" spans="1:9" ht="15" customHeight="1" x14ac:dyDescent="0.35">
      <c r="A23" s="7" t="s">
        <v>79</v>
      </c>
      <c r="B23" s="10">
        <f>IFERROR(INDEX('Raw Data'!D:D,MATCH($A23,'Raw Data'!$C:$C,0)),0)</f>
        <v>720.00329999999894</v>
      </c>
      <c r="C23" s="9">
        <f>IFERROR(INDEX('Raw Data'!O:O,MATCH($A23,'Raw Data'!$C:$C,0)),0)</f>
        <v>0.78808624900000002</v>
      </c>
      <c r="D23" s="9">
        <f>IFERROR(INDEX('Raw Data'!P:P,MATCH($A23,'Raw Data'!$C:$C,0)),0)</f>
        <v>0.54302024569999996</v>
      </c>
      <c r="E23" s="8">
        <f>IFERROR(INDEX('Raw Data'!Q:Q,MATCH($A23,'Raw Data'!$C:$C,0)),0)</f>
        <v>651</v>
      </c>
      <c r="F23" s="19">
        <f>IFERROR(INDEX('Raw Data'!R:R,MATCH($A23,'Raw Data'!$C:$C,0)),0)</f>
        <v>24103.43</v>
      </c>
      <c r="G23" s="17">
        <f t="shared" si="0"/>
        <v>37.025238095238095</v>
      </c>
      <c r="H23" s="8">
        <f>IFERROR(INDEX('Raw Data'!W:W,MATCH($A23,'Raw Data'!$C:$C,0)),0)</f>
        <v>4387.28</v>
      </c>
      <c r="I23" s="17">
        <f t="shared" si="1"/>
        <v>0.18201890768243356</v>
      </c>
    </row>
    <row r="24" spans="1:9" ht="15" customHeight="1" x14ac:dyDescent="0.35">
      <c r="A24" s="11" t="s">
        <v>73</v>
      </c>
      <c r="B24" s="14">
        <f>IFERROR(INDEX('Raw Data'!D:D,MATCH($A24,'Raw Data'!$C:$C,0)),0)</f>
        <v>720.001699999999</v>
      </c>
      <c r="C24" s="13">
        <f>IFERROR(INDEX('Raw Data'!O:O,MATCH($A24,'Raw Data'!$C:$C,0)),0)</f>
        <v>0.79564270469999998</v>
      </c>
      <c r="D24" s="13">
        <f>IFERROR(INDEX('Raw Data'!P:P,MATCH($A24,'Raw Data'!$C:$C,0)),0)</f>
        <v>0.50584265969999997</v>
      </c>
      <c r="E24" s="12">
        <f>IFERROR(INDEX('Raw Data'!Q:Q,MATCH($A24,'Raw Data'!$C:$C,0)),0)</f>
        <v>646</v>
      </c>
      <c r="F24" s="20">
        <f>IFERROR(INDEX('Raw Data'!R:R,MATCH($A24,'Raw Data'!$C:$C,0)),0)</f>
        <v>23881.17</v>
      </c>
      <c r="G24" s="18">
        <f t="shared" si="0"/>
        <v>36.967755417956653</v>
      </c>
      <c r="H24" s="12">
        <f>IFERROR(INDEX('Raw Data'!W:W,MATCH($A24,'Raw Data'!$C:$C,0)),0)</f>
        <v>4128.04</v>
      </c>
      <c r="I24" s="18">
        <f t="shared" si="1"/>
        <v>0.17285752749969957</v>
      </c>
    </row>
    <row r="25" spans="1:9" ht="15" customHeight="1" x14ac:dyDescent="0.35">
      <c r="A25" s="7" t="s">
        <v>46</v>
      </c>
      <c r="B25" s="10">
        <f>IFERROR(INDEX('Raw Data'!D:D,MATCH($A25,'Raw Data'!$C:$C,0)),0)</f>
        <v>720.00059999999905</v>
      </c>
      <c r="C25" s="9">
        <f>IFERROR(INDEX('Raw Data'!O:O,MATCH($A25,'Raw Data'!$C:$C,0)),0)</f>
        <v>0.90906507579999996</v>
      </c>
      <c r="D25" s="9">
        <f>IFERROR(INDEX('Raw Data'!P:P,MATCH($A25,'Raw Data'!$C:$C,0)),0)</f>
        <v>0.30868226450000003</v>
      </c>
      <c r="E25" s="8">
        <f>IFERROR(INDEX('Raw Data'!Q:Q,MATCH($A25,'Raw Data'!$C:$C,0)),0)</f>
        <v>646</v>
      </c>
      <c r="F25" s="19">
        <f>IFERROR(INDEX('Raw Data'!R:R,MATCH($A25,'Raw Data'!$C:$C,0)),0)</f>
        <v>24054.75</v>
      </c>
      <c r="G25" s="17">
        <f t="shared" si="0"/>
        <v>37.236455108359131</v>
      </c>
      <c r="H25" s="8">
        <f>IFERROR(INDEX('Raw Data'!W:W,MATCH($A25,'Raw Data'!$C:$C,0)),0)</f>
        <v>4668.0499999999902</v>
      </c>
      <c r="I25" s="17">
        <f t="shared" si="1"/>
        <v>0.19405938536047934</v>
      </c>
    </row>
    <row r="26" spans="1:9" ht="15" customHeight="1" x14ac:dyDescent="0.35">
      <c r="A26" s="11" t="s">
        <v>49</v>
      </c>
      <c r="B26" s="14">
        <f>IFERROR(INDEX('Raw Data'!D:D,MATCH($A26,'Raw Data'!$C:$C,0)),0)</f>
        <v>720.00129999999899</v>
      </c>
      <c r="C26" s="13">
        <f>IFERROR(INDEX('Raw Data'!O:O,MATCH($A26,'Raw Data'!$C:$C,0)),0)</f>
        <v>0.90364086840000002</v>
      </c>
      <c r="D26" s="13">
        <f>IFERROR(INDEX('Raw Data'!P:P,MATCH($A26,'Raw Data'!$C:$C,0)),0)</f>
        <v>0.44765075789999997</v>
      </c>
      <c r="E26" s="12">
        <f>IFERROR(INDEX('Raw Data'!Q:Q,MATCH($A26,'Raw Data'!$C:$C,0)),0)</f>
        <v>645</v>
      </c>
      <c r="F26" s="20">
        <f>IFERROR(INDEX('Raw Data'!R:R,MATCH($A26,'Raw Data'!$C:$C,0)),0)</f>
        <v>23629.83</v>
      </c>
      <c r="G26" s="18">
        <f t="shared" si="0"/>
        <v>36.635395348837214</v>
      </c>
      <c r="H26" s="12">
        <f>IFERROR(INDEX('Raw Data'!W:W,MATCH($A26,'Raw Data'!$C:$C,0)),0)</f>
        <v>4732.4399999999996</v>
      </c>
      <c r="I26" s="18">
        <f t="shared" si="1"/>
        <v>0.20027397573321515</v>
      </c>
    </row>
    <row r="27" spans="1:9" ht="15" customHeight="1" x14ac:dyDescent="0.35">
      <c r="A27" s="7" t="s">
        <v>62</v>
      </c>
      <c r="B27" s="10">
        <f>IFERROR(INDEX('Raw Data'!D:D,MATCH($A27,'Raw Data'!$C:$C,0)),0)</f>
        <v>720.00209999999902</v>
      </c>
      <c r="C27" s="9">
        <f>IFERROR(INDEX('Raw Data'!O:O,MATCH($A27,'Raw Data'!$C:$C,0)),0)</f>
        <v>0.76432235410000005</v>
      </c>
      <c r="D27" s="9">
        <f>IFERROR(INDEX('Raw Data'!P:P,MATCH($A27,'Raw Data'!$C:$C,0)),0)</f>
        <v>0.53621270919999997</v>
      </c>
      <c r="E27" s="8">
        <f>IFERROR(INDEX('Raw Data'!Q:Q,MATCH($A27,'Raw Data'!$C:$C,0)),0)</f>
        <v>642</v>
      </c>
      <c r="F27" s="19">
        <f>IFERROR(INDEX('Raw Data'!R:R,MATCH($A27,'Raw Data'!$C:$C,0)),0)</f>
        <v>23810</v>
      </c>
      <c r="G27" s="17">
        <f t="shared" si="0"/>
        <v>37.087227414330215</v>
      </c>
      <c r="H27" s="8">
        <f>IFERROR(INDEX('Raw Data'!W:W,MATCH($A27,'Raw Data'!$C:$C,0)),0)</f>
        <v>4483.6499999999996</v>
      </c>
      <c r="I27" s="17">
        <f t="shared" si="1"/>
        <v>0.1883095338093238</v>
      </c>
    </row>
    <row r="28" spans="1:9" ht="15" customHeight="1" x14ac:dyDescent="0.35">
      <c r="A28" s="11" t="s">
        <v>87</v>
      </c>
      <c r="B28" s="14">
        <f>IFERROR(INDEX('Raw Data'!D:D,MATCH($A28,'Raw Data'!$C:$C,0)),0)</f>
        <v>716.60729999999899</v>
      </c>
      <c r="C28" s="13">
        <f>IFERROR(INDEX('Raw Data'!O:O,MATCH($A28,'Raw Data'!$C:$C,0)),0)</f>
        <v>0.74341707099999998</v>
      </c>
      <c r="D28" s="13">
        <f>IFERROR(INDEX('Raw Data'!P:P,MATCH($A28,'Raw Data'!$C:$C,0)),0)</f>
        <v>0.61718018669999997</v>
      </c>
      <c r="E28" s="12">
        <f>IFERROR(INDEX('Raw Data'!Q:Q,MATCH($A28,'Raw Data'!$C:$C,0)),0)</f>
        <v>637</v>
      </c>
      <c r="F28" s="20">
        <f>IFERROR(INDEX('Raw Data'!R:R,MATCH($A28,'Raw Data'!$C:$C,0)),0)</f>
        <v>23485.79</v>
      </c>
      <c r="G28" s="18">
        <f t="shared" si="0"/>
        <v>36.869372056514912</v>
      </c>
      <c r="H28" s="12">
        <f>IFERROR(INDEX('Raw Data'!W:W,MATCH($A28,'Raw Data'!$C:$C,0)),0)</f>
        <v>4597.7999999999902</v>
      </c>
      <c r="I28" s="18">
        <f t="shared" si="1"/>
        <v>0.19576944186250453</v>
      </c>
    </row>
    <row r="29" spans="1:9" ht="15" customHeight="1" x14ac:dyDescent="0.35">
      <c r="A29" s="7" t="s">
        <v>66</v>
      </c>
      <c r="B29" s="10">
        <f>IFERROR(INDEX('Raw Data'!D:D,MATCH($A29,'Raw Data'!$C:$C,0)),0)</f>
        <v>720.00099999999998</v>
      </c>
      <c r="C29" s="9">
        <f>IFERROR(INDEX('Raw Data'!O:O,MATCH($A29,'Raw Data'!$C:$C,0)),0)</f>
        <v>0.83388995290000001</v>
      </c>
      <c r="D29" s="9">
        <f>IFERROR(INDEX('Raw Data'!P:P,MATCH($A29,'Raw Data'!$C:$C,0)),0)</f>
        <v>0.3522517262</v>
      </c>
      <c r="E29" s="8">
        <f>IFERROR(INDEX('Raw Data'!Q:Q,MATCH($A29,'Raw Data'!$C:$C,0)),0)</f>
        <v>624</v>
      </c>
      <c r="F29" s="19">
        <f>IFERROR(INDEX('Raw Data'!R:R,MATCH($A29,'Raw Data'!$C:$C,0)),0)</f>
        <v>23011.16</v>
      </c>
      <c r="G29" s="17">
        <f t="shared" si="0"/>
        <v>36.876858974358974</v>
      </c>
      <c r="H29" s="8">
        <f>IFERROR(INDEX('Raw Data'!W:W,MATCH($A29,'Raw Data'!$C:$C,0)),0)</f>
        <v>4066.2</v>
      </c>
      <c r="I29" s="17">
        <f t="shared" si="1"/>
        <v>0.17670556373516155</v>
      </c>
    </row>
    <row r="30" spans="1:9" ht="15" customHeight="1" x14ac:dyDescent="0.35">
      <c r="A30" s="11" t="s">
        <v>71</v>
      </c>
      <c r="B30" s="14">
        <f>IFERROR(INDEX('Raw Data'!D:D,MATCH($A30,'Raw Data'!$C:$C,0)),0)</f>
        <v>720.00069999999903</v>
      </c>
      <c r="C30" s="13">
        <f>IFERROR(INDEX('Raw Data'!O:O,MATCH($A30,'Raw Data'!$C:$C,0)),0)</f>
        <v>0.76304148039999997</v>
      </c>
      <c r="D30" s="13">
        <f>IFERROR(INDEX('Raw Data'!P:P,MATCH($A30,'Raw Data'!$C:$C,0)),0)</f>
        <v>0.4577684648</v>
      </c>
      <c r="E30" s="12">
        <f>IFERROR(INDEX('Raw Data'!Q:Q,MATCH($A30,'Raw Data'!$C:$C,0)),0)</f>
        <v>608</v>
      </c>
      <c r="F30" s="20">
        <f>IFERROR(INDEX('Raw Data'!R:R,MATCH($A30,'Raw Data'!$C:$C,0)),0)</f>
        <v>22246.39</v>
      </c>
      <c r="G30" s="18">
        <f t="shared" si="0"/>
        <v>36.589457236842101</v>
      </c>
      <c r="H30" s="12">
        <f>IFERROR(INDEX('Raw Data'!W:W,MATCH($A30,'Raw Data'!$C:$C,0)),0)</f>
        <v>4020.74</v>
      </c>
      <c r="I30" s="18">
        <f t="shared" si="1"/>
        <v>0.18073673975867544</v>
      </c>
    </row>
    <row r="31" spans="1:9" ht="15" customHeight="1" x14ac:dyDescent="0.35">
      <c r="A31" s="7" t="s">
        <v>88</v>
      </c>
      <c r="B31" s="10">
        <f>IFERROR(INDEX('Raw Data'!D:D,MATCH($A31,'Raw Data'!$C:$C,0)),0)</f>
        <v>720.00039999999899</v>
      </c>
      <c r="C31" s="9">
        <f>IFERROR(INDEX('Raw Data'!O:O,MATCH($A31,'Raw Data'!$C:$C,0)),0)</f>
        <v>0.8170806572</v>
      </c>
      <c r="D31" s="9">
        <f>IFERROR(INDEX('Raw Data'!P:P,MATCH($A31,'Raw Data'!$C:$C,0)),0)</f>
        <v>0.46927443619999998</v>
      </c>
      <c r="E31" s="8">
        <f>IFERROR(INDEX('Raw Data'!Q:Q,MATCH($A31,'Raw Data'!$C:$C,0)),0)</f>
        <v>606</v>
      </c>
      <c r="F31" s="19">
        <f>IFERROR(INDEX('Raw Data'!R:R,MATCH($A31,'Raw Data'!$C:$C,0)),0)</f>
        <v>22265.46</v>
      </c>
      <c r="G31" s="17">
        <f t="shared" si="0"/>
        <v>36.741683168316833</v>
      </c>
      <c r="H31" s="8">
        <f>IFERROR(INDEX('Raw Data'!W:W,MATCH($A31,'Raw Data'!$C:$C,0)),0)</f>
        <v>4669.32</v>
      </c>
      <c r="I31" s="17">
        <f t="shared" si="1"/>
        <v>0.20971136459790185</v>
      </c>
    </row>
    <row r="32" spans="1:9" ht="15" customHeight="1" x14ac:dyDescent="0.35">
      <c r="A32" s="11" t="s">
        <v>74</v>
      </c>
      <c r="B32" s="14">
        <f>IFERROR(INDEX('Raw Data'!D:D,MATCH($A32,'Raw Data'!$C:$C,0)),0)</f>
        <v>717.872199999999</v>
      </c>
      <c r="C32" s="13">
        <f>IFERROR(INDEX('Raw Data'!O:O,MATCH($A32,'Raw Data'!$C:$C,0)),0)</f>
        <v>0.8591101592</v>
      </c>
      <c r="D32" s="13">
        <f>IFERROR(INDEX('Raw Data'!P:P,MATCH($A32,'Raw Data'!$C:$C,0)),0)</f>
        <v>0.50905524010000003</v>
      </c>
      <c r="E32" s="12">
        <f>IFERROR(INDEX('Raw Data'!Q:Q,MATCH($A32,'Raw Data'!$C:$C,0)),0)</f>
        <v>546</v>
      </c>
      <c r="F32" s="20">
        <f>IFERROR(INDEX('Raw Data'!R:R,MATCH($A32,'Raw Data'!$C:$C,0)),0)</f>
        <v>20184.75</v>
      </c>
      <c r="G32" s="18">
        <f t="shared" si="0"/>
        <v>36.968406593406591</v>
      </c>
      <c r="H32" s="12">
        <f>IFERROR(INDEX('Raw Data'!W:W,MATCH($A32,'Raw Data'!$C:$C,0)),0)</f>
        <v>3844.84</v>
      </c>
      <c r="I32" s="18">
        <f t="shared" si="1"/>
        <v>0.19048241865764998</v>
      </c>
    </row>
    <row r="33" spans="1:9" ht="15" customHeight="1" x14ac:dyDescent="0.35">
      <c r="A33" s="7" t="s">
        <v>59</v>
      </c>
      <c r="B33" s="10">
        <f>IFERROR(INDEX('Raw Data'!D:D,MATCH($A33,'Raw Data'!$C:$C,0)),0)</f>
        <v>720.00099999999895</v>
      </c>
      <c r="C33" s="9">
        <f>IFERROR(INDEX('Raw Data'!O:O,MATCH($A33,'Raw Data'!$C:$C,0)),0)</f>
        <v>0.6622297747</v>
      </c>
      <c r="D33" s="9">
        <f>IFERROR(INDEX('Raw Data'!P:P,MATCH($A33,'Raw Data'!$C:$C,0)),0)</f>
        <v>0.37855555959999998</v>
      </c>
      <c r="E33" s="8">
        <f>IFERROR(INDEX('Raw Data'!Q:Q,MATCH($A33,'Raw Data'!$C:$C,0)),0)</f>
        <v>539</v>
      </c>
      <c r="F33" s="19">
        <f>IFERROR(INDEX('Raw Data'!R:R,MATCH($A33,'Raw Data'!$C:$C,0)),0)</f>
        <v>21237.87</v>
      </c>
      <c r="G33" s="17">
        <f t="shared" si="0"/>
        <v>39.402356215213359</v>
      </c>
      <c r="H33" s="8">
        <f>IFERROR(INDEX('Raw Data'!W:W,MATCH($A33,'Raw Data'!$C:$C,0)),0)</f>
        <v>3857.05</v>
      </c>
      <c r="I33" s="17">
        <f t="shared" si="1"/>
        <v>0.18161190364193774</v>
      </c>
    </row>
    <row r="34" spans="1:9" ht="15" customHeight="1" x14ac:dyDescent="0.35">
      <c r="A34" s="11" t="s">
        <v>82</v>
      </c>
      <c r="B34" s="14">
        <f>IFERROR(INDEX('Raw Data'!D:D,MATCH($A34,'Raw Data'!$C:$C,0)),0)</f>
        <v>720.00159999999903</v>
      </c>
      <c r="C34" s="13">
        <f>IFERROR(INDEX('Raw Data'!O:O,MATCH($A34,'Raw Data'!$C:$C,0)),0)</f>
        <v>0.75544596009999998</v>
      </c>
      <c r="D34" s="13">
        <f>IFERROR(INDEX('Raw Data'!P:P,MATCH($A34,'Raw Data'!$C:$C,0)),0)</f>
        <v>0.50724101590000004</v>
      </c>
      <c r="E34" s="12">
        <f>IFERROR(INDEX('Raw Data'!Q:Q,MATCH($A34,'Raw Data'!$C:$C,0)),0)</f>
        <v>529</v>
      </c>
      <c r="F34" s="20">
        <f>IFERROR(INDEX('Raw Data'!R:R,MATCH($A34,'Raw Data'!$C:$C,0)),0)</f>
        <v>19665.82</v>
      </c>
      <c r="G34" s="18">
        <f t="shared" si="0"/>
        <v>37.175463137996218</v>
      </c>
      <c r="H34" s="12">
        <f>IFERROR(INDEX('Raw Data'!W:W,MATCH($A34,'Raw Data'!$C:$C,0)),0)</f>
        <v>4273.24</v>
      </c>
      <c r="I34" s="18">
        <f t="shared" si="1"/>
        <v>0.21729274446730418</v>
      </c>
    </row>
    <row r="35" spans="1:9" ht="15" customHeight="1" x14ac:dyDescent="0.35">
      <c r="A35" s="7" t="s">
        <v>63</v>
      </c>
      <c r="B35" s="10">
        <f>IFERROR(INDEX('Raw Data'!D:D,MATCH($A35,'Raw Data'!$C:$C,0)),0)</f>
        <v>720.00109999999995</v>
      </c>
      <c r="C35" s="9">
        <f>IFERROR(INDEX('Raw Data'!O:O,MATCH($A35,'Raw Data'!$C:$C,0)),0)</f>
        <v>0.65593955339999999</v>
      </c>
      <c r="D35" s="9">
        <f>IFERROR(INDEX('Raw Data'!P:P,MATCH($A35,'Raw Data'!$C:$C,0)),0)</f>
        <v>0.43903241570000001</v>
      </c>
      <c r="E35" s="8">
        <f>IFERROR(INDEX('Raw Data'!Q:Q,MATCH($A35,'Raw Data'!$C:$C,0)),0)</f>
        <v>489</v>
      </c>
      <c r="F35" s="19">
        <f>IFERROR(INDEX('Raw Data'!R:R,MATCH($A35,'Raw Data'!$C:$C,0)),0)</f>
        <v>18253.95</v>
      </c>
      <c r="G35" s="17">
        <f t="shared" si="0"/>
        <v>37.329141104294479</v>
      </c>
      <c r="H35" s="8">
        <f>IFERROR(INDEX('Raw Data'!W:W,MATCH($A35,'Raw Data'!$C:$C,0)),0)</f>
        <v>3161.41</v>
      </c>
      <c r="I35" s="17">
        <f t="shared" si="1"/>
        <v>0.17319046014698186</v>
      </c>
    </row>
    <row r="36" spans="1:9" ht="15" customHeight="1" x14ac:dyDescent="0.35">
      <c r="A36" s="11" t="s">
        <v>89</v>
      </c>
      <c r="B36" s="14">
        <f>IFERROR(INDEX('Raw Data'!D:D,MATCH($A36,'Raw Data'!$C:$C,0)),0)</f>
        <v>720.00139999999999</v>
      </c>
      <c r="C36" s="13">
        <f>IFERROR(INDEX('Raw Data'!O:O,MATCH($A36,'Raw Data'!$C:$C,0)),0)</f>
        <v>0.68701838640000001</v>
      </c>
      <c r="D36" s="13">
        <f>IFERROR(INDEX('Raw Data'!P:P,MATCH($A36,'Raw Data'!$C:$C,0)),0)</f>
        <v>0.45581074620000001</v>
      </c>
      <c r="E36" s="12">
        <f>IFERROR(INDEX('Raw Data'!Q:Q,MATCH($A36,'Raw Data'!$C:$C,0)),0)</f>
        <v>469</v>
      </c>
      <c r="F36" s="20">
        <f>IFERROR(INDEX('Raw Data'!R:R,MATCH($A36,'Raw Data'!$C:$C,0)),0)</f>
        <v>17513.490000000002</v>
      </c>
      <c r="G36" s="18">
        <f t="shared" si="0"/>
        <v>37.342196162046911</v>
      </c>
      <c r="H36" s="12">
        <f>IFERROR(INDEX('Raw Data'!W:W,MATCH($A36,'Raw Data'!$C:$C,0)),0)</f>
        <v>3456.21</v>
      </c>
      <c r="I36" s="18">
        <f t="shared" si="1"/>
        <v>0.19734558902880006</v>
      </c>
    </row>
    <row r="37" spans="1:9" ht="15" customHeight="1" x14ac:dyDescent="0.35">
      <c r="A37" s="7" t="s">
        <v>51</v>
      </c>
      <c r="B37" s="10">
        <f>IFERROR(INDEX('Raw Data'!D:D,MATCH($A37,'Raw Data'!$C:$C,0)),0)</f>
        <v>720.00289999999904</v>
      </c>
      <c r="C37" s="9">
        <f>IFERROR(INDEX('Raw Data'!O:O,MATCH($A37,'Raw Data'!$C:$C,0)),0)</f>
        <v>0.72451402629999995</v>
      </c>
      <c r="D37" s="9">
        <f>IFERROR(INDEX('Raw Data'!P:P,MATCH($A37,'Raw Data'!$C:$C,0)),0)</f>
        <v>0.4256535293</v>
      </c>
      <c r="E37" s="8">
        <f>IFERROR(INDEX('Raw Data'!Q:Q,MATCH($A37,'Raw Data'!$C:$C,0)),0)</f>
        <v>465</v>
      </c>
      <c r="F37" s="19">
        <f>IFERROR(INDEX('Raw Data'!R:R,MATCH($A37,'Raw Data'!$C:$C,0)),0)</f>
        <v>16923.509999999998</v>
      </c>
      <c r="G37" s="17">
        <f t="shared" ref="G37:G67" si="2">IFERROR(F37/E37,"-")</f>
        <v>36.39464516129032</v>
      </c>
      <c r="H37" s="8">
        <f>IFERROR(INDEX('Raw Data'!W:W,MATCH($A37,'Raw Data'!$C:$C,0)),0)</f>
        <v>3173.74</v>
      </c>
      <c r="I37" s="17">
        <f t="shared" ref="I37:I67" si="3">IFERROR(H37/F37,"-")</f>
        <v>0.18753438264284419</v>
      </c>
    </row>
    <row r="38" spans="1:9" ht="15" customHeight="1" x14ac:dyDescent="0.35">
      <c r="A38" s="11" t="s">
        <v>55</v>
      </c>
      <c r="B38" s="14">
        <f>IFERROR(INDEX('Raw Data'!D:D,MATCH($A38,'Raw Data'!$C:$C,0)),0)</f>
        <v>720.00109999999904</v>
      </c>
      <c r="C38" s="13">
        <f>IFERROR(INDEX('Raw Data'!O:O,MATCH($A38,'Raw Data'!$C:$C,0)),0)</f>
        <v>0.69673435220000002</v>
      </c>
      <c r="D38" s="13">
        <f>IFERROR(INDEX('Raw Data'!P:P,MATCH($A38,'Raw Data'!$C:$C,0)),0)</f>
        <v>0.40370238580000001</v>
      </c>
      <c r="E38" s="12">
        <f>IFERROR(INDEX('Raw Data'!Q:Q,MATCH($A38,'Raw Data'!$C:$C,0)),0)</f>
        <v>438</v>
      </c>
      <c r="F38" s="20">
        <f>IFERROR(INDEX('Raw Data'!R:R,MATCH($A38,'Raw Data'!$C:$C,0)),0)</f>
        <v>15854.01</v>
      </c>
      <c r="G38" s="18">
        <f t="shared" si="2"/>
        <v>36.1963698630137</v>
      </c>
      <c r="H38" s="12">
        <f>IFERROR(INDEX('Raw Data'!W:W,MATCH($A38,'Raw Data'!$C:$C,0)),0)</f>
        <v>3339.0699999999902</v>
      </c>
      <c r="I38" s="18">
        <f t="shared" si="3"/>
        <v>0.21061359239712793</v>
      </c>
    </row>
    <row r="39" spans="1:9" ht="15" customHeight="1" x14ac:dyDescent="0.35">
      <c r="A39" s="7" t="s">
        <v>69</v>
      </c>
      <c r="B39" s="10">
        <f>IFERROR(INDEX('Raw Data'!D:D,MATCH($A39,'Raw Data'!$C:$C,0)),0)</f>
        <v>720.00109999999995</v>
      </c>
      <c r="C39" s="9">
        <f>IFERROR(INDEX('Raw Data'!O:O,MATCH($A39,'Raw Data'!$C:$C,0)),0)</f>
        <v>0.8318728957</v>
      </c>
      <c r="D39" s="9">
        <f>IFERROR(INDEX('Raw Data'!P:P,MATCH($A39,'Raw Data'!$C:$C,0)),0)</f>
        <v>0.34490292500000003</v>
      </c>
      <c r="E39" s="8">
        <f>IFERROR(INDEX('Raw Data'!Q:Q,MATCH($A39,'Raw Data'!$C:$C,0)),0)</f>
        <v>431</v>
      </c>
      <c r="F39" s="19">
        <f>IFERROR(INDEX('Raw Data'!R:R,MATCH($A39,'Raw Data'!$C:$C,0)),0)</f>
        <v>16107.53</v>
      </c>
      <c r="G39" s="17">
        <f t="shared" si="2"/>
        <v>37.372459396751744</v>
      </c>
      <c r="H39" s="8">
        <f>IFERROR(INDEX('Raw Data'!W:W,MATCH($A39,'Raw Data'!$C:$C,0)),0)</f>
        <v>3416.0699999999902</v>
      </c>
      <c r="I39" s="17">
        <f t="shared" si="3"/>
        <v>0.21207907109283608</v>
      </c>
    </row>
    <row r="40" spans="1:9" ht="15" customHeight="1" x14ac:dyDescent="0.35">
      <c r="A40" s="11" t="s">
        <v>81</v>
      </c>
      <c r="B40" s="14">
        <f>IFERROR(INDEX('Raw Data'!D:D,MATCH($A40,'Raw Data'!$C:$C,0)),0)</f>
        <v>720.00089999999898</v>
      </c>
      <c r="C40" s="13">
        <f>IFERROR(INDEX('Raw Data'!O:O,MATCH($A40,'Raw Data'!$C:$C,0)),0)</f>
        <v>0.61659284039999995</v>
      </c>
      <c r="D40" s="13">
        <f>IFERROR(INDEX('Raw Data'!P:P,MATCH($A40,'Raw Data'!$C:$C,0)),0)</f>
        <v>0.35751510199999997</v>
      </c>
      <c r="E40" s="12">
        <f>IFERROR(INDEX('Raw Data'!Q:Q,MATCH($A40,'Raw Data'!$C:$C,0)),0)</f>
        <v>426</v>
      </c>
      <c r="F40" s="20">
        <f>IFERROR(INDEX('Raw Data'!R:R,MATCH($A40,'Raw Data'!$C:$C,0)),0)</f>
        <v>15793.92</v>
      </c>
      <c r="G40" s="18">
        <f t="shared" si="2"/>
        <v>37.074929577464786</v>
      </c>
      <c r="H40" s="12">
        <f>IFERROR(INDEX('Raw Data'!W:W,MATCH($A40,'Raw Data'!$C:$C,0)),0)</f>
        <v>2953.3299999999899</v>
      </c>
      <c r="I40" s="18">
        <f t="shared" si="3"/>
        <v>0.18699157650538878</v>
      </c>
    </row>
    <row r="41" spans="1:9" ht="15" customHeight="1" x14ac:dyDescent="0.35">
      <c r="A41" s="7" t="s">
        <v>76</v>
      </c>
      <c r="B41" s="10">
        <f>IFERROR(INDEX('Raw Data'!D:D,MATCH($A41,'Raw Data'!$C:$C,0)),0)</f>
        <v>720.00099999999998</v>
      </c>
      <c r="C41" s="9">
        <f>IFERROR(INDEX('Raw Data'!O:O,MATCH($A41,'Raw Data'!$C:$C,0)),0)</f>
        <v>0.64293994040000002</v>
      </c>
      <c r="D41" s="9">
        <f>IFERROR(INDEX('Raw Data'!P:P,MATCH($A41,'Raw Data'!$C:$C,0)),0)</f>
        <v>0.37473683209999997</v>
      </c>
      <c r="E41" s="8">
        <f>IFERROR(INDEX('Raw Data'!Q:Q,MATCH($A41,'Raw Data'!$C:$C,0)),0)</f>
        <v>425</v>
      </c>
      <c r="F41" s="19">
        <f>IFERROR(INDEX('Raw Data'!R:R,MATCH($A41,'Raw Data'!$C:$C,0)),0)</f>
        <v>15758.49</v>
      </c>
      <c r="G41" s="17">
        <f t="shared" si="2"/>
        <v>37.078800000000001</v>
      </c>
      <c r="H41" s="8">
        <f>IFERROR(INDEX('Raw Data'!W:W,MATCH($A41,'Raw Data'!$C:$C,0)),0)</f>
        <v>2906.7</v>
      </c>
      <c r="I41" s="17">
        <f t="shared" si="3"/>
        <v>0.18445295202776407</v>
      </c>
    </row>
    <row r="42" spans="1:9" ht="15" customHeight="1" x14ac:dyDescent="0.35">
      <c r="A42" s="11" t="s">
        <v>64</v>
      </c>
      <c r="B42" s="14">
        <f>IFERROR(INDEX('Raw Data'!D:D,MATCH($A42,'Raw Data'!$C:$C,0)),0)</f>
        <v>720.00099999999895</v>
      </c>
      <c r="C42" s="13">
        <f>IFERROR(INDEX('Raw Data'!O:O,MATCH($A42,'Raw Data'!$C:$C,0)),0)</f>
        <v>0.62723468439999996</v>
      </c>
      <c r="D42" s="13">
        <f>IFERROR(INDEX('Raw Data'!P:P,MATCH($A42,'Raw Data'!$C:$C,0)),0)</f>
        <v>0.4001380839</v>
      </c>
      <c r="E42" s="12">
        <f>IFERROR(INDEX('Raw Data'!Q:Q,MATCH($A42,'Raw Data'!$C:$C,0)),0)</f>
        <v>407</v>
      </c>
      <c r="F42" s="20">
        <f>IFERROR(INDEX('Raw Data'!R:R,MATCH($A42,'Raw Data'!$C:$C,0)),0)</f>
        <v>15170.49</v>
      </c>
      <c r="G42" s="18">
        <f t="shared" si="2"/>
        <v>37.273931203931205</v>
      </c>
      <c r="H42" s="12">
        <f>IFERROR(INDEX('Raw Data'!W:W,MATCH($A42,'Raw Data'!$C:$C,0)),0)</f>
        <v>3086.45</v>
      </c>
      <c r="I42" s="18">
        <f t="shared" si="3"/>
        <v>0.20345091028701115</v>
      </c>
    </row>
    <row r="43" spans="1:9" ht="15" customHeight="1" x14ac:dyDescent="0.35">
      <c r="A43" s="7" t="s">
        <v>70</v>
      </c>
      <c r="B43" s="10">
        <f>IFERROR(INDEX('Raw Data'!D:D,MATCH($A43,'Raw Data'!$C:$C,0)),0)</f>
        <v>716.2894</v>
      </c>
      <c r="C43" s="9">
        <f>IFERROR(INDEX('Raw Data'!O:O,MATCH($A43,'Raw Data'!$C:$C,0)),0)</f>
        <v>0.91747860569999995</v>
      </c>
      <c r="D43" s="9">
        <f>IFERROR(INDEX('Raw Data'!P:P,MATCH($A43,'Raw Data'!$C:$C,0)),0)</f>
        <v>8.4766704799999995E-2</v>
      </c>
      <c r="E43" s="8">
        <f>IFERROR(INDEX('Raw Data'!Q:Q,MATCH($A43,'Raw Data'!$C:$C,0)),0)</f>
        <v>384</v>
      </c>
      <c r="F43" s="19">
        <f>IFERROR(INDEX('Raw Data'!R:R,MATCH($A43,'Raw Data'!$C:$C,0)),0)</f>
        <v>14152.04</v>
      </c>
      <c r="G43" s="17">
        <f t="shared" si="2"/>
        <v>36.854270833333338</v>
      </c>
      <c r="H43" s="8">
        <f>IFERROR(INDEX('Raw Data'!W:W,MATCH($A43,'Raw Data'!$C:$C,0)),0)</f>
        <v>2683.18</v>
      </c>
      <c r="I43" s="17">
        <f t="shared" si="3"/>
        <v>0.18959669418684513</v>
      </c>
    </row>
    <row r="44" spans="1:9" ht="15" customHeight="1" x14ac:dyDescent="0.35">
      <c r="A44" s="11" t="s">
        <v>65</v>
      </c>
      <c r="B44" s="14">
        <f>IFERROR(INDEX('Raw Data'!D:D,MATCH($A44,'Raw Data'!$C:$C,0)),0)</f>
        <v>720.00059999999996</v>
      </c>
      <c r="C44" s="13">
        <f>IFERROR(INDEX('Raw Data'!O:O,MATCH($A44,'Raw Data'!$C:$C,0)),0)</f>
        <v>0.38173343189999998</v>
      </c>
      <c r="D44" s="13">
        <f>IFERROR(INDEX('Raw Data'!P:P,MATCH($A44,'Raw Data'!$C:$C,0)),0)</f>
        <v>0.5198671413</v>
      </c>
      <c r="E44" s="12">
        <f>IFERROR(INDEX('Raw Data'!Q:Q,MATCH($A44,'Raw Data'!$C:$C,0)),0)</f>
        <v>275</v>
      </c>
      <c r="F44" s="20">
        <f>IFERROR(INDEX('Raw Data'!R:R,MATCH($A44,'Raw Data'!$C:$C,0)),0)</f>
        <v>10173.1</v>
      </c>
      <c r="G44" s="18">
        <f t="shared" si="2"/>
        <v>36.99309090909091</v>
      </c>
      <c r="H44" s="12">
        <f>IFERROR(INDEX('Raw Data'!W:W,MATCH($A44,'Raw Data'!$C:$C,0)),0)</f>
        <v>2101.69</v>
      </c>
      <c r="I44" s="18">
        <f t="shared" si="3"/>
        <v>0.20659287729404016</v>
      </c>
    </row>
    <row r="45" spans="1:9" ht="15" customHeight="1" x14ac:dyDescent="0.35">
      <c r="A45" s="7" t="s">
        <v>48</v>
      </c>
      <c r="B45" s="10">
        <f>IFERROR(INDEX('Raw Data'!D:D,MATCH($A45,'Raw Data'!$C:$C,0)),0)</f>
        <v>720.00019999999995</v>
      </c>
      <c r="C45" s="9">
        <f>IFERROR(INDEX('Raw Data'!O:O,MATCH($A45,'Raw Data'!$C:$C,0)),0)</f>
        <v>0.62704843690000001</v>
      </c>
      <c r="D45" s="9">
        <f>IFERROR(INDEX('Raw Data'!P:P,MATCH($A45,'Raw Data'!$C:$C,0)),0)</f>
        <v>0.17736485960000001</v>
      </c>
      <c r="E45" s="8">
        <f>IFERROR(INDEX('Raw Data'!Q:Q,MATCH($A45,'Raw Data'!$C:$C,0)),0)</f>
        <v>271</v>
      </c>
      <c r="F45" s="19">
        <f>IFERROR(INDEX('Raw Data'!R:R,MATCH($A45,'Raw Data'!$C:$C,0)),0)</f>
        <v>9895.4500000000007</v>
      </c>
      <c r="G45" s="17">
        <f t="shared" si="2"/>
        <v>36.514575645756459</v>
      </c>
      <c r="H45" s="8">
        <f>IFERROR(INDEX('Raw Data'!W:W,MATCH($A45,'Raw Data'!$C:$C,0)),0)</f>
        <v>1881.1099999999899</v>
      </c>
      <c r="I45" s="17">
        <f t="shared" si="3"/>
        <v>0.19009847960426152</v>
      </c>
    </row>
    <row r="46" spans="1:9" ht="15" customHeight="1" x14ac:dyDescent="0.35">
      <c r="A46" s="11" t="s">
        <v>58</v>
      </c>
      <c r="B46" s="14">
        <f>IFERROR(INDEX('Raw Data'!D:D,MATCH($A46,'Raw Data'!$C:$C,0)),0)</f>
        <v>720.00089999999898</v>
      </c>
      <c r="C46" s="13">
        <f>IFERROR(INDEX('Raw Data'!O:O,MATCH($A46,'Raw Data'!$C:$C,0)),0)</f>
        <v>0.5016304841</v>
      </c>
      <c r="D46" s="13">
        <f>IFERROR(INDEX('Raw Data'!P:P,MATCH($A46,'Raw Data'!$C:$C,0)),0)</f>
        <v>0.41457561780000002</v>
      </c>
      <c r="E46" s="12">
        <f>IFERROR(INDEX('Raw Data'!Q:Q,MATCH($A46,'Raw Data'!$C:$C,0)),0)</f>
        <v>264</v>
      </c>
      <c r="F46" s="20">
        <f>IFERROR(INDEX('Raw Data'!R:R,MATCH($A46,'Raw Data'!$C:$C,0)),0)</f>
        <v>9637.2900000000009</v>
      </c>
      <c r="G46" s="18">
        <f t="shared" si="2"/>
        <v>36.504886363636366</v>
      </c>
      <c r="H46" s="12">
        <f>IFERROR(INDEX('Raw Data'!W:W,MATCH($A46,'Raw Data'!$C:$C,0)),0)</f>
        <v>1879.77</v>
      </c>
      <c r="I46" s="18">
        <f t="shared" si="3"/>
        <v>0.19505172097135187</v>
      </c>
    </row>
    <row r="47" spans="1:9" ht="15" customHeight="1" x14ac:dyDescent="0.35">
      <c r="A47" s="7" t="s">
        <v>67</v>
      </c>
      <c r="B47" s="10">
        <f>IFERROR(INDEX('Raw Data'!D:D,MATCH($A47,'Raw Data'!$C:$C,0)),0)</f>
        <v>720.00059999999905</v>
      </c>
      <c r="C47" s="9">
        <f>IFERROR(INDEX('Raw Data'!O:O,MATCH($A47,'Raw Data'!$C:$C,0)),0)</f>
        <v>0.25694339700000002</v>
      </c>
      <c r="D47" s="9">
        <f>IFERROR(INDEX('Raw Data'!P:P,MATCH($A47,'Raw Data'!$C:$C,0)),0)</f>
        <v>0.53158604840000001</v>
      </c>
      <c r="E47" s="8">
        <f>IFERROR(INDEX('Raw Data'!Q:Q,MATCH($A47,'Raw Data'!$C:$C,0)),0)</f>
        <v>191</v>
      </c>
      <c r="F47" s="19">
        <f>IFERROR(INDEX('Raw Data'!R:R,MATCH($A47,'Raw Data'!$C:$C,0)),0)</f>
        <v>7184.44</v>
      </c>
      <c r="G47" s="17">
        <f t="shared" si="2"/>
        <v>37.614869109947641</v>
      </c>
      <c r="H47" s="8">
        <f>IFERROR(INDEX('Raw Data'!W:W,MATCH($A47,'Raw Data'!$C:$C,0)),0)</f>
        <v>1199.3699999999999</v>
      </c>
      <c r="I47" s="17">
        <f t="shared" si="3"/>
        <v>0.16693994243114285</v>
      </c>
    </row>
    <row r="48" spans="1:9" ht="15" customHeight="1" x14ac:dyDescent="0.35">
      <c r="A48" s="11" t="s">
        <v>83</v>
      </c>
      <c r="B48" s="14">
        <f>IFERROR(INDEX('Raw Data'!D:D,MATCH($A48,'Raw Data'!$C:$C,0)),0)</f>
        <v>720.00130000000001</v>
      </c>
      <c r="C48" s="13">
        <f>IFERROR(INDEX('Raw Data'!O:O,MATCH($A48,'Raw Data'!$C:$C,0)),0)</f>
        <v>0.31394096090000001</v>
      </c>
      <c r="D48" s="13">
        <f>IFERROR(INDEX('Raw Data'!P:P,MATCH($A48,'Raw Data'!$C:$C,0)),0)</f>
        <v>0.47606043059999997</v>
      </c>
      <c r="E48" s="12">
        <f>IFERROR(INDEX('Raw Data'!Q:Q,MATCH($A48,'Raw Data'!$C:$C,0)),0)</f>
        <v>190</v>
      </c>
      <c r="F48" s="20">
        <f>IFERROR(INDEX('Raw Data'!R:R,MATCH($A48,'Raw Data'!$C:$C,0)),0)</f>
        <v>7076.13</v>
      </c>
      <c r="G48" s="18">
        <f t="shared" si="2"/>
        <v>37.242789473684212</v>
      </c>
      <c r="H48" s="12">
        <f>IFERROR(INDEX('Raw Data'!W:W,MATCH($A48,'Raw Data'!$C:$C,0)),0)</f>
        <v>1368.87</v>
      </c>
      <c r="I48" s="18">
        <f t="shared" si="3"/>
        <v>0.19344896150862123</v>
      </c>
    </row>
    <row r="49" spans="1:9" ht="15" customHeight="1" x14ac:dyDescent="0.35">
      <c r="A49" s="7" t="s">
        <v>78</v>
      </c>
      <c r="B49" s="10">
        <f>IFERROR(INDEX('Raw Data'!D:D,MATCH($A49,'Raw Data'!$C:$C,0)),0)</f>
        <v>720.00279999999998</v>
      </c>
      <c r="C49" s="9">
        <f>IFERROR(INDEX('Raw Data'!O:O,MATCH($A49,'Raw Data'!$C:$C,0)),0)</f>
        <v>0.71902387050000005</v>
      </c>
      <c r="D49" s="9">
        <f>IFERROR(INDEX('Raw Data'!P:P,MATCH($A49,'Raw Data'!$C:$C,0)),0)</f>
        <v>0.41160310849999998</v>
      </c>
      <c r="E49" s="8">
        <f>IFERROR(INDEX('Raw Data'!Q:Q,MATCH($A49,'Raw Data'!$C:$C,0)),0)</f>
        <v>172</v>
      </c>
      <c r="F49" s="19">
        <f>IFERROR(INDEX('Raw Data'!R:R,MATCH($A49,'Raw Data'!$C:$C,0)),0)</f>
        <v>3721.15</v>
      </c>
      <c r="G49" s="17">
        <f t="shared" si="2"/>
        <v>21.634593023255814</v>
      </c>
      <c r="H49" s="8">
        <f>IFERROR(INDEX('Raw Data'!W:W,MATCH($A49,'Raw Data'!$C:$C,0)),0)</f>
        <v>1981.69999999999</v>
      </c>
      <c r="I49" s="17">
        <f t="shared" si="3"/>
        <v>0.53255042124074281</v>
      </c>
    </row>
    <row r="50" spans="1:9" ht="15" customHeight="1" x14ac:dyDescent="0.35">
      <c r="A50" s="11" t="s">
        <v>56</v>
      </c>
      <c r="B50" s="14">
        <f>IFERROR(INDEX('Raw Data'!D:D,MATCH($A50,'Raw Data'!$C:$C,0)),0)</f>
        <v>720.00109999999995</v>
      </c>
      <c r="C50" s="13">
        <f>IFERROR(INDEX('Raw Data'!O:O,MATCH($A50,'Raw Data'!$C:$C,0)),0)</f>
        <v>0.80945681889999999</v>
      </c>
      <c r="D50" s="13">
        <f>IFERROR(INDEX('Raw Data'!P:P,MATCH($A50,'Raw Data'!$C:$C,0)),0)</f>
        <v>0.34230515680000001</v>
      </c>
      <c r="E50" s="12">
        <f>IFERROR(INDEX('Raw Data'!Q:Q,MATCH($A50,'Raw Data'!$C:$C,0)),0)</f>
        <v>167</v>
      </c>
      <c r="F50" s="20">
        <f>IFERROR(INDEX('Raw Data'!R:R,MATCH($A50,'Raw Data'!$C:$C,0)),0)</f>
        <v>6181.65</v>
      </c>
      <c r="G50" s="18">
        <f t="shared" si="2"/>
        <v>37.015868263473052</v>
      </c>
      <c r="H50" s="12">
        <f>IFERROR(INDEX('Raw Data'!W:W,MATCH($A50,'Raw Data'!$C:$C,0)),0)</f>
        <v>2394.96</v>
      </c>
      <c r="I50" s="18">
        <f t="shared" si="3"/>
        <v>0.38743054038970182</v>
      </c>
    </row>
    <row r="51" spans="1:9" ht="15" customHeight="1" x14ac:dyDescent="0.35">
      <c r="A51" s="7" t="s">
        <v>52</v>
      </c>
      <c r="B51" s="10">
        <f>IFERROR(INDEX('Raw Data'!D:D,MATCH($A51,'Raw Data'!$C:$C,0)),0)</f>
        <v>720.00139999999999</v>
      </c>
      <c r="C51" s="9">
        <f>IFERROR(INDEX('Raw Data'!O:O,MATCH($A51,'Raw Data'!$C:$C,0)),0)</f>
        <v>0.2095594536</v>
      </c>
      <c r="D51" s="9">
        <f>IFERROR(INDEX('Raw Data'!P:P,MATCH($A51,'Raw Data'!$C:$C,0)),0)</f>
        <v>0.53931421079999997</v>
      </c>
      <c r="E51" s="8">
        <f>IFERROR(INDEX('Raw Data'!Q:Q,MATCH($A51,'Raw Data'!$C:$C,0)),0)</f>
        <v>151</v>
      </c>
      <c r="F51" s="19">
        <f>IFERROR(INDEX('Raw Data'!R:R,MATCH($A51,'Raw Data'!$C:$C,0)),0)</f>
        <v>5633.1</v>
      </c>
      <c r="G51" s="17">
        <f t="shared" si="2"/>
        <v>37.305298013245036</v>
      </c>
      <c r="H51" s="8">
        <f>IFERROR(INDEX('Raw Data'!W:W,MATCH($A51,'Raw Data'!$C:$C,0)),0)</f>
        <v>998.02</v>
      </c>
      <c r="I51" s="17">
        <f t="shared" si="3"/>
        <v>0.17717065203884183</v>
      </c>
    </row>
    <row r="52" spans="1:9" ht="15" customHeight="1" x14ac:dyDescent="0.35">
      <c r="A52" s="11" t="s">
        <v>61</v>
      </c>
      <c r="B52" s="14">
        <f>IFERROR(INDEX('Raw Data'!D:D,MATCH($A52,'Raw Data'!$C:$C,0)),0)</f>
        <v>720.00120000000004</v>
      </c>
      <c r="C52" s="13">
        <f>IFERROR(INDEX('Raw Data'!O:O,MATCH($A52,'Raw Data'!$C:$C,0)),0)</f>
        <v>0.2771100937</v>
      </c>
      <c r="D52" s="13">
        <f>IFERROR(INDEX('Raw Data'!P:P,MATCH($A52,'Raw Data'!$C:$C,0)),0)</f>
        <v>0.4300680234</v>
      </c>
      <c r="E52" s="12">
        <f>IFERROR(INDEX('Raw Data'!Q:Q,MATCH($A52,'Raw Data'!$C:$C,0)),0)</f>
        <v>127</v>
      </c>
      <c r="F52" s="20">
        <f>IFERROR(INDEX('Raw Data'!R:R,MATCH($A52,'Raw Data'!$C:$C,0)),0)</f>
        <v>4701.93</v>
      </c>
      <c r="G52" s="18">
        <f t="shared" si="2"/>
        <v>37.023070866141737</v>
      </c>
      <c r="H52" s="12">
        <f>IFERROR(INDEX('Raw Data'!W:W,MATCH($A52,'Raw Data'!$C:$C,0)),0)</f>
        <v>1105.53</v>
      </c>
      <c r="I52" s="18">
        <f t="shared" si="3"/>
        <v>0.23512259859249285</v>
      </c>
    </row>
    <row r="53" spans="1:9" ht="15" customHeight="1" x14ac:dyDescent="0.35">
      <c r="A53" s="7" t="s">
        <v>77</v>
      </c>
      <c r="B53" s="10">
        <f>IFERROR(INDEX('Raw Data'!D:D,MATCH($A53,'Raw Data'!$C:$C,0)),0)</f>
        <v>720.000799999999</v>
      </c>
      <c r="C53" s="9">
        <f>IFERROR(INDEX('Raw Data'!O:O,MATCH($A53,'Raw Data'!$C:$C,0)),0)</f>
        <v>0.19349520170000001</v>
      </c>
      <c r="D53" s="9">
        <f>IFERROR(INDEX('Raw Data'!P:P,MATCH($A53,'Raw Data'!$C:$C,0)),0)</f>
        <v>0.53961226470000001</v>
      </c>
      <c r="E53" s="8">
        <f>IFERROR(INDEX('Raw Data'!Q:Q,MATCH($A53,'Raw Data'!$C:$C,0)),0)</f>
        <v>109</v>
      </c>
      <c r="F53" s="19">
        <f>IFERROR(INDEX('Raw Data'!R:R,MATCH($A53,'Raw Data'!$C:$C,0)),0)</f>
        <v>4042.16</v>
      </c>
      <c r="G53" s="17">
        <f t="shared" si="2"/>
        <v>37.084036697247704</v>
      </c>
      <c r="H53" s="8">
        <f>IFERROR(INDEX('Raw Data'!W:W,MATCH($A53,'Raw Data'!$C:$C,0)),0)</f>
        <v>828</v>
      </c>
      <c r="I53" s="17">
        <f t="shared" si="3"/>
        <v>0.20484097611178181</v>
      </c>
    </row>
    <row r="54" spans="1:9" ht="15" customHeight="1" x14ac:dyDescent="0.35">
      <c r="A54" s="11">
        <v>12</v>
      </c>
      <c r="B54" s="14">
        <f>IFERROR(INDEX('Raw Data'!D:D,MATCH($A54,'Raw Data'!$C:$C,0)),0)</f>
        <v>718.79915830000004</v>
      </c>
      <c r="C54" s="13">
        <f>IFERROR(INDEX('Raw Data'!O:O,MATCH($A54,'Raw Data'!$C:$C,0)),0)</f>
        <v>0.1114033604</v>
      </c>
      <c r="D54" s="13">
        <f>IFERROR(INDEX('Raw Data'!P:P,MATCH($A54,'Raw Data'!$C:$C,0)),0)</f>
        <v>0.18056170560000001</v>
      </c>
      <c r="E54" s="12">
        <f>IFERROR(INDEX('Raw Data'!Q:Q,MATCH($A54,'Raw Data'!$C:$C,0)),0)</f>
        <v>80</v>
      </c>
      <c r="F54" s="20">
        <f>IFERROR(INDEX('Raw Data'!R:R,MATCH($A54,'Raw Data'!$C:$C,0)),0)</f>
        <v>1861.96</v>
      </c>
      <c r="G54" s="18">
        <f t="shared" si="2"/>
        <v>23.2745</v>
      </c>
      <c r="H54" s="12">
        <f>IFERROR(INDEX('Raw Data'!W:W,MATCH($A54,'Raw Data'!$C:$C,0)),0)</f>
        <v>532.03399999999999</v>
      </c>
      <c r="I54" s="18">
        <f t="shared" si="3"/>
        <v>0.28573868396743218</v>
      </c>
    </row>
    <row r="55" spans="1:9" ht="15" customHeight="1" x14ac:dyDescent="0.35">
      <c r="A55" s="7" t="s">
        <v>41</v>
      </c>
      <c r="B55" s="10">
        <f>IFERROR(INDEX('Raw Data'!D:D,MATCH($A55,'Raw Data'!$C:$C,0)),0)</f>
        <v>712.67200000000003</v>
      </c>
      <c r="C55" s="9">
        <f>IFERROR(INDEX('Raw Data'!O:O,MATCH($A55,'Raw Data'!$C:$C,0)),0)</f>
        <v>0.57037459030000004</v>
      </c>
      <c r="D55" s="9">
        <f>IFERROR(INDEX('Raw Data'!P:P,MATCH($A55,'Raw Data'!$C:$C,0)),0)</f>
        <v>0.15886590079999999</v>
      </c>
      <c r="E55" s="8">
        <f>IFERROR(INDEX('Raw Data'!Q:Q,MATCH($A55,'Raw Data'!$C:$C,0)),0)</f>
        <v>38</v>
      </c>
      <c r="F55" s="19">
        <f>IFERROR(INDEX('Raw Data'!R:R,MATCH($A55,'Raw Data'!$C:$C,0)),0)</f>
        <v>891.32</v>
      </c>
      <c r="G55" s="17">
        <f t="shared" si="2"/>
        <v>23.455789473684213</v>
      </c>
      <c r="H55" s="8">
        <f>IFERROR(INDEX('Raw Data'!W:W,MATCH($A55,'Raw Data'!$C:$C,0)),0)</f>
        <v>739.99</v>
      </c>
      <c r="I55" s="17">
        <f t="shared" si="3"/>
        <v>0.83021810348696312</v>
      </c>
    </row>
    <row r="56" spans="1:9" ht="15" customHeight="1" x14ac:dyDescent="0.35">
      <c r="A56" s="11" t="s">
        <v>35</v>
      </c>
      <c r="B56" s="14">
        <f>IFERROR(INDEX('Raw Data'!D:D,MATCH($A56,'Raw Data'!$C:$C,0)),0)</f>
        <v>712.91780000000006</v>
      </c>
      <c r="C56" s="13">
        <f>IFERROR(INDEX('Raw Data'!O:O,MATCH($A56,'Raw Data'!$C:$C,0)),0)</f>
        <v>0.21263601500000001</v>
      </c>
      <c r="D56" s="13">
        <f>IFERROR(INDEX('Raw Data'!P:P,MATCH($A56,'Raw Data'!$C:$C,0)),0)</f>
        <v>0.46952279800000002</v>
      </c>
      <c r="E56" s="12">
        <f>IFERROR(INDEX('Raw Data'!Q:Q,MATCH($A56,'Raw Data'!$C:$C,0)),0)</f>
        <v>34</v>
      </c>
      <c r="F56" s="20">
        <f>IFERROR(INDEX('Raw Data'!R:R,MATCH($A56,'Raw Data'!$C:$C,0)),0)</f>
        <v>777.36</v>
      </c>
      <c r="G56" s="18">
        <f t="shared" si="2"/>
        <v>22.863529411764706</v>
      </c>
      <c r="H56" s="12">
        <f>IFERROR(INDEX('Raw Data'!W:W,MATCH($A56,'Raw Data'!$C:$C,0)),0)</f>
        <v>834.44</v>
      </c>
      <c r="I56" s="18">
        <f t="shared" si="3"/>
        <v>1.0734280127611404</v>
      </c>
    </row>
    <row r="57" spans="1:9" ht="15" customHeight="1" x14ac:dyDescent="0.35">
      <c r="A57" s="7" t="s">
        <v>38</v>
      </c>
      <c r="B57" s="10">
        <f>IFERROR(INDEX('Raw Data'!D:D,MATCH($A57,'Raw Data'!$C:$C,0)),0)</f>
        <v>720</v>
      </c>
      <c r="C57" s="9">
        <f>IFERROR(INDEX('Raw Data'!O:O,MATCH($A57,'Raw Data'!$C:$C,0)),0)</f>
        <v>0.16054125</v>
      </c>
      <c r="D57" s="9">
        <f>IFERROR(INDEX('Raw Data'!P:P,MATCH($A57,'Raw Data'!$C:$C,0)),0)</f>
        <v>0.1835596078</v>
      </c>
      <c r="E57" s="8">
        <f>IFERROR(INDEX('Raw Data'!Q:Q,MATCH($A57,'Raw Data'!$C:$C,0)),0)</f>
        <v>8</v>
      </c>
      <c r="F57" s="19">
        <f>IFERROR(INDEX('Raw Data'!R:R,MATCH($A57,'Raw Data'!$C:$C,0)),0)</f>
        <v>193.28</v>
      </c>
      <c r="G57" s="17">
        <f t="shared" si="2"/>
        <v>24.16</v>
      </c>
      <c r="H57" s="8">
        <f>IFERROR(INDEX('Raw Data'!W:W,MATCH($A57,'Raw Data'!$C:$C,0)),0)</f>
        <v>280.39</v>
      </c>
      <c r="I57" s="17">
        <f t="shared" si="3"/>
        <v>1.4506932947019866</v>
      </c>
    </row>
    <row r="58" spans="1:9" ht="15" customHeight="1" x14ac:dyDescent="0.35">
      <c r="A58" s="11" t="s">
        <v>54</v>
      </c>
      <c r="B58" s="14">
        <f>IFERROR(INDEX('Raw Data'!D:D,MATCH($A58,'Raw Data'!$C:$C,0)),0)</f>
        <v>719.99990000000003</v>
      </c>
      <c r="C58" s="13">
        <f>IFERROR(INDEX('Raw Data'!O:O,MATCH($A58,'Raw Data'!$C:$C,0)),0)</f>
        <v>7.2955565700000002E-2</v>
      </c>
      <c r="D58" s="13">
        <f>IFERROR(INDEX('Raw Data'!P:P,MATCH($A58,'Raw Data'!$C:$C,0)),0)</f>
        <v>0.16239339019999999</v>
      </c>
      <c r="E58" s="12">
        <f>IFERROR(INDEX('Raw Data'!Q:Q,MATCH($A58,'Raw Data'!$C:$C,0)),0)</f>
        <v>1</v>
      </c>
      <c r="F58" s="20">
        <f>IFERROR(INDEX('Raw Data'!R:R,MATCH($A58,'Raw Data'!$C:$C,0)),0)</f>
        <v>35.28</v>
      </c>
      <c r="G58" s="18">
        <f t="shared" si="2"/>
        <v>35.28</v>
      </c>
      <c r="H58" s="12">
        <f>IFERROR(INDEX('Raw Data'!W:W,MATCH($A58,'Raw Data'!$C:$C,0)),0)</f>
        <v>180.95</v>
      </c>
      <c r="I58" s="18">
        <f t="shared" si="3"/>
        <v>5.1289682539682531</v>
      </c>
    </row>
    <row r="59" spans="1:9" ht="15" customHeight="1" x14ac:dyDescent="0.35">
      <c r="A59" s="7" t="s">
        <v>57</v>
      </c>
      <c r="B59" s="10">
        <f>IFERROR(INDEX('Raw Data'!D:D,MATCH($A59,'Raw Data'!$C:$C,0)),0)</f>
        <v>720.00009999999997</v>
      </c>
      <c r="C59" s="9">
        <f>IFERROR(INDEX('Raw Data'!O:O,MATCH($A59,'Raw Data'!$C:$C,0)),0)</f>
        <v>1.5405553E-3</v>
      </c>
      <c r="D59" s="9">
        <f>IFERROR(INDEX('Raw Data'!P:P,MATCH($A59,'Raw Data'!$C:$C,0)),0)</f>
        <v>0.93085106380000004</v>
      </c>
      <c r="E59" s="8">
        <f>IFERROR(INDEX('Raw Data'!Q:Q,MATCH($A59,'Raw Data'!$C:$C,0)),0)</f>
        <v>1</v>
      </c>
      <c r="F59" s="19">
        <f>IFERROR(INDEX('Raw Data'!R:R,MATCH($A59,'Raw Data'!$C:$C,0)),0)</f>
        <v>35.82</v>
      </c>
      <c r="G59" s="17">
        <f t="shared" si="2"/>
        <v>35.82</v>
      </c>
      <c r="H59" s="8">
        <f>IFERROR(INDEX('Raw Data'!W:W,MATCH($A59,'Raw Data'!$C:$C,0)),0)</f>
        <v>0</v>
      </c>
      <c r="I59" s="17">
        <f t="shared" si="3"/>
        <v>0</v>
      </c>
    </row>
    <row r="60" spans="1:9" ht="15" customHeight="1" x14ac:dyDescent="0.35">
      <c r="A60" s="11" t="s">
        <v>33</v>
      </c>
      <c r="B60" s="14">
        <f>IFERROR(INDEX('Raw Data'!D:D,MATCH($A60,'Raw Data'!$C:$C,0)),0)</f>
        <v>720</v>
      </c>
      <c r="C60" s="13">
        <f>IFERROR(INDEX('Raw Data'!O:O,MATCH($A60,'Raw Data'!$C:$C,0)),0)</f>
        <v>8.2916699999999998E-5</v>
      </c>
      <c r="D60" s="13">
        <f>IFERROR(INDEX('Raw Data'!P:P,MATCH($A60,'Raw Data'!$C:$C,0)),0)</f>
        <v>1</v>
      </c>
      <c r="E60" s="12">
        <f>IFERROR(INDEX('Raw Data'!Q:Q,MATCH($A60,'Raw Data'!$C:$C,0)),0)</f>
        <v>0</v>
      </c>
      <c r="F60" s="20">
        <f>IFERROR(INDEX('Raw Data'!R:R,MATCH($A60,'Raw Data'!$C:$C,0)),0)</f>
        <v>0</v>
      </c>
      <c r="G60" s="18" t="str">
        <f t="shared" si="2"/>
        <v>-</v>
      </c>
      <c r="H60" s="12">
        <f>IFERROR(INDEX('Raw Data'!W:W,MATCH($A60,'Raw Data'!$C:$C,0)),0)</f>
        <v>0</v>
      </c>
      <c r="I60" s="18" t="str">
        <f t="shared" si="3"/>
        <v>-</v>
      </c>
    </row>
    <row r="61" spans="1:9" ht="15" customHeight="1" x14ac:dyDescent="0.35">
      <c r="A61" s="7" t="s">
        <v>37</v>
      </c>
      <c r="B61" s="10">
        <f>IFERROR(INDEX('Raw Data'!D:D,MATCH($A61,'Raw Data'!$C:$C,0)),0)</f>
        <v>720.00029999999902</v>
      </c>
      <c r="C61" s="9">
        <f>IFERROR(INDEX('Raw Data'!O:O,MATCH($A61,'Raw Data'!$C:$C,0)),0)</f>
        <v>3.6791234700000001E-2</v>
      </c>
      <c r="D61" s="9">
        <f>IFERROR(INDEX('Raw Data'!P:P,MATCH($A61,'Raw Data'!$C:$C,0)),0)</f>
        <v>0.1981336142</v>
      </c>
      <c r="E61" s="8">
        <f>IFERROR(INDEX('Raw Data'!Q:Q,MATCH($A61,'Raw Data'!$C:$C,0)),0)</f>
        <v>0</v>
      </c>
      <c r="F61" s="19">
        <f>IFERROR(INDEX('Raw Data'!R:R,MATCH($A61,'Raw Data'!$C:$C,0)),0)</f>
        <v>0</v>
      </c>
      <c r="G61" s="17" t="str">
        <f t="shared" si="2"/>
        <v>-</v>
      </c>
      <c r="H61" s="8">
        <f>IFERROR(INDEX('Raw Data'!W:W,MATCH($A61,'Raw Data'!$C:$C,0)),0)</f>
        <v>386.84</v>
      </c>
      <c r="I61" s="17" t="str">
        <f t="shared" si="3"/>
        <v>-</v>
      </c>
    </row>
    <row r="62" spans="1:9" ht="15" customHeight="1" x14ac:dyDescent="0.35">
      <c r="A62" s="11" t="s">
        <v>40</v>
      </c>
      <c r="B62" s="14">
        <f>IFERROR(INDEX('Raw Data'!D:D,MATCH($A62,'Raw Data'!$C:$C,0)),0)</f>
        <v>719.99969999999996</v>
      </c>
      <c r="C62" s="13">
        <f>IFERROR(INDEX('Raw Data'!O:O,MATCH($A62,'Raw Data'!$C:$C,0)),0)</f>
        <v>0.36177251179999997</v>
      </c>
      <c r="D62" s="13">
        <f>IFERROR(INDEX('Raw Data'!P:P,MATCH($A62,'Raw Data'!$C:$C,0)),0)</f>
        <v>4.2263762400000002E-2</v>
      </c>
      <c r="E62" s="12">
        <f>IFERROR(INDEX('Raw Data'!Q:Q,MATCH($A62,'Raw Data'!$C:$C,0)),0)</f>
        <v>0</v>
      </c>
      <c r="F62" s="20">
        <f>IFERROR(INDEX('Raw Data'!R:R,MATCH($A62,'Raw Data'!$C:$C,0)),0)</f>
        <v>0</v>
      </c>
      <c r="G62" s="18" t="str">
        <f t="shared" si="2"/>
        <v>-</v>
      </c>
      <c r="H62" s="12">
        <f>IFERROR(INDEX('Raw Data'!W:W,MATCH($A62,'Raw Data'!$C:$C,0)),0)</f>
        <v>418.51</v>
      </c>
      <c r="I62" s="18" t="str">
        <f t="shared" si="3"/>
        <v>-</v>
      </c>
    </row>
    <row r="63" spans="1:9" ht="15" customHeight="1" x14ac:dyDescent="0.35">
      <c r="A63" s="7" t="s">
        <v>42</v>
      </c>
      <c r="B63" s="10">
        <f>IFERROR(INDEX('Raw Data'!D:D,MATCH($A63,'Raw Data'!$C:$C,0)),0)</f>
        <v>720.00009999999997</v>
      </c>
      <c r="C63" s="9">
        <f>IFERROR(INDEX('Raw Data'!O:O,MATCH($A63,'Raw Data'!$C:$C,0)),0)</f>
        <v>4.2500000000000003E-5</v>
      </c>
      <c r="D63" s="9">
        <f>IFERROR(INDEX('Raw Data'!P:P,MATCH($A63,'Raw Data'!$C:$C,0)),0)</f>
        <v>0.95751633989999996</v>
      </c>
      <c r="E63" s="8">
        <f>IFERROR(INDEX('Raw Data'!Q:Q,MATCH($A63,'Raw Data'!$C:$C,0)),0)</f>
        <v>0</v>
      </c>
      <c r="F63" s="19">
        <f>IFERROR(INDEX('Raw Data'!R:R,MATCH($A63,'Raw Data'!$C:$C,0)),0)</f>
        <v>0</v>
      </c>
      <c r="G63" s="17" t="str">
        <f t="shared" si="2"/>
        <v>-</v>
      </c>
      <c r="H63" s="8">
        <f>IFERROR(INDEX('Raw Data'!W:W,MATCH($A63,'Raw Data'!$C:$C,0)),0)</f>
        <v>0</v>
      </c>
      <c r="I63" s="17" t="str">
        <f t="shared" si="3"/>
        <v>-</v>
      </c>
    </row>
    <row r="64" spans="1:9" ht="15" customHeight="1" x14ac:dyDescent="0.35">
      <c r="A64" s="11" t="s">
        <v>43</v>
      </c>
      <c r="B64" s="14">
        <f>IFERROR(INDEX('Raw Data'!D:D,MATCH($A64,'Raw Data'!$C:$C,0)),0)</f>
        <v>720.00009999999997</v>
      </c>
      <c r="C64" s="13">
        <f>IFERROR(INDEX('Raw Data'!O:O,MATCH($A64,'Raw Data'!$C:$C,0)),0)</f>
        <v>2.1833329999999999E-4</v>
      </c>
      <c r="D64" s="13">
        <f>IFERROR(INDEX('Raw Data'!P:P,MATCH($A64,'Raw Data'!$C:$C,0)),0)</f>
        <v>0.98536895670000002</v>
      </c>
      <c r="E64" s="12">
        <f>IFERROR(INDEX('Raw Data'!Q:Q,MATCH($A64,'Raw Data'!$C:$C,0)),0)</f>
        <v>0</v>
      </c>
      <c r="F64" s="20">
        <f>IFERROR(INDEX('Raw Data'!R:R,MATCH($A64,'Raw Data'!$C:$C,0)),0)</f>
        <v>0</v>
      </c>
      <c r="G64" s="18" t="str">
        <f t="shared" si="2"/>
        <v>-</v>
      </c>
      <c r="H64" s="12">
        <f>IFERROR(INDEX('Raw Data'!W:W,MATCH($A64,'Raw Data'!$C:$C,0)),0)</f>
        <v>0</v>
      </c>
      <c r="I64" s="18" t="str">
        <f t="shared" si="3"/>
        <v>-</v>
      </c>
    </row>
    <row r="65" spans="1:9" ht="15" customHeight="1" x14ac:dyDescent="0.35">
      <c r="A65" s="7" t="s">
        <v>44</v>
      </c>
      <c r="B65" s="10">
        <f>IFERROR(INDEX('Raw Data'!D:D,MATCH($A65,'Raw Data'!$C:$C,0)),0)</f>
        <v>719.99990000000003</v>
      </c>
      <c r="C65" s="9">
        <f>IFERROR(INDEX('Raw Data'!O:O,MATCH($A65,'Raw Data'!$C:$C,0)),0)</f>
        <v>4.8194500000000001E-5</v>
      </c>
      <c r="D65" s="9">
        <f>IFERROR(INDEX('Raw Data'!P:P,MATCH($A65,'Raw Data'!$C:$C,0)),0)</f>
        <v>0.95965417870000003</v>
      </c>
      <c r="E65" s="8">
        <f>IFERROR(INDEX('Raw Data'!Q:Q,MATCH($A65,'Raw Data'!$C:$C,0)),0)</f>
        <v>0</v>
      </c>
      <c r="F65" s="19">
        <f>IFERROR(INDEX('Raw Data'!R:R,MATCH($A65,'Raw Data'!$C:$C,0)),0)</f>
        <v>0</v>
      </c>
      <c r="G65" s="17" t="str">
        <f t="shared" si="2"/>
        <v>-</v>
      </c>
      <c r="H65" s="8">
        <f>IFERROR(INDEX('Raw Data'!W:W,MATCH($A65,'Raw Data'!$C:$C,0)),0)</f>
        <v>0</v>
      </c>
      <c r="I65" s="17" t="str">
        <f t="shared" si="3"/>
        <v>-</v>
      </c>
    </row>
    <row r="66" spans="1:9" ht="15" customHeight="1" x14ac:dyDescent="0.35">
      <c r="A66" s="11" t="s">
        <v>47</v>
      </c>
      <c r="B66" s="14">
        <f>IFERROR(INDEX('Raw Data'!D:D,MATCH($A66,'Raw Data'!$C:$C,0)),0)</f>
        <v>720</v>
      </c>
      <c r="C66" s="13">
        <f>IFERROR(INDEX('Raw Data'!O:O,MATCH($A66,'Raw Data'!$C:$C,0)),0)</f>
        <v>1</v>
      </c>
      <c r="D66" s="13">
        <f>IFERROR(INDEX('Raw Data'!P:P,MATCH($A66,'Raw Data'!$C:$C,0)),0)</f>
        <v>0</v>
      </c>
      <c r="E66" s="12">
        <f>IFERROR(INDEX('Raw Data'!Q:Q,MATCH($A66,'Raw Data'!$C:$C,0)),0)</f>
        <v>0</v>
      </c>
      <c r="F66" s="20">
        <f>IFERROR(INDEX('Raw Data'!R:R,MATCH($A66,'Raw Data'!$C:$C,0)),0)</f>
        <v>0</v>
      </c>
      <c r="G66" s="18" t="str">
        <f t="shared" si="2"/>
        <v>-</v>
      </c>
      <c r="H66" s="12">
        <f>IFERROR(INDEX('Raw Data'!W:W,MATCH($A66,'Raw Data'!$C:$C,0)),0)</f>
        <v>40.619999999999997</v>
      </c>
      <c r="I66" s="18" t="str">
        <f t="shared" si="3"/>
        <v>-</v>
      </c>
    </row>
    <row r="67" spans="1:9" ht="15" customHeight="1" x14ac:dyDescent="0.35">
      <c r="A67" s="7" t="s">
        <v>68</v>
      </c>
      <c r="B67" s="10">
        <f>IFERROR(INDEX('Raw Data'!D:D,MATCH($A67,'Raw Data'!$C:$C,0)),0)</f>
        <v>720</v>
      </c>
      <c r="C67" s="9">
        <f>IFERROR(INDEX('Raw Data'!O:O,MATCH($A67,'Raw Data'!$C:$C,0)),0)</f>
        <v>1</v>
      </c>
      <c r="D67" s="9">
        <f>IFERROR(INDEX('Raw Data'!P:P,MATCH($A67,'Raw Data'!$C:$C,0)),0)</f>
        <v>0</v>
      </c>
      <c r="E67" s="8">
        <f>IFERROR(INDEX('Raw Data'!Q:Q,MATCH($A67,'Raw Data'!$C:$C,0)),0)</f>
        <v>0</v>
      </c>
      <c r="F67" s="19">
        <f>IFERROR(INDEX('Raw Data'!R:R,MATCH($A67,'Raw Data'!$C:$C,0)),0)</f>
        <v>0</v>
      </c>
      <c r="G67" s="17" t="str">
        <f t="shared" si="2"/>
        <v>-</v>
      </c>
      <c r="H67" s="8">
        <f>IFERROR(INDEX('Raw Data'!W:W,MATCH($A67,'Raw Data'!$C:$C,0)),0)</f>
        <v>0</v>
      </c>
      <c r="I67" s="17" t="str">
        <f t="shared" si="3"/>
        <v>-</v>
      </c>
    </row>
    <row r="70" spans="1:9" ht="18" customHeight="1" x14ac:dyDescent="0.35">
      <c r="A70" s="70" t="s">
        <v>311</v>
      </c>
      <c r="B70" s="62"/>
      <c r="C70" s="62"/>
      <c r="D70" s="62"/>
      <c r="E70" s="62"/>
      <c r="F70" s="62"/>
      <c r="G70" s="62"/>
      <c r="H70" s="62"/>
      <c r="I70" s="62"/>
    </row>
    <row r="71" spans="1:9" ht="26" customHeight="1" x14ac:dyDescent="0.35">
      <c r="A71" s="6" t="s">
        <v>3</v>
      </c>
      <c r="B71" s="6" t="s">
        <v>272</v>
      </c>
      <c r="C71" s="6" t="s">
        <v>304</v>
      </c>
      <c r="D71" s="6" t="s">
        <v>305</v>
      </c>
      <c r="E71" s="6" t="s">
        <v>312</v>
      </c>
      <c r="F71" s="6" t="s">
        <v>253</v>
      </c>
      <c r="G71" s="6" t="s">
        <v>22</v>
      </c>
      <c r="H71" s="6" t="s">
        <v>309</v>
      </c>
      <c r="I71" s="6" t="s">
        <v>313</v>
      </c>
    </row>
    <row r="72" spans="1:9" ht="15" customHeight="1" x14ac:dyDescent="0.35">
      <c r="A72" s="7" t="s">
        <v>171</v>
      </c>
      <c r="B72" s="10">
        <f>IFERROR(INDEX('Raw Data'!D:D,MATCH($A72,'Raw Data'!$C:$C,0)),0)</f>
        <v>720.00019999999995</v>
      </c>
      <c r="C72" s="9">
        <f>IFERROR(INDEX('Raw Data'!O:O,MATCH($A72,'Raw Data'!$C:$C,0)),0)</f>
        <v>0.88321086579999997</v>
      </c>
      <c r="D72" s="9">
        <f>IFERROR(INDEX('Raw Data'!P:P,MATCH($A72,'Raw Data'!$C:$C,0)),0)</f>
        <v>0.87145249660000002</v>
      </c>
      <c r="E72" s="8">
        <f>IFERROR(INDEX('Raw Data'!T:T,MATCH($A72,'Raw Data'!$C:$C,0)),0)</f>
        <v>1432</v>
      </c>
      <c r="F72" s="8">
        <f>IFERROR(INDEX('Raw Data'!U:U,MATCH($A72,'Raw Data'!$C:$C,0)),0)</f>
        <v>60144</v>
      </c>
      <c r="G72" s="21">
        <f>IFERROR(INDEX('Raw Data'!V:V,MATCH($A72,'Raw Data'!$C:$C,0)),0)</f>
        <v>42</v>
      </c>
      <c r="H72" s="8">
        <f>IFERROR(INDEX('Raw Data'!W:W,MATCH($A72,'Raw Data'!$C:$C,0)),0)</f>
        <v>25352.609999999899</v>
      </c>
      <c r="I72" s="22">
        <f t="shared" ref="I72:I103" si="4">IFERROR(H72/F72,"-")</f>
        <v>0.42153182362330238</v>
      </c>
    </row>
    <row r="73" spans="1:9" ht="15" customHeight="1" x14ac:dyDescent="0.35">
      <c r="A73" s="11" t="s">
        <v>172</v>
      </c>
      <c r="B73" s="14">
        <f>IFERROR(INDEX('Raw Data'!D:D,MATCH($A73,'Raw Data'!$C:$C,0)),0)</f>
        <v>719.999899999999</v>
      </c>
      <c r="C73" s="13">
        <f>IFERROR(INDEX('Raw Data'!O:O,MATCH($A73,'Raw Data'!$C:$C,0)),0)</f>
        <v>0.80373747269999996</v>
      </c>
      <c r="D73" s="13">
        <f>IFERROR(INDEX('Raw Data'!P:P,MATCH($A73,'Raw Data'!$C:$C,0)),0)</f>
        <v>0.86617467110000002</v>
      </c>
      <c r="E73" s="12">
        <f>IFERROR(INDEX('Raw Data'!T:T,MATCH($A73,'Raw Data'!$C:$C,0)),0)</f>
        <v>1291</v>
      </c>
      <c r="F73" s="12">
        <f>IFERROR(INDEX('Raw Data'!U:U,MATCH($A73,'Raw Data'!$C:$C,0)),0)</f>
        <v>54222</v>
      </c>
      <c r="G73" s="23">
        <f>IFERROR(INDEX('Raw Data'!V:V,MATCH($A73,'Raw Data'!$C:$C,0)),0)</f>
        <v>42</v>
      </c>
      <c r="H73" s="12">
        <f>IFERROR(INDEX('Raw Data'!W:W,MATCH($A73,'Raw Data'!$C:$C,0)),0)</f>
        <v>22108.11</v>
      </c>
      <c r="I73" s="24">
        <f t="shared" si="4"/>
        <v>0.40773320792298329</v>
      </c>
    </row>
    <row r="74" spans="1:9" ht="15" customHeight="1" x14ac:dyDescent="0.35">
      <c r="A74" s="7" t="s">
        <v>175</v>
      </c>
      <c r="B74" s="10">
        <f>IFERROR(INDEX('Raw Data'!D:D,MATCH($A74,'Raw Data'!$C:$C,0)),0)</f>
        <v>719.99980000000005</v>
      </c>
      <c r="C74" s="9">
        <f>IFERROR(INDEX('Raw Data'!O:O,MATCH($A74,'Raw Data'!$C:$C,0)),0)</f>
        <v>0.78672757959999995</v>
      </c>
      <c r="D74" s="9">
        <f>IFERROR(INDEX('Raw Data'!P:P,MATCH($A74,'Raw Data'!$C:$C,0)),0)</f>
        <v>0.87215869820000003</v>
      </c>
      <c r="E74" s="8">
        <f>IFERROR(INDEX('Raw Data'!T:T,MATCH($A74,'Raw Data'!$C:$C,0)),0)</f>
        <v>1197</v>
      </c>
      <c r="F74" s="8">
        <f>IFERROR(INDEX('Raw Data'!U:U,MATCH($A74,'Raw Data'!$C:$C,0)),0)</f>
        <v>50274</v>
      </c>
      <c r="G74" s="21">
        <f>IFERROR(INDEX('Raw Data'!V:V,MATCH($A74,'Raw Data'!$C:$C,0)),0)</f>
        <v>42</v>
      </c>
      <c r="H74" s="8">
        <f>IFERROR(INDEX('Raw Data'!W:W,MATCH($A74,'Raw Data'!$C:$C,0)),0)</f>
        <v>21594.39</v>
      </c>
      <c r="I74" s="22">
        <f t="shared" si="4"/>
        <v>0.42953395393245014</v>
      </c>
    </row>
    <row r="75" spans="1:9" ht="15" customHeight="1" x14ac:dyDescent="0.35">
      <c r="A75" s="11" t="s">
        <v>162</v>
      </c>
      <c r="B75" s="14">
        <f>IFERROR(INDEX('Raw Data'!D:D,MATCH($A75,'Raw Data'!$C:$C,0)),0)</f>
        <v>719.99969999999905</v>
      </c>
      <c r="C75" s="13">
        <f>IFERROR(INDEX('Raw Data'!O:O,MATCH($A75,'Raw Data'!$C:$C,0)),0)</f>
        <v>0.76218990090000005</v>
      </c>
      <c r="D75" s="13">
        <f>IFERROR(INDEX('Raw Data'!P:P,MATCH($A75,'Raw Data'!$C:$C,0)),0)</f>
        <v>0.88050800279999997</v>
      </c>
      <c r="E75" s="12">
        <f>IFERROR(INDEX('Raw Data'!T:T,MATCH($A75,'Raw Data'!$C:$C,0)),0)</f>
        <v>1103</v>
      </c>
      <c r="F75" s="12">
        <f>IFERROR(INDEX('Raw Data'!U:U,MATCH($A75,'Raw Data'!$C:$C,0)),0)</f>
        <v>30884</v>
      </c>
      <c r="G75" s="23">
        <f>IFERROR(INDEX('Raw Data'!V:V,MATCH($A75,'Raw Data'!$C:$C,0)),0)</f>
        <v>28</v>
      </c>
      <c r="H75" s="12">
        <f>IFERROR(INDEX('Raw Data'!W:W,MATCH($A75,'Raw Data'!$C:$C,0)),0)</f>
        <v>9992.0599999999904</v>
      </c>
      <c r="I75" s="24">
        <f t="shared" si="4"/>
        <v>0.32353516383888065</v>
      </c>
    </row>
    <row r="76" spans="1:9" ht="15" customHeight="1" x14ac:dyDescent="0.35">
      <c r="A76" s="7" t="s">
        <v>159</v>
      </c>
      <c r="B76" s="10">
        <f>IFERROR(INDEX('Raw Data'!D:D,MATCH($A76,'Raw Data'!$C:$C,0)),0)</f>
        <v>720.00019999999995</v>
      </c>
      <c r="C76" s="9">
        <f>IFERROR(INDEX('Raw Data'!O:O,MATCH($A76,'Raw Data'!$C:$C,0)),0)</f>
        <v>0.91245863540000005</v>
      </c>
      <c r="D76" s="9">
        <f>IFERROR(INDEX('Raw Data'!P:P,MATCH($A76,'Raw Data'!$C:$C,0)),0)</f>
        <v>0.86720984690000003</v>
      </c>
      <c r="E76" s="8">
        <f>IFERROR(INDEX('Raw Data'!T:T,MATCH($A76,'Raw Data'!$C:$C,0)),0)</f>
        <v>1094</v>
      </c>
      <c r="F76" s="8">
        <f>IFERROR(INDEX('Raw Data'!U:U,MATCH($A76,'Raw Data'!$C:$C,0)),0)</f>
        <v>30632</v>
      </c>
      <c r="G76" s="21">
        <f>IFERROR(INDEX('Raw Data'!V:V,MATCH($A76,'Raw Data'!$C:$C,0)),0)</f>
        <v>28</v>
      </c>
      <c r="H76" s="8">
        <f>IFERROR(INDEX('Raw Data'!W:W,MATCH($A76,'Raw Data'!$C:$C,0)),0)</f>
        <v>9638.48</v>
      </c>
      <c r="I76" s="22">
        <f t="shared" si="4"/>
        <v>0.31465395664664403</v>
      </c>
    </row>
    <row r="77" spans="1:9" ht="15" customHeight="1" x14ac:dyDescent="0.35">
      <c r="A77" s="11" t="s">
        <v>167</v>
      </c>
      <c r="B77" s="14">
        <f>IFERROR(INDEX('Raw Data'!D:D,MATCH($A77,'Raw Data'!$C:$C,0)),0)</f>
        <v>719.9991</v>
      </c>
      <c r="C77" s="13">
        <f>IFERROR(INDEX('Raw Data'!O:O,MATCH($A77,'Raw Data'!$C:$C,0)),0)</f>
        <v>0.87324234160000003</v>
      </c>
      <c r="D77" s="13">
        <f>IFERROR(INDEX('Raw Data'!P:P,MATCH($A77,'Raw Data'!$C:$C,0)),0)</f>
        <v>0.856861498</v>
      </c>
      <c r="E77" s="12">
        <f>IFERROR(INDEX('Raw Data'!T:T,MATCH($A77,'Raw Data'!$C:$C,0)),0)</f>
        <v>1059</v>
      </c>
      <c r="F77" s="12">
        <f>IFERROR(INDEX('Raw Data'!U:U,MATCH($A77,'Raw Data'!$C:$C,0)),0)</f>
        <v>29652</v>
      </c>
      <c r="G77" s="23">
        <f>IFERROR(INDEX('Raw Data'!V:V,MATCH($A77,'Raw Data'!$C:$C,0)),0)</f>
        <v>28</v>
      </c>
      <c r="H77" s="12">
        <f>IFERROR(INDEX('Raw Data'!W:W,MATCH($A77,'Raw Data'!$C:$C,0)),0)</f>
        <v>9947.5</v>
      </c>
      <c r="I77" s="24">
        <f t="shared" si="4"/>
        <v>0.33547484149467155</v>
      </c>
    </row>
    <row r="78" spans="1:9" ht="15" customHeight="1" x14ac:dyDescent="0.35">
      <c r="A78" s="7" t="s">
        <v>164</v>
      </c>
      <c r="B78" s="10">
        <f>IFERROR(INDEX('Raw Data'!D:D,MATCH($A78,'Raw Data'!$C:$C,0)),0)</f>
        <v>720.00019999999995</v>
      </c>
      <c r="C78" s="9">
        <f>IFERROR(INDEX('Raw Data'!O:O,MATCH($A78,'Raw Data'!$C:$C,0)),0)</f>
        <v>0.91745682849999999</v>
      </c>
      <c r="D78" s="9">
        <f>IFERROR(INDEX('Raw Data'!P:P,MATCH($A78,'Raw Data'!$C:$C,0)),0)</f>
        <v>0.86978061799999995</v>
      </c>
      <c r="E78" s="8">
        <f>IFERROR(INDEX('Raw Data'!T:T,MATCH($A78,'Raw Data'!$C:$C,0)),0)</f>
        <v>1048</v>
      </c>
      <c r="F78" s="8">
        <f>IFERROR(INDEX('Raw Data'!U:U,MATCH($A78,'Raw Data'!$C:$C,0)),0)</f>
        <v>29344</v>
      </c>
      <c r="G78" s="21">
        <f>IFERROR(INDEX('Raw Data'!V:V,MATCH($A78,'Raw Data'!$C:$C,0)),0)</f>
        <v>28</v>
      </c>
      <c r="H78" s="8">
        <f>IFERROR(INDEX('Raw Data'!W:W,MATCH($A78,'Raw Data'!$C:$C,0)),0)</f>
        <v>9931.64</v>
      </c>
      <c r="I78" s="22">
        <f t="shared" si="4"/>
        <v>0.33845556161395857</v>
      </c>
    </row>
    <row r="79" spans="1:9" ht="15" customHeight="1" x14ac:dyDescent="0.35">
      <c r="A79" s="11" t="s">
        <v>158</v>
      </c>
      <c r="B79" s="14">
        <f>IFERROR(INDEX('Raw Data'!D:D,MATCH($A79,'Raw Data'!$C:$C,0)),0)</f>
        <v>720.00159999999903</v>
      </c>
      <c r="C79" s="13">
        <f>IFERROR(INDEX('Raw Data'!O:O,MATCH($A79,'Raw Data'!$C:$C,0)),0)</f>
        <v>0.82796371560000004</v>
      </c>
      <c r="D79" s="13">
        <f>IFERROR(INDEX('Raw Data'!P:P,MATCH($A79,'Raw Data'!$C:$C,0)),0)</f>
        <v>0.87028848489999999</v>
      </c>
      <c r="E79" s="12">
        <f>IFERROR(INDEX('Raw Data'!T:T,MATCH($A79,'Raw Data'!$C:$C,0)),0)</f>
        <v>1038</v>
      </c>
      <c r="F79" s="12">
        <f>IFERROR(INDEX('Raw Data'!U:U,MATCH($A79,'Raw Data'!$C:$C,0)),0)</f>
        <v>29064</v>
      </c>
      <c r="G79" s="23">
        <f>IFERROR(INDEX('Raw Data'!V:V,MATCH($A79,'Raw Data'!$C:$C,0)),0)</f>
        <v>28</v>
      </c>
      <c r="H79" s="12">
        <f>IFERROR(INDEX('Raw Data'!W:W,MATCH($A79,'Raw Data'!$C:$C,0)),0)</f>
        <v>9972.4599999999991</v>
      </c>
      <c r="I79" s="24">
        <f t="shared" si="4"/>
        <v>0.34312069914671067</v>
      </c>
    </row>
    <row r="80" spans="1:9" ht="15" customHeight="1" x14ac:dyDescent="0.35">
      <c r="A80" s="7" t="s">
        <v>166</v>
      </c>
      <c r="B80" s="10">
        <f>IFERROR(INDEX('Raw Data'!D:D,MATCH($A80,'Raw Data'!$C:$C,0)),0)</f>
        <v>719.99919999999997</v>
      </c>
      <c r="C80" s="9">
        <f>IFERROR(INDEX('Raw Data'!O:O,MATCH($A80,'Raw Data'!$C:$C,0)),0)</f>
        <v>0.9048319776</v>
      </c>
      <c r="D80" s="9">
        <f>IFERROR(INDEX('Raw Data'!P:P,MATCH($A80,'Raw Data'!$C:$C,0)),0)</f>
        <v>0.86610498000000002</v>
      </c>
      <c r="E80" s="8">
        <f>IFERROR(INDEX('Raw Data'!T:T,MATCH($A80,'Raw Data'!$C:$C,0)),0)</f>
        <v>1027</v>
      </c>
      <c r="F80" s="8">
        <f>IFERROR(INDEX('Raw Data'!U:U,MATCH($A80,'Raw Data'!$C:$C,0)),0)</f>
        <v>28756</v>
      </c>
      <c r="G80" s="21">
        <f>IFERROR(INDEX('Raw Data'!V:V,MATCH($A80,'Raw Data'!$C:$C,0)),0)</f>
        <v>28</v>
      </c>
      <c r="H80" s="8">
        <f>IFERROR(INDEX('Raw Data'!W:W,MATCH($A80,'Raw Data'!$C:$C,0)),0)</f>
        <v>9301.65</v>
      </c>
      <c r="I80" s="22">
        <f t="shared" si="4"/>
        <v>0.32346814577827232</v>
      </c>
    </row>
    <row r="81" spans="1:9" ht="15" customHeight="1" x14ac:dyDescent="0.35">
      <c r="A81" s="11" t="s">
        <v>163</v>
      </c>
      <c r="B81" s="14">
        <f>IFERROR(INDEX('Raw Data'!D:D,MATCH($A81,'Raw Data'!$C:$C,0)),0)</f>
        <v>720.00040000000001</v>
      </c>
      <c r="C81" s="13">
        <f>IFERROR(INDEX('Raw Data'!O:O,MATCH($A81,'Raw Data'!$C:$C,0)),0)</f>
        <v>0.85373216460000001</v>
      </c>
      <c r="D81" s="13">
        <f>IFERROR(INDEX('Raw Data'!P:P,MATCH($A81,'Raw Data'!$C:$C,0)),0)</f>
        <v>0.8619363498</v>
      </c>
      <c r="E81" s="12">
        <f>IFERROR(INDEX('Raw Data'!T:T,MATCH($A81,'Raw Data'!$C:$C,0)),0)</f>
        <v>1025</v>
      </c>
      <c r="F81" s="12">
        <f>IFERROR(INDEX('Raw Data'!U:U,MATCH($A81,'Raw Data'!$C:$C,0)),0)</f>
        <v>28700</v>
      </c>
      <c r="G81" s="23">
        <f>IFERROR(INDEX('Raw Data'!V:V,MATCH($A81,'Raw Data'!$C:$C,0)),0)</f>
        <v>28</v>
      </c>
      <c r="H81" s="12">
        <f>IFERROR(INDEX('Raw Data'!W:W,MATCH($A81,'Raw Data'!$C:$C,0)),0)</f>
        <v>9220.76</v>
      </c>
      <c r="I81" s="24">
        <f t="shared" si="4"/>
        <v>0.32128083623693382</v>
      </c>
    </row>
    <row r="82" spans="1:9" ht="15" customHeight="1" x14ac:dyDescent="0.35">
      <c r="A82" s="7" t="s">
        <v>170</v>
      </c>
      <c r="B82" s="10">
        <f>IFERROR(INDEX('Raw Data'!D:D,MATCH($A82,'Raw Data'!$C:$C,0)),0)</f>
        <v>719.99990000000003</v>
      </c>
      <c r="C82" s="9">
        <f>IFERROR(INDEX('Raw Data'!O:O,MATCH($A82,'Raw Data'!$C:$C,0)),0)</f>
        <v>0.69149356829999997</v>
      </c>
      <c r="D82" s="9">
        <f>IFERROR(INDEX('Raw Data'!P:P,MATCH($A82,'Raw Data'!$C:$C,0)),0)</f>
        <v>0.87057803430000003</v>
      </c>
      <c r="E82" s="8">
        <f>IFERROR(INDEX('Raw Data'!T:T,MATCH($A82,'Raw Data'!$C:$C,0)),0)</f>
        <v>1011</v>
      </c>
      <c r="F82" s="8">
        <f>IFERROR(INDEX('Raw Data'!U:U,MATCH($A82,'Raw Data'!$C:$C,0)),0)</f>
        <v>42462</v>
      </c>
      <c r="G82" s="21">
        <f>IFERROR(INDEX('Raw Data'!V:V,MATCH($A82,'Raw Data'!$C:$C,0)),0)</f>
        <v>42</v>
      </c>
      <c r="H82" s="8">
        <f>IFERROR(INDEX('Raw Data'!W:W,MATCH($A82,'Raw Data'!$C:$C,0)),0)</f>
        <v>20016.89</v>
      </c>
      <c r="I82" s="22">
        <f t="shared" si="4"/>
        <v>0.47140714050209598</v>
      </c>
    </row>
    <row r="83" spans="1:9" ht="15" customHeight="1" x14ac:dyDescent="0.35">
      <c r="A83" s="11" t="s">
        <v>177</v>
      </c>
      <c r="B83" s="14">
        <f>IFERROR(INDEX('Raw Data'!D:D,MATCH($A83,'Raw Data'!$C:$C,0)),0)</f>
        <v>719.99999999999898</v>
      </c>
      <c r="C83" s="13">
        <f>IFERROR(INDEX('Raw Data'!O:O,MATCH($A83,'Raw Data'!$C:$C,0)),0)</f>
        <v>0.66152875</v>
      </c>
      <c r="D83" s="13">
        <f>IFERROR(INDEX('Raw Data'!P:P,MATCH($A83,'Raw Data'!$C:$C,0)),0)</f>
        <v>0.8684950495</v>
      </c>
      <c r="E83" s="12">
        <f>IFERROR(INDEX('Raw Data'!T:T,MATCH($A83,'Raw Data'!$C:$C,0)),0)</f>
        <v>1006</v>
      </c>
      <c r="F83" s="12">
        <f>IFERROR(INDEX('Raw Data'!U:U,MATCH($A83,'Raw Data'!$C:$C,0)),0)</f>
        <v>42252</v>
      </c>
      <c r="G83" s="23">
        <f>IFERROR(INDEX('Raw Data'!V:V,MATCH($A83,'Raw Data'!$C:$C,0)),0)</f>
        <v>42</v>
      </c>
      <c r="H83" s="12">
        <f>IFERROR(INDEX('Raw Data'!W:W,MATCH($A83,'Raw Data'!$C:$C,0)),0)</f>
        <v>19943.53</v>
      </c>
      <c r="I83" s="24">
        <f t="shared" si="4"/>
        <v>0.47201386916595661</v>
      </c>
    </row>
    <row r="84" spans="1:9" ht="15" customHeight="1" x14ac:dyDescent="0.35">
      <c r="A84" s="7" t="s">
        <v>110</v>
      </c>
      <c r="B84" s="10">
        <f>IFERROR(INDEX('Raw Data'!D:D,MATCH($A84,'Raw Data'!$C:$C,0)),0)</f>
        <v>719.999899999999</v>
      </c>
      <c r="C84" s="9">
        <f>IFERROR(INDEX('Raw Data'!O:O,MATCH($A84,'Raw Data'!$C:$C,0)),0)</f>
        <v>0.80311969490000001</v>
      </c>
      <c r="D84" s="9">
        <f>IFERROR(INDEX('Raw Data'!P:P,MATCH($A84,'Raw Data'!$C:$C,0)),0)</f>
        <v>0.86896893900000005</v>
      </c>
      <c r="E84" s="8">
        <f>IFERROR(INDEX('Raw Data'!T:T,MATCH($A84,'Raw Data'!$C:$C,0)),0)</f>
        <v>1001</v>
      </c>
      <c r="F84" s="8">
        <f>IFERROR(INDEX('Raw Data'!U:U,MATCH($A84,'Raw Data'!$C:$C,0)),0)</f>
        <v>25025</v>
      </c>
      <c r="G84" s="21">
        <f>IFERROR(INDEX('Raw Data'!V:V,MATCH($A84,'Raw Data'!$C:$C,0)),0)</f>
        <v>25</v>
      </c>
      <c r="H84" s="8">
        <f>IFERROR(INDEX('Raw Data'!W:W,MATCH($A84,'Raw Data'!$C:$C,0)),0)</f>
        <v>7625.29</v>
      </c>
      <c r="I84" s="22">
        <f t="shared" si="4"/>
        <v>0.30470689310689308</v>
      </c>
    </row>
    <row r="85" spans="1:9" ht="15" customHeight="1" x14ac:dyDescent="0.35">
      <c r="A85" s="11" t="s">
        <v>150</v>
      </c>
      <c r="B85" s="14">
        <f>IFERROR(INDEX('Raw Data'!D:D,MATCH($A85,'Raw Data'!$C:$C,0)),0)</f>
        <v>720.00070000000005</v>
      </c>
      <c r="C85" s="13">
        <f>IFERROR(INDEX('Raw Data'!O:O,MATCH($A85,'Raw Data'!$C:$C,0)),0)</f>
        <v>0.88659205470000002</v>
      </c>
      <c r="D85" s="13">
        <f>IFERROR(INDEX('Raw Data'!P:P,MATCH($A85,'Raw Data'!$C:$C,0)),0)</f>
        <v>0.86366754499999998</v>
      </c>
      <c r="E85" s="12">
        <f>IFERROR(INDEX('Raw Data'!T:T,MATCH($A85,'Raw Data'!$C:$C,0)),0)</f>
        <v>997</v>
      </c>
      <c r="F85" s="12">
        <f>IFERROR(INDEX('Raw Data'!U:U,MATCH($A85,'Raw Data'!$C:$C,0)),0)</f>
        <v>24925</v>
      </c>
      <c r="G85" s="23">
        <f>IFERROR(INDEX('Raw Data'!V:V,MATCH($A85,'Raw Data'!$C:$C,0)),0)</f>
        <v>25</v>
      </c>
      <c r="H85" s="12">
        <f>IFERROR(INDEX('Raw Data'!W:W,MATCH($A85,'Raw Data'!$C:$C,0)),0)</f>
        <v>8378.91</v>
      </c>
      <c r="I85" s="24">
        <f t="shared" si="4"/>
        <v>0.33616489468405214</v>
      </c>
    </row>
    <row r="86" spans="1:9" ht="15" customHeight="1" x14ac:dyDescent="0.35">
      <c r="A86" s="7" t="s">
        <v>129</v>
      </c>
      <c r="B86" s="10">
        <f>IFERROR(INDEX('Raw Data'!D:D,MATCH($A86,'Raw Data'!$C:$C,0)),0)</f>
        <v>719.999899999999</v>
      </c>
      <c r="C86" s="9">
        <f>IFERROR(INDEX('Raw Data'!O:O,MATCH($A86,'Raw Data'!$C:$C,0)),0)</f>
        <v>0.79545427710000005</v>
      </c>
      <c r="D86" s="9">
        <f>IFERROR(INDEX('Raw Data'!P:P,MATCH($A86,'Raw Data'!$C:$C,0)),0)</f>
        <v>0.86940654100000003</v>
      </c>
      <c r="E86" s="8">
        <f>IFERROR(INDEX('Raw Data'!T:T,MATCH($A86,'Raw Data'!$C:$C,0)),0)</f>
        <v>995</v>
      </c>
      <c r="F86" s="8">
        <f>IFERROR(INDEX('Raw Data'!U:U,MATCH($A86,'Raw Data'!$C:$C,0)),0)</f>
        <v>24875</v>
      </c>
      <c r="G86" s="21">
        <f>IFERROR(INDEX('Raw Data'!V:V,MATCH($A86,'Raw Data'!$C:$C,0)),0)</f>
        <v>25</v>
      </c>
      <c r="H86" s="8">
        <f>IFERROR(INDEX('Raw Data'!W:W,MATCH($A86,'Raw Data'!$C:$C,0)),0)</f>
        <v>8104.03</v>
      </c>
      <c r="I86" s="22">
        <f t="shared" si="4"/>
        <v>0.32579015075376883</v>
      </c>
    </row>
    <row r="87" spans="1:9" ht="15" customHeight="1" x14ac:dyDescent="0.35">
      <c r="A87" s="11" t="s">
        <v>165</v>
      </c>
      <c r="B87" s="14">
        <f>IFERROR(INDEX('Raw Data'!D:D,MATCH($A87,'Raw Data'!$C:$C,0)),0)</f>
        <v>719.999899999999</v>
      </c>
      <c r="C87" s="13">
        <f>IFERROR(INDEX('Raw Data'!O:O,MATCH($A87,'Raw Data'!$C:$C,0)),0)</f>
        <v>0.84355692270000004</v>
      </c>
      <c r="D87" s="13">
        <f>IFERROR(INDEX('Raw Data'!P:P,MATCH($A87,'Raw Data'!$C:$C,0)),0)</f>
        <v>0.84902287909999996</v>
      </c>
      <c r="E87" s="12">
        <f>IFERROR(INDEX('Raw Data'!T:T,MATCH($A87,'Raw Data'!$C:$C,0)),0)</f>
        <v>990</v>
      </c>
      <c r="F87" s="12">
        <f>IFERROR(INDEX('Raw Data'!U:U,MATCH($A87,'Raw Data'!$C:$C,0)),0)</f>
        <v>27720</v>
      </c>
      <c r="G87" s="23">
        <f>IFERROR(INDEX('Raw Data'!V:V,MATCH($A87,'Raw Data'!$C:$C,0)),0)</f>
        <v>28</v>
      </c>
      <c r="H87" s="12">
        <f>IFERROR(INDEX('Raw Data'!W:W,MATCH($A87,'Raw Data'!$C:$C,0)),0)</f>
        <v>9142.7599999999893</v>
      </c>
      <c r="I87" s="24">
        <f t="shared" si="4"/>
        <v>0.32982539682539647</v>
      </c>
    </row>
    <row r="88" spans="1:9" ht="15" customHeight="1" x14ac:dyDescent="0.35">
      <c r="A88" s="7" t="s">
        <v>146</v>
      </c>
      <c r="B88" s="10">
        <f>IFERROR(INDEX('Raw Data'!D:D,MATCH($A88,'Raw Data'!$C:$C,0)),0)</f>
        <v>720.00129999999899</v>
      </c>
      <c r="C88" s="9">
        <f>IFERROR(INDEX('Raw Data'!O:O,MATCH($A88,'Raw Data'!$C:$C,0)),0)</f>
        <v>0.8681994046</v>
      </c>
      <c r="D88" s="9">
        <f>IFERROR(INDEX('Raw Data'!P:P,MATCH($A88,'Raw Data'!$C:$C,0)),0)</f>
        <v>0.86210390039999996</v>
      </c>
      <c r="E88" s="8">
        <f>IFERROR(INDEX('Raw Data'!T:T,MATCH($A88,'Raw Data'!$C:$C,0)),0)</f>
        <v>972</v>
      </c>
      <c r="F88" s="8">
        <f>IFERROR(INDEX('Raw Data'!U:U,MATCH($A88,'Raw Data'!$C:$C,0)),0)</f>
        <v>24300</v>
      </c>
      <c r="G88" s="21">
        <f>IFERROR(INDEX('Raw Data'!V:V,MATCH($A88,'Raw Data'!$C:$C,0)),0)</f>
        <v>25</v>
      </c>
      <c r="H88" s="8">
        <f>IFERROR(INDEX('Raw Data'!W:W,MATCH($A88,'Raw Data'!$C:$C,0)),0)</f>
        <v>7764.7599999999902</v>
      </c>
      <c r="I88" s="22">
        <f t="shared" si="4"/>
        <v>0.31953744855967037</v>
      </c>
    </row>
    <row r="89" spans="1:9" ht="15" customHeight="1" x14ac:dyDescent="0.35">
      <c r="A89" s="11" t="s">
        <v>152</v>
      </c>
      <c r="B89" s="14">
        <f>IFERROR(INDEX('Raw Data'!D:D,MATCH($A89,'Raw Data'!$C:$C,0)),0)</f>
        <v>720</v>
      </c>
      <c r="C89" s="13">
        <f>IFERROR(INDEX('Raw Data'!O:O,MATCH($A89,'Raw Data'!$C:$C,0)),0)</f>
        <v>0.87620763889999997</v>
      </c>
      <c r="D89" s="13">
        <f>IFERROR(INDEX('Raw Data'!P:P,MATCH($A89,'Raw Data'!$C:$C,0)),0)</f>
        <v>0.86799821519999998</v>
      </c>
      <c r="E89" s="12">
        <f>IFERROR(INDEX('Raw Data'!T:T,MATCH($A89,'Raw Data'!$C:$C,0)),0)</f>
        <v>968</v>
      </c>
      <c r="F89" s="12">
        <f>IFERROR(INDEX('Raw Data'!U:U,MATCH($A89,'Raw Data'!$C:$C,0)),0)</f>
        <v>24200</v>
      </c>
      <c r="G89" s="23">
        <f>IFERROR(INDEX('Raw Data'!V:V,MATCH($A89,'Raw Data'!$C:$C,0)),0)</f>
        <v>25</v>
      </c>
      <c r="H89" s="12">
        <f>IFERROR(INDEX('Raw Data'!W:W,MATCH($A89,'Raw Data'!$C:$C,0)),0)</f>
        <v>8560.83</v>
      </c>
      <c r="I89" s="24">
        <f t="shared" si="4"/>
        <v>0.35375330578512398</v>
      </c>
    </row>
    <row r="90" spans="1:9" ht="15" customHeight="1" x14ac:dyDescent="0.35">
      <c r="A90" s="7" t="s">
        <v>149</v>
      </c>
      <c r="B90" s="10">
        <f>IFERROR(INDEX('Raw Data'!D:D,MATCH($A90,'Raw Data'!$C:$C,0)),0)</f>
        <v>720</v>
      </c>
      <c r="C90" s="9">
        <f>IFERROR(INDEX('Raw Data'!O:O,MATCH($A90,'Raw Data'!$C:$C,0)),0)</f>
        <v>0.87153583329999995</v>
      </c>
      <c r="D90" s="9">
        <f>IFERROR(INDEX('Raw Data'!P:P,MATCH($A90,'Raw Data'!$C:$C,0)),0)</f>
        <v>0.87258237289999996</v>
      </c>
      <c r="E90" s="8">
        <f>IFERROR(INDEX('Raw Data'!T:T,MATCH($A90,'Raw Data'!$C:$C,0)),0)</f>
        <v>944</v>
      </c>
      <c r="F90" s="8">
        <f>IFERROR(INDEX('Raw Data'!U:U,MATCH($A90,'Raw Data'!$C:$C,0)),0)</f>
        <v>23600</v>
      </c>
      <c r="G90" s="21">
        <f>IFERROR(INDEX('Raw Data'!V:V,MATCH($A90,'Raw Data'!$C:$C,0)),0)</f>
        <v>25</v>
      </c>
      <c r="H90" s="8">
        <f>IFERROR(INDEX('Raw Data'!W:W,MATCH($A90,'Raw Data'!$C:$C,0)),0)</f>
        <v>8525.17</v>
      </c>
      <c r="I90" s="22">
        <f t="shared" si="4"/>
        <v>0.36123601694915253</v>
      </c>
    </row>
    <row r="91" spans="1:9" ht="15" customHeight="1" x14ac:dyDescent="0.35">
      <c r="A91" s="11" t="s">
        <v>145</v>
      </c>
      <c r="B91" s="14">
        <f>IFERROR(INDEX('Raw Data'!D:D,MATCH($A91,'Raw Data'!$C:$C,0)),0)</f>
        <v>720</v>
      </c>
      <c r="C91" s="13">
        <f>IFERROR(INDEX('Raw Data'!O:O,MATCH($A91,'Raw Data'!$C:$C,0)),0)</f>
        <v>0.86590652779999999</v>
      </c>
      <c r="D91" s="13">
        <f>IFERROR(INDEX('Raw Data'!P:P,MATCH($A91,'Raw Data'!$C:$C,0)),0)</f>
        <v>0.78502827880000003</v>
      </c>
      <c r="E91" s="12">
        <f>IFERROR(INDEX('Raw Data'!T:T,MATCH($A91,'Raw Data'!$C:$C,0)),0)</f>
        <v>918</v>
      </c>
      <c r="F91" s="12">
        <f>IFERROR(INDEX('Raw Data'!U:U,MATCH($A91,'Raw Data'!$C:$C,0)),0)</f>
        <v>22950</v>
      </c>
      <c r="G91" s="23">
        <f>IFERROR(INDEX('Raw Data'!V:V,MATCH($A91,'Raw Data'!$C:$C,0)),0)</f>
        <v>25</v>
      </c>
      <c r="H91" s="12">
        <f>IFERROR(INDEX('Raw Data'!W:W,MATCH($A91,'Raw Data'!$C:$C,0)),0)</f>
        <v>7861.67</v>
      </c>
      <c r="I91" s="24">
        <f t="shared" si="4"/>
        <v>0.34255642701525058</v>
      </c>
    </row>
    <row r="92" spans="1:9" ht="15" customHeight="1" x14ac:dyDescent="0.35">
      <c r="A92" s="7" t="s">
        <v>153</v>
      </c>
      <c r="B92" s="10">
        <f>IFERROR(INDEX('Raw Data'!D:D,MATCH($A92,'Raw Data'!$C:$C,0)),0)</f>
        <v>720.00019999999904</v>
      </c>
      <c r="C92" s="9">
        <f>IFERROR(INDEX('Raw Data'!O:O,MATCH($A92,'Raw Data'!$C:$C,0)),0)</f>
        <v>0.84325018240000005</v>
      </c>
      <c r="D92" s="9">
        <f>IFERROR(INDEX('Raw Data'!P:P,MATCH($A92,'Raw Data'!$C:$C,0)),0)</f>
        <v>0.84954202509999999</v>
      </c>
      <c r="E92" s="8">
        <f>IFERROR(INDEX('Raw Data'!T:T,MATCH($A92,'Raw Data'!$C:$C,0)),0)</f>
        <v>917</v>
      </c>
      <c r="F92" s="8">
        <f>IFERROR(INDEX('Raw Data'!U:U,MATCH($A92,'Raw Data'!$C:$C,0)),0)</f>
        <v>22925</v>
      </c>
      <c r="G92" s="21">
        <f>IFERROR(INDEX('Raw Data'!V:V,MATCH($A92,'Raw Data'!$C:$C,0)),0)</f>
        <v>25</v>
      </c>
      <c r="H92" s="8">
        <f>IFERROR(INDEX('Raw Data'!W:W,MATCH($A92,'Raw Data'!$C:$C,0)),0)</f>
        <v>8099.49</v>
      </c>
      <c r="I92" s="22">
        <f t="shared" si="4"/>
        <v>0.35330381679389311</v>
      </c>
    </row>
    <row r="93" spans="1:9" ht="15" customHeight="1" x14ac:dyDescent="0.35">
      <c r="A93" s="11" t="s">
        <v>154</v>
      </c>
      <c r="B93" s="14">
        <f>IFERROR(INDEX('Raw Data'!D:D,MATCH($A93,'Raw Data'!$C:$C,0)),0)</f>
        <v>719.99919999999997</v>
      </c>
      <c r="C93" s="13">
        <f>IFERROR(INDEX('Raw Data'!O:O,MATCH($A93,'Raw Data'!$C:$C,0)),0)</f>
        <v>0.80578297860000003</v>
      </c>
      <c r="D93" s="13">
        <f>IFERROR(INDEX('Raw Data'!P:P,MATCH($A93,'Raw Data'!$C:$C,0)),0)</f>
        <v>0.86502192229999997</v>
      </c>
      <c r="E93" s="12">
        <f>IFERROR(INDEX('Raw Data'!T:T,MATCH($A93,'Raw Data'!$C:$C,0)),0)</f>
        <v>912</v>
      </c>
      <c r="F93" s="12">
        <f>IFERROR(INDEX('Raw Data'!U:U,MATCH($A93,'Raw Data'!$C:$C,0)),0)</f>
        <v>22800</v>
      </c>
      <c r="G93" s="23">
        <f>IFERROR(INDEX('Raw Data'!V:V,MATCH($A93,'Raw Data'!$C:$C,0)),0)</f>
        <v>25</v>
      </c>
      <c r="H93" s="12">
        <f>IFERROR(INDEX('Raw Data'!W:W,MATCH($A93,'Raw Data'!$C:$C,0)),0)</f>
        <v>7097.31</v>
      </c>
      <c r="I93" s="24">
        <f t="shared" si="4"/>
        <v>0.31128552631578948</v>
      </c>
    </row>
    <row r="94" spans="1:9" ht="15" customHeight="1" x14ac:dyDescent="0.35">
      <c r="A94" s="7" t="s">
        <v>142</v>
      </c>
      <c r="B94" s="10">
        <f>IFERROR(INDEX('Raw Data'!D:D,MATCH($A94,'Raw Data'!$C:$C,0)),0)</f>
        <v>719.99940000000004</v>
      </c>
      <c r="C94" s="9">
        <f>IFERROR(INDEX('Raw Data'!O:O,MATCH($A94,'Raw Data'!$C:$C,0)),0)</f>
        <v>0.75247021039999995</v>
      </c>
      <c r="D94" s="9">
        <f>IFERROR(INDEX('Raw Data'!P:P,MATCH($A94,'Raw Data'!$C:$C,0)),0)</f>
        <v>0.87159613869999997</v>
      </c>
      <c r="E94" s="8">
        <f>IFERROR(INDEX('Raw Data'!T:T,MATCH($A94,'Raw Data'!$C:$C,0)),0)</f>
        <v>897</v>
      </c>
      <c r="F94" s="8">
        <f>IFERROR(INDEX('Raw Data'!U:U,MATCH($A94,'Raw Data'!$C:$C,0)),0)</f>
        <v>22425</v>
      </c>
      <c r="G94" s="21">
        <f>IFERROR(INDEX('Raw Data'!V:V,MATCH($A94,'Raw Data'!$C:$C,0)),0)</f>
        <v>25</v>
      </c>
      <c r="H94" s="8">
        <f>IFERROR(INDEX('Raw Data'!W:W,MATCH($A94,'Raw Data'!$C:$C,0)),0)</f>
        <v>7858.5199999999904</v>
      </c>
      <c r="I94" s="22">
        <f t="shared" si="4"/>
        <v>0.35043567447045665</v>
      </c>
    </row>
    <row r="95" spans="1:9" ht="15" customHeight="1" x14ac:dyDescent="0.35">
      <c r="A95" s="11" t="s">
        <v>143</v>
      </c>
      <c r="B95" s="14">
        <f>IFERROR(INDEX('Raw Data'!D:D,MATCH($A95,'Raw Data'!$C:$C,0)),0)</f>
        <v>719.99990000000003</v>
      </c>
      <c r="C95" s="13">
        <f>IFERROR(INDEX('Raw Data'!O:O,MATCH($A95,'Raw Data'!$C:$C,0)),0)</f>
        <v>0.8507987293</v>
      </c>
      <c r="D95" s="13">
        <f>IFERROR(INDEX('Raw Data'!P:P,MATCH($A95,'Raw Data'!$C:$C,0)),0)</f>
        <v>0.86732759250000002</v>
      </c>
      <c r="E95" s="12">
        <f>IFERROR(INDEX('Raw Data'!T:T,MATCH($A95,'Raw Data'!$C:$C,0)),0)</f>
        <v>891</v>
      </c>
      <c r="F95" s="12">
        <f>IFERROR(INDEX('Raw Data'!U:U,MATCH($A95,'Raw Data'!$C:$C,0)),0)</f>
        <v>22275</v>
      </c>
      <c r="G95" s="23">
        <f>IFERROR(INDEX('Raw Data'!V:V,MATCH($A95,'Raw Data'!$C:$C,0)),0)</f>
        <v>25</v>
      </c>
      <c r="H95" s="12">
        <f>IFERROR(INDEX('Raw Data'!W:W,MATCH($A95,'Raw Data'!$C:$C,0)),0)</f>
        <v>7944.5599999999904</v>
      </c>
      <c r="I95" s="24">
        <f t="shared" si="4"/>
        <v>0.35665813692480314</v>
      </c>
    </row>
    <row r="96" spans="1:9" ht="15" customHeight="1" x14ac:dyDescent="0.35">
      <c r="A96" s="7" t="s">
        <v>174</v>
      </c>
      <c r="B96" s="10">
        <f>IFERROR(INDEX('Raw Data'!D:D,MATCH($A96,'Raw Data'!$C:$C,0)),0)</f>
        <v>720.000799999999</v>
      </c>
      <c r="C96" s="9">
        <f>IFERROR(INDEX('Raw Data'!O:O,MATCH($A96,'Raw Data'!$C:$C,0)),0)</f>
        <v>0.60935501739999998</v>
      </c>
      <c r="D96" s="9">
        <f>IFERROR(INDEX('Raw Data'!P:P,MATCH($A96,'Raw Data'!$C:$C,0)),0)</f>
        <v>0.88494632650000005</v>
      </c>
      <c r="E96" s="8">
        <f>IFERROR(INDEX('Raw Data'!T:T,MATCH($A96,'Raw Data'!$C:$C,0)),0)</f>
        <v>870</v>
      </c>
      <c r="F96" s="8">
        <f>IFERROR(INDEX('Raw Data'!U:U,MATCH($A96,'Raw Data'!$C:$C,0)),0)</f>
        <v>36540</v>
      </c>
      <c r="G96" s="21">
        <f>IFERROR(INDEX('Raw Data'!V:V,MATCH($A96,'Raw Data'!$C:$C,0)),0)</f>
        <v>42</v>
      </c>
      <c r="H96" s="8">
        <f>IFERROR(INDEX('Raw Data'!W:W,MATCH($A96,'Raw Data'!$C:$C,0)),0)</f>
        <v>18095.879999999899</v>
      </c>
      <c r="I96" s="22">
        <f t="shared" si="4"/>
        <v>0.49523481116584289</v>
      </c>
    </row>
    <row r="97" spans="1:9" ht="15" customHeight="1" x14ac:dyDescent="0.35">
      <c r="A97" s="11" t="s">
        <v>127</v>
      </c>
      <c r="B97" s="14">
        <f>IFERROR(INDEX('Raw Data'!D:D,MATCH($A97,'Raw Data'!$C:$C,0)),0)</f>
        <v>719.99929999999995</v>
      </c>
      <c r="C97" s="13">
        <f>IFERROR(INDEX('Raw Data'!O:O,MATCH($A97,'Raw Data'!$C:$C,0)),0)</f>
        <v>0.68947122589999998</v>
      </c>
      <c r="D97" s="13">
        <f>IFERROR(INDEX('Raw Data'!P:P,MATCH($A97,'Raw Data'!$C:$C,0)),0)</f>
        <v>0.85681364199999999</v>
      </c>
      <c r="E97" s="12">
        <f>IFERROR(INDEX('Raw Data'!T:T,MATCH($A97,'Raw Data'!$C:$C,0)),0)</f>
        <v>870</v>
      </c>
      <c r="F97" s="12">
        <f>IFERROR(INDEX('Raw Data'!U:U,MATCH($A97,'Raw Data'!$C:$C,0)),0)</f>
        <v>21750</v>
      </c>
      <c r="G97" s="23">
        <f>IFERROR(INDEX('Raw Data'!V:V,MATCH($A97,'Raw Data'!$C:$C,0)),0)</f>
        <v>25</v>
      </c>
      <c r="H97" s="12">
        <f>IFERROR(INDEX('Raw Data'!W:W,MATCH($A97,'Raw Data'!$C:$C,0)),0)</f>
        <v>7175.45999999999</v>
      </c>
      <c r="I97" s="24">
        <f t="shared" si="4"/>
        <v>0.32990620689655126</v>
      </c>
    </row>
    <row r="98" spans="1:9" ht="15" customHeight="1" x14ac:dyDescent="0.35">
      <c r="A98" s="7" t="s">
        <v>136</v>
      </c>
      <c r="B98" s="10">
        <f>IFERROR(INDEX('Raw Data'!D:D,MATCH($A98,'Raw Data'!$C:$C,0)),0)</f>
        <v>719.99929999999995</v>
      </c>
      <c r="C98" s="9">
        <f>IFERROR(INDEX('Raw Data'!O:O,MATCH($A98,'Raw Data'!$C:$C,0)),0)</f>
        <v>0.84681512879999998</v>
      </c>
      <c r="D98" s="9">
        <f>IFERROR(INDEX('Raw Data'!P:P,MATCH($A98,'Raw Data'!$C:$C,0)),0)</f>
        <v>0.85235809439999999</v>
      </c>
      <c r="E98" s="8">
        <f>IFERROR(INDEX('Raw Data'!T:T,MATCH($A98,'Raw Data'!$C:$C,0)),0)</f>
        <v>866</v>
      </c>
      <c r="F98" s="8">
        <f>IFERROR(INDEX('Raw Data'!U:U,MATCH($A98,'Raw Data'!$C:$C,0)),0)</f>
        <v>21650</v>
      </c>
      <c r="G98" s="21">
        <f>IFERROR(INDEX('Raw Data'!V:V,MATCH($A98,'Raw Data'!$C:$C,0)),0)</f>
        <v>25</v>
      </c>
      <c r="H98" s="8">
        <f>IFERROR(INDEX('Raw Data'!W:W,MATCH($A98,'Raw Data'!$C:$C,0)),0)</f>
        <v>7553.03</v>
      </c>
      <c r="I98" s="22">
        <f t="shared" si="4"/>
        <v>0.34886974595842957</v>
      </c>
    </row>
    <row r="99" spans="1:9" ht="15" customHeight="1" x14ac:dyDescent="0.35">
      <c r="A99" s="11" t="s">
        <v>109</v>
      </c>
      <c r="B99" s="14">
        <f>IFERROR(INDEX('Raw Data'!D:D,MATCH($A99,'Raw Data'!$C:$C,0)),0)</f>
        <v>719.99879999999996</v>
      </c>
      <c r="C99" s="13">
        <f>IFERROR(INDEX('Raw Data'!O:O,MATCH($A99,'Raw Data'!$C:$C,0)),0)</f>
        <v>0.68893087040000001</v>
      </c>
      <c r="D99" s="13">
        <f>IFERROR(INDEX('Raw Data'!P:P,MATCH($A99,'Raw Data'!$C:$C,0)),0)</f>
        <v>0.8619154429</v>
      </c>
      <c r="E99" s="12">
        <f>IFERROR(INDEX('Raw Data'!T:T,MATCH($A99,'Raw Data'!$C:$C,0)),0)</f>
        <v>865</v>
      </c>
      <c r="F99" s="12">
        <f>IFERROR(INDEX('Raw Data'!U:U,MATCH($A99,'Raw Data'!$C:$C,0)),0)</f>
        <v>21625</v>
      </c>
      <c r="G99" s="23">
        <f>IFERROR(INDEX('Raw Data'!V:V,MATCH($A99,'Raw Data'!$C:$C,0)),0)</f>
        <v>25</v>
      </c>
      <c r="H99" s="12">
        <f>IFERROR(INDEX('Raw Data'!W:W,MATCH($A99,'Raw Data'!$C:$C,0)),0)</f>
        <v>6827.2699999999904</v>
      </c>
      <c r="I99" s="24">
        <f t="shared" si="4"/>
        <v>0.31571190751445044</v>
      </c>
    </row>
    <row r="100" spans="1:9" ht="15" customHeight="1" x14ac:dyDescent="0.35">
      <c r="A100" s="7" t="s">
        <v>157</v>
      </c>
      <c r="B100" s="10">
        <f>IFERROR(INDEX('Raw Data'!D:D,MATCH($A100,'Raw Data'!$C:$C,0)),0)</f>
        <v>720.00119999999902</v>
      </c>
      <c r="C100" s="9">
        <f>IFERROR(INDEX('Raw Data'!O:O,MATCH($A100,'Raw Data'!$C:$C,0)),0)</f>
        <v>0.70703951600000003</v>
      </c>
      <c r="D100" s="9">
        <f>IFERROR(INDEX('Raw Data'!P:P,MATCH($A100,'Raw Data'!$C:$C,0)),0)</f>
        <v>0.86053902680000005</v>
      </c>
      <c r="E100" s="8">
        <f>IFERROR(INDEX('Raw Data'!T:T,MATCH($A100,'Raw Data'!$C:$C,0)),0)</f>
        <v>849</v>
      </c>
      <c r="F100" s="8">
        <f>IFERROR(INDEX('Raw Data'!U:U,MATCH($A100,'Raw Data'!$C:$C,0)),0)</f>
        <v>21225</v>
      </c>
      <c r="G100" s="21">
        <f>IFERROR(INDEX('Raw Data'!V:V,MATCH($A100,'Raw Data'!$C:$C,0)),0)</f>
        <v>25</v>
      </c>
      <c r="H100" s="8">
        <f>IFERROR(INDEX('Raw Data'!W:W,MATCH($A100,'Raw Data'!$C:$C,0)),0)</f>
        <v>6965.95999999999</v>
      </c>
      <c r="I100" s="22">
        <f t="shared" si="4"/>
        <v>0.32819599528857435</v>
      </c>
    </row>
    <row r="101" spans="1:9" ht="15" customHeight="1" x14ac:dyDescent="0.35">
      <c r="A101" s="11" t="s">
        <v>114</v>
      </c>
      <c r="B101" s="14">
        <f>IFERROR(INDEX('Raw Data'!D:D,MATCH($A101,'Raw Data'!$C:$C,0)),0)</f>
        <v>720.00069999999903</v>
      </c>
      <c r="C101" s="13">
        <f>IFERROR(INDEX('Raw Data'!O:O,MATCH($A101,'Raw Data'!$C:$C,0)),0)</f>
        <v>0.41171862749999999</v>
      </c>
      <c r="D101" s="13">
        <f>IFERROR(INDEX('Raw Data'!P:P,MATCH($A101,'Raw Data'!$C:$C,0)),0)</f>
        <v>0.85421759779999995</v>
      </c>
      <c r="E101" s="12">
        <f>IFERROR(INDEX('Raw Data'!T:T,MATCH($A101,'Raw Data'!$C:$C,0)),0)</f>
        <v>843</v>
      </c>
      <c r="F101" s="12">
        <f>IFERROR(INDEX('Raw Data'!U:U,MATCH($A101,'Raw Data'!$C:$C,0)),0)</f>
        <v>21075</v>
      </c>
      <c r="G101" s="23">
        <f>IFERROR(INDEX('Raw Data'!V:V,MATCH($A101,'Raw Data'!$C:$C,0)),0)</f>
        <v>25</v>
      </c>
      <c r="H101" s="12">
        <f>IFERROR(INDEX('Raw Data'!W:W,MATCH($A101,'Raw Data'!$C:$C,0)),0)</f>
        <v>7320.46</v>
      </c>
      <c r="I101" s="24">
        <f t="shared" si="4"/>
        <v>0.34735278766310795</v>
      </c>
    </row>
    <row r="102" spans="1:9" ht="15" customHeight="1" x14ac:dyDescent="0.35">
      <c r="A102" s="7" t="s">
        <v>151</v>
      </c>
      <c r="B102" s="10">
        <f>IFERROR(INDEX('Raw Data'!D:D,MATCH($A102,'Raw Data'!$C:$C,0)),0)</f>
        <v>720.00009999999895</v>
      </c>
      <c r="C102" s="9">
        <f>IFERROR(INDEX('Raw Data'!O:O,MATCH($A102,'Raw Data'!$C:$C,0)),0)</f>
        <v>0.70255601349999997</v>
      </c>
      <c r="D102" s="9">
        <f>IFERROR(INDEX('Raw Data'!P:P,MATCH($A102,'Raw Data'!$C:$C,0)),0)</f>
        <v>0.856724967</v>
      </c>
      <c r="E102" s="8">
        <f>IFERROR(INDEX('Raw Data'!T:T,MATCH($A102,'Raw Data'!$C:$C,0)),0)</f>
        <v>838</v>
      </c>
      <c r="F102" s="8">
        <f>IFERROR(INDEX('Raw Data'!U:U,MATCH($A102,'Raw Data'!$C:$C,0)),0)</f>
        <v>20950</v>
      </c>
      <c r="G102" s="21">
        <f>IFERROR(INDEX('Raw Data'!V:V,MATCH($A102,'Raw Data'!$C:$C,0)),0)</f>
        <v>25</v>
      </c>
      <c r="H102" s="8">
        <f>IFERROR(INDEX('Raw Data'!W:W,MATCH($A102,'Raw Data'!$C:$C,0)),0)</f>
        <v>7605.7699999999904</v>
      </c>
      <c r="I102" s="22">
        <f t="shared" si="4"/>
        <v>0.36304391408114511</v>
      </c>
    </row>
    <row r="103" spans="1:9" ht="15" customHeight="1" x14ac:dyDescent="0.35">
      <c r="A103" s="11" t="s">
        <v>140</v>
      </c>
      <c r="B103" s="14">
        <f>IFERROR(INDEX('Raw Data'!D:D,MATCH($A103,'Raw Data'!$C:$C,0)),0)</f>
        <v>720.00070000000005</v>
      </c>
      <c r="C103" s="13">
        <f>IFERROR(INDEX('Raw Data'!O:O,MATCH($A103,'Raw Data'!$C:$C,0)),0)</f>
        <v>0.82873474979999995</v>
      </c>
      <c r="D103" s="13">
        <f>IFERROR(INDEX('Raw Data'!P:P,MATCH($A103,'Raw Data'!$C:$C,0)),0)</f>
        <v>0.85064613160000002</v>
      </c>
      <c r="E103" s="12">
        <f>IFERROR(INDEX('Raw Data'!T:T,MATCH($A103,'Raw Data'!$C:$C,0)),0)</f>
        <v>834</v>
      </c>
      <c r="F103" s="12">
        <f>IFERROR(INDEX('Raw Data'!U:U,MATCH($A103,'Raw Data'!$C:$C,0)),0)</f>
        <v>20850</v>
      </c>
      <c r="G103" s="23">
        <f>IFERROR(INDEX('Raw Data'!V:V,MATCH($A103,'Raw Data'!$C:$C,0)),0)</f>
        <v>25</v>
      </c>
      <c r="H103" s="12">
        <f>IFERROR(INDEX('Raw Data'!W:W,MATCH($A103,'Raw Data'!$C:$C,0)),0)</f>
        <v>7943.83</v>
      </c>
      <c r="I103" s="24">
        <f t="shared" si="4"/>
        <v>0.38099904076738611</v>
      </c>
    </row>
    <row r="104" spans="1:9" ht="15" customHeight="1" x14ac:dyDescent="0.35">
      <c r="A104" s="7" t="s">
        <v>118</v>
      </c>
      <c r="B104" s="10">
        <f>IFERROR(INDEX('Raw Data'!D:D,MATCH($A104,'Raw Data'!$C:$C,0)),0)</f>
        <v>720.0009</v>
      </c>
      <c r="C104" s="9">
        <f>IFERROR(INDEX('Raw Data'!O:O,MATCH($A104,'Raw Data'!$C:$C,0)),0)</f>
        <v>0.68688872469999995</v>
      </c>
      <c r="D104" s="9">
        <f>IFERROR(INDEX('Raw Data'!P:P,MATCH($A104,'Raw Data'!$C:$C,0)),0)</f>
        <v>0.86324039220000004</v>
      </c>
      <c r="E104" s="8">
        <f>IFERROR(INDEX('Raw Data'!T:T,MATCH($A104,'Raw Data'!$C:$C,0)),0)</f>
        <v>775</v>
      </c>
      <c r="F104" s="8">
        <f>IFERROR(INDEX('Raw Data'!U:U,MATCH($A104,'Raw Data'!$C:$C,0)),0)</f>
        <v>19375</v>
      </c>
      <c r="G104" s="21">
        <f>IFERROR(INDEX('Raw Data'!V:V,MATCH($A104,'Raw Data'!$C:$C,0)),0)</f>
        <v>25</v>
      </c>
      <c r="H104" s="8">
        <f>IFERROR(INDEX('Raw Data'!W:W,MATCH($A104,'Raw Data'!$C:$C,0)),0)</f>
        <v>6531.21</v>
      </c>
      <c r="I104" s="22">
        <f t="shared" ref="I104:I135" si="5">IFERROR(H104/F104,"-")</f>
        <v>0.33709470967741934</v>
      </c>
    </row>
    <row r="105" spans="1:9" ht="15" customHeight="1" x14ac:dyDescent="0.35">
      <c r="A105" s="11" t="s">
        <v>160</v>
      </c>
      <c r="B105" s="14">
        <f>IFERROR(INDEX('Raw Data'!D:D,MATCH($A105,'Raw Data'!$C:$C,0)),0)</f>
        <v>720.00120000000004</v>
      </c>
      <c r="C105" s="13">
        <f>IFERROR(INDEX('Raw Data'!O:O,MATCH($A105,'Raw Data'!$C:$C,0)),0)</f>
        <v>0.65851112469999995</v>
      </c>
      <c r="D105" s="13">
        <f>IFERROR(INDEX('Raw Data'!P:P,MATCH($A105,'Raw Data'!$C:$C,0)),0)</f>
        <v>0.87007813069999995</v>
      </c>
      <c r="E105" s="12">
        <f>IFERROR(INDEX('Raw Data'!T:T,MATCH($A105,'Raw Data'!$C:$C,0)),0)</f>
        <v>770</v>
      </c>
      <c r="F105" s="12">
        <f>IFERROR(INDEX('Raw Data'!U:U,MATCH($A105,'Raw Data'!$C:$C,0)),0)</f>
        <v>21560</v>
      </c>
      <c r="G105" s="23">
        <f>IFERROR(INDEX('Raw Data'!V:V,MATCH($A105,'Raw Data'!$C:$C,0)),0)</f>
        <v>28</v>
      </c>
      <c r="H105" s="12">
        <f>IFERROR(INDEX('Raw Data'!W:W,MATCH($A105,'Raw Data'!$C:$C,0)),0)</f>
        <v>7300.91</v>
      </c>
      <c r="I105" s="24">
        <f t="shared" si="5"/>
        <v>0.33863218923933208</v>
      </c>
    </row>
    <row r="106" spans="1:9" ht="15" customHeight="1" x14ac:dyDescent="0.35">
      <c r="A106" s="7" t="s">
        <v>108</v>
      </c>
      <c r="B106" s="10">
        <f>IFERROR(INDEX('Raw Data'!D:D,MATCH($A106,'Raw Data'!$C:$C,0)),0)</f>
        <v>720.00009999999997</v>
      </c>
      <c r="C106" s="9">
        <f>IFERROR(INDEX('Raw Data'!O:O,MATCH($A106,'Raw Data'!$C:$C,0)),0)</f>
        <v>0.34477411879999997</v>
      </c>
      <c r="D106" s="9">
        <f>IFERROR(INDEX('Raw Data'!P:P,MATCH($A106,'Raw Data'!$C:$C,0)),0)</f>
        <v>0.84790768839999997</v>
      </c>
      <c r="E106" s="8">
        <f>IFERROR(INDEX('Raw Data'!T:T,MATCH($A106,'Raw Data'!$C:$C,0)),0)</f>
        <v>745</v>
      </c>
      <c r="F106" s="8">
        <f>IFERROR(INDEX('Raw Data'!U:U,MATCH($A106,'Raw Data'!$C:$C,0)),0)</f>
        <v>18625</v>
      </c>
      <c r="G106" s="21">
        <f>IFERROR(INDEX('Raw Data'!V:V,MATCH($A106,'Raw Data'!$C:$C,0)),0)</f>
        <v>25</v>
      </c>
      <c r="H106" s="8">
        <f>IFERROR(INDEX('Raw Data'!W:W,MATCH($A106,'Raw Data'!$C:$C,0)),0)</f>
        <v>6712.86</v>
      </c>
      <c r="I106" s="22">
        <f t="shared" si="5"/>
        <v>0.36042201342281877</v>
      </c>
    </row>
    <row r="107" spans="1:9" ht="15" customHeight="1" x14ac:dyDescent="0.35">
      <c r="A107" s="11" t="s">
        <v>148</v>
      </c>
      <c r="B107" s="14">
        <f>IFERROR(INDEX('Raw Data'!D:D,MATCH($A107,'Raw Data'!$C:$C,0)),0)</f>
        <v>719.99979999999903</v>
      </c>
      <c r="C107" s="13">
        <f>IFERROR(INDEX('Raw Data'!O:O,MATCH($A107,'Raw Data'!$C:$C,0)),0)</f>
        <v>0.70363200100000001</v>
      </c>
      <c r="D107" s="13">
        <f>IFERROR(INDEX('Raw Data'!P:P,MATCH($A107,'Raw Data'!$C:$C,0)),0)</f>
        <v>0.87000263909999997</v>
      </c>
      <c r="E107" s="12">
        <f>IFERROR(INDEX('Raw Data'!T:T,MATCH($A107,'Raw Data'!$C:$C,0)),0)</f>
        <v>743</v>
      </c>
      <c r="F107" s="12">
        <f>IFERROR(INDEX('Raw Data'!U:U,MATCH($A107,'Raw Data'!$C:$C,0)),0)</f>
        <v>18575</v>
      </c>
      <c r="G107" s="23">
        <f>IFERROR(INDEX('Raw Data'!V:V,MATCH($A107,'Raw Data'!$C:$C,0)),0)</f>
        <v>25</v>
      </c>
      <c r="H107" s="12">
        <f>IFERROR(INDEX('Raw Data'!W:W,MATCH($A107,'Raw Data'!$C:$C,0)),0)</f>
        <v>6785.3699999999899</v>
      </c>
      <c r="I107" s="24">
        <f t="shared" si="5"/>
        <v>0.36529582772543689</v>
      </c>
    </row>
    <row r="108" spans="1:9" ht="15" customHeight="1" x14ac:dyDescent="0.35">
      <c r="A108" s="7" t="s">
        <v>144</v>
      </c>
      <c r="B108" s="10">
        <f>IFERROR(INDEX('Raw Data'!D:D,MATCH($A108,'Raw Data'!$C:$C,0)),0)</f>
        <v>720.00030000000004</v>
      </c>
      <c r="C108" s="9">
        <f>IFERROR(INDEX('Raw Data'!O:O,MATCH($A108,'Raw Data'!$C:$C,0)),0)</f>
        <v>0.66251097400000003</v>
      </c>
      <c r="D108" s="9">
        <f>IFERROR(INDEX('Raw Data'!P:P,MATCH($A108,'Raw Data'!$C:$C,0)),0)</f>
        <v>0.89022555380000001</v>
      </c>
      <c r="E108" s="8">
        <f>IFERROR(INDEX('Raw Data'!T:T,MATCH($A108,'Raw Data'!$C:$C,0)),0)</f>
        <v>739</v>
      </c>
      <c r="F108" s="8">
        <f>IFERROR(INDEX('Raw Data'!U:U,MATCH($A108,'Raw Data'!$C:$C,0)),0)</f>
        <v>18475</v>
      </c>
      <c r="G108" s="21">
        <f>IFERROR(INDEX('Raw Data'!V:V,MATCH($A108,'Raw Data'!$C:$C,0)),0)</f>
        <v>25</v>
      </c>
      <c r="H108" s="8">
        <f>IFERROR(INDEX('Raw Data'!W:W,MATCH($A108,'Raw Data'!$C:$C,0)),0)</f>
        <v>7385.78</v>
      </c>
      <c r="I108" s="22">
        <f t="shared" si="5"/>
        <v>0.39977158322056833</v>
      </c>
    </row>
    <row r="109" spans="1:9" ht="15" customHeight="1" x14ac:dyDescent="0.35">
      <c r="A109" s="11" t="s">
        <v>155</v>
      </c>
      <c r="B109" s="14">
        <f>IFERROR(INDEX('Raw Data'!D:D,MATCH($A109,'Raw Data'!$C:$C,0)),0)</f>
        <v>720.00059999999996</v>
      </c>
      <c r="C109" s="13">
        <f>IFERROR(INDEX('Raw Data'!O:O,MATCH($A109,'Raw Data'!$C:$C,0)),0)</f>
        <v>0.67031069139999999</v>
      </c>
      <c r="D109" s="13">
        <f>IFERROR(INDEX('Raw Data'!P:P,MATCH($A109,'Raw Data'!$C:$C,0)),0)</f>
        <v>0.85434606349999997</v>
      </c>
      <c r="E109" s="12">
        <f>IFERROR(INDEX('Raw Data'!T:T,MATCH($A109,'Raw Data'!$C:$C,0)),0)</f>
        <v>739</v>
      </c>
      <c r="F109" s="12">
        <f>IFERROR(INDEX('Raw Data'!U:U,MATCH($A109,'Raw Data'!$C:$C,0)),0)</f>
        <v>18475</v>
      </c>
      <c r="G109" s="23">
        <f>IFERROR(INDEX('Raw Data'!V:V,MATCH($A109,'Raw Data'!$C:$C,0)),0)</f>
        <v>25</v>
      </c>
      <c r="H109" s="12">
        <f>IFERROR(INDEX('Raw Data'!W:W,MATCH($A109,'Raw Data'!$C:$C,0)),0)</f>
        <v>6760.68</v>
      </c>
      <c r="I109" s="24">
        <f t="shared" si="5"/>
        <v>0.36593667117726658</v>
      </c>
    </row>
    <row r="110" spans="1:9" ht="15" customHeight="1" x14ac:dyDescent="0.35">
      <c r="A110" s="7" t="s">
        <v>138</v>
      </c>
      <c r="B110" s="10">
        <f>IFERROR(INDEX('Raw Data'!D:D,MATCH($A110,'Raw Data'!$C:$C,0)),0)</f>
        <v>720.00009999999997</v>
      </c>
      <c r="C110" s="9">
        <f>IFERROR(INDEX('Raw Data'!O:O,MATCH($A110,'Raw Data'!$C:$C,0)),0)</f>
        <v>0.71484865070000003</v>
      </c>
      <c r="D110" s="9">
        <f>IFERROR(INDEX('Raw Data'!P:P,MATCH($A110,'Raw Data'!$C:$C,0)),0)</f>
        <v>0.86473148649999998</v>
      </c>
      <c r="E110" s="8">
        <f>IFERROR(INDEX('Raw Data'!T:T,MATCH($A110,'Raw Data'!$C:$C,0)),0)</f>
        <v>736</v>
      </c>
      <c r="F110" s="8">
        <f>IFERROR(INDEX('Raw Data'!U:U,MATCH($A110,'Raw Data'!$C:$C,0)),0)</f>
        <v>18400</v>
      </c>
      <c r="G110" s="21">
        <f>IFERROR(INDEX('Raw Data'!V:V,MATCH($A110,'Raw Data'!$C:$C,0)),0)</f>
        <v>25</v>
      </c>
      <c r="H110" s="8">
        <f>IFERROR(INDEX('Raw Data'!W:W,MATCH($A110,'Raw Data'!$C:$C,0)),0)</f>
        <v>6754.47</v>
      </c>
      <c r="I110" s="22">
        <f t="shared" si="5"/>
        <v>0.36709076086956521</v>
      </c>
    </row>
    <row r="111" spans="1:9" ht="15" customHeight="1" x14ac:dyDescent="0.35">
      <c r="A111" s="11" t="s">
        <v>107</v>
      </c>
      <c r="B111" s="14">
        <f>IFERROR(INDEX('Raw Data'!D:D,MATCH($A111,'Raw Data'!$C:$C,0)),0)</f>
        <v>719.99969999999905</v>
      </c>
      <c r="C111" s="13">
        <f>IFERROR(INDEX('Raw Data'!O:O,MATCH($A111,'Raw Data'!$C:$C,0)),0)</f>
        <v>0.59342038610000003</v>
      </c>
      <c r="D111" s="13">
        <f>IFERROR(INDEX('Raw Data'!P:P,MATCH($A111,'Raw Data'!$C:$C,0)),0)</f>
        <v>0.85759339980000004</v>
      </c>
      <c r="E111" s="12">
        <f>IFERROR(INDEX('Raw Data'!T:T,MATCH($A111,'Raw Data'!$C:$C,0)),0)</f>
        <v>685</v>
      </c>
      <c r="F111" s="12">
        <f>IFERROR(INDEX('Raw Data'!U:U,MATCH($A111,'Raw Data'!$C:$C,0)),0)</f>
        <v>17125</v>
      </c>
      <c r="G111" s="23">
        <f>IFERROR(INDEX('Raw Data'!V:V,MATCH($A111,'Raw Data'!$C:$C,0)),0)</f>
        <v>25</v>
      </c>
      <c r="H111" s="12">
        <f>IFERROR(INDEX('Raw Data'!W:W,MATCH($A111,'Raw Data'!$C:$C,0)),0)</f>
        <v>5923.09</v>
      </c>
      <c r="I111" s="24">
        <f t="shared" si="5"/>
        <v>0.34587386861313868</v>
      </c>
    </row>
    <row r="112" spans="1:9" ht="15" customHeight="1" x14ac:dyDescent="0.35">
      <c r="A112" s="7" t="s">
        <v>156</v>
      </c>
      <c r="B112" s="10">
        <f>IFERROR(INDEX('Raw Data'!D:D,MATCH($A112,'Raw Data'!$C:$C,0)),0)</f>
        <v>720</v>
      </c>
      <c r="C112" s="9">
        <f>IFERROR(INDEX('Raw Data'!O:O,MATCH($A112,'Raw Data'!$C:$C,0)),0)</f>
        <v>0.65971111110000002</v>
      </c>
      <c r="D112" s="9">
        <f>IFERROR(INDEX('Raw Data'!P:P,MATCH($A112,'Raw Data'!$C:$C,0)),0)</f>
        <v>0.86109597640000002</v>
      </c>
      <c r="E112" s="8">
        <f>IFERROR(INDEX('Raw Data'!T:T,MATCH($A112,'Raw Data'!$C:$C,0)),0)</f>
        <v>677</v>
      </c>
      <c r="F112" s="8">
        <f>IFERROR(INDEX('Raw Data'!U:U,MATCH($A112,'Raw Data'!$C:$C,0)),0)</f>
        <v>16925</v>
      </c>
      <c r="G112" s="21">
        <f>IFERROR(INDEX('Raw Data'!V:V,MATCH($A112,'Raw Data'!$C:$C,0)),0)</f>
        <v>25</v>
      </c>
      <c r="H112" s="8">
        <f>IFERROR(INDEX('Raw Data'!W:W,MATCH($A112,'Raw Data'!$C:$C,0)),0)</f>
        <v>6987.98</v>
      </c>
      <c r="I112" s="22">
        <f t="shared" si="5"/>
        <v>0.41287917282127029</v>
      </c>
    </row>
    <row r="113" spans="1:9" ht="15" customHeight="1" x14ac:dyDescent="0.35">
      <c r="A113" s="11" t="s">
        <v>135</v>
      </c>
      <c r="B113" s="14">
        <f>IFERROR(INDEX('Raw Data'!D:D,MATCH($A113,'Raw Data'!$C:$C,0)),0)</f>
        <v>719.99980000000005</v>
      </c>
      <c r="C113" s="13">
        <f>IFERROR(INDEX('Raw Data'!O:O,MATCH($A113,'Raw Data'!$C:$C,0)),0)</f>
        <v>0.63931656650000002</v>
      </c>
      <c r="D113" s="13">
        <f>IFERROR(INDEX('Raw Data'!P:P,MATCH($A113,'Raw Data'!$C:$C,0)),0)</f>
        <v>0.86405965750000002</v>
      </c>
      <c r="E113" s="12">
        <f>IFERROR(INDEX('Raw Data'!T:T,MATCH($A113,'Raw Data'!$C:$C,0)),0)</f>
        <v>651</v>
      </c>
      <c r="F113" s="12">
        <f>IFERROR(INDEX('Raw Data'!U:U,MATCH($A113,'Raw Data'!$C:$C,0)),0)</f>
        <v>16275</v>
      </c>
      <c r="G113" s="23">
        <f>IFERROR(INDEX('Raw Data'!V:V,MATCH($A113,'Raw Data'!$C:$C,0)),0)</f>
        <v>25</v>
      </c>
      <c r="H113" s="12">
        <f>IFERROR(INDEX('Raw Data'!W:W,MATCH($A113,'Raw Data'!$C:$C,0)),0)</f>
        <v>6420.8299999999899</v>
      </c>
      <c r="I113" s="24">
        <f t="shared" si="5"/>
        <v>0.39452104454685039</v>
      </c>
    </row>
    <row r="114" spans="1:9" ht="15" customHeight="1" x14ac:dyDescent="0.35">
      <c r="A114" s="7" t="s">
        <v>130</v>
      </c>
      <c r="B114" s="10">
        <f>IFERROR(INDEX('Raw Data'!D:D,MATCH($A114,'Raw Data'!$C:$C,0)),0)</f>
        <v>720.00049999999896</v>
      </c>
      <c r="C114" s="9">
        <f>IFERROR(INDEX('Raw Data'!O:O,MATCH($A114,'Raw Data'!$C:$C,0)),0)</f>
        <v>0.61795901529999997</v>
      </c>
      <c r="D114" s="9">
        <f>IFERROR(INDEX('Raw Data'!P:P,MATCH($A114,'Raw Data'!$C:$C,0)),0)</f>
        <v>0.85410293020000005</v>
      </c>
      <c r="E114" s="8">
        <f>IFERROR(INDEX('Raw Data'!T:T,MATCH($A114,'Raw Data'!$C:$C,0)),0)</f>
        <v>642</v>
      </c>
      <c r="F114" s="8">
        <f>IFERROR(INDEX('Raw Data'!U:U,MATCH($A114,'Raw Data'!$C:$C,0)),0)</f>
        <v>16050</v>
      </c>
      <c r="G114" s="21">
        <f>IFERROR(INDEX('Raw Data'!V:V,MATCH($A114,'Raw Data'!$C:$C,0)),0)</f>
        <v>25</v>
      </c>
      <c r="H114" s="8">
        <f>IFERROR(INDEX('Raw Data'!W:W,MATCH($A114,'Raw Data'!$C:$C,0)),0)</f>
        <v>5849.62</v>
      </c>
      <c r="I114" s="22">
        <f t="shared" si="5"/>
        <v>0.36446230529595014</v>
      </c>
    </row>
    <row r="115" spans="1:9" ht="15" customHeight="1" x14ac:dyDescent="0.35">
      <c r="A115" s="11" t="s">
        <v>133</v>
      </c>
      <c r="B115" s="14">
        <f>IFERROR(INDEX('Raw Data'!D:D,MATCH($A115,'Raw Data'!$C:$C,0)),0)</f>
        <v>720.0009</v>
      </c>
      <c r="C115" s="13">
        <f>IFERROR(INDEX('Raw Data'!O:O,MATCH($A115,'Raw Data'!$C:$C,0)),0)</f>
        <v>0.45920025930000002</v>
      </c>
      <c r="D115" s="13">
        <f>IFERROR(INDEX('Raw Data'!P:P,MATCH($A115,'Raw Data'!$C:$C,0)),0)</f>
        <v>0.84023602600000002</v>
      </c>
      <c r="E115" s="12">
        <f>IFERROR(INDEX('Raw Data'!T:T,MATCH($A115,'Raw Data'!$C:$C,0)),0)</f>
        <v>637</v>
      </c>
      <c r="F115" s="12">
        <f>IFERROR(INDEX('Raw Data'!U:U,MATCH($A115,'Raw Data'!$C:$C,0)),0)</f>
        <v>15925</v>
      </c>
      <c r="G115" s="23">
        <f>IFERROR(INDEX('Raw Data'!V:V,MATCH($A115,'Raw Data'!$C:$C,0)),0)</f>
        <v>25</v>
      </c>
      <c r="H115" s="12">
        <f>IFERROR(INDEX('Raw Data'!W:W,MATCH($A115,'Raw Data'!$C:$C,0)),0)</f>
        <v>5239.5099999999902</v>
      </c>
      <c r="I115" s="24">
        <f t="shared" si="5"/>
        <v>0.32901161695447351</v>
      </c>
    </row>
    <row r="116" spans="1:9" ht="15" customHeight="1" x14ac:dyDescent="0.35">
      <c r="A116" s="7" t="s">
        <v>105</v>
      </c>
      <c r="B116" s="10">
        <f>IFERROR(INDEX('Raw Data'!D:D,MATCH($A116,'Raw Data'!$C:$C,0)),0)</f>
        <v>719.99969999999996</v>
      </c>
      <c r="C116" s="9">
        <f>IFERROR(INDEX('Raw Data'!O:O,MATCH($A116,'Raw Data'!$C:$C,0)),0)</f>
        <v>0.61340706109999998</v>
      </c>
      <c r="D116" s="9">
        <f>IFERROR(INDEX('Raw Data'!P:P,MATCH($A116,'Raw Data'!$C:$C,0)),0)</f>
        <v>0.83423249340000005</v>
      </c>
      <c r="E116" s="8">
        <f>IFERROR(INDEX('Raw Data'!T:T,MATCH($A116,'Raw Data'!$C:$C,0)),0)</f>
        <v>633</v>
      </c>
      <c r="F116" s="8">
        <f>IFERROR(INDEX('Raw Data'!U:U,MATCH($A116,'Raw Data'!$C:$C,0)),0)</f>
        <v>15825</v>
      </c>
      <c r="G116" s="21">
        <f>IFERROR(INDEX('Raw Data'!V:V,MATCH($A116,'Raw Data'!$C:$C,0)),0)</f>
        <v>25</v>
      </c>
      <c r="H116" s="8">
        <f>IFERROR(INDEX('Raw Data'!W:W,MATCH($A116,'Raw Data'!$C:$C,0)),0)</f>
        <v>5889.53999999999</v>
      </c>
      <c r="I116" s="22">
        <f t="shared" si="5"/>
        <v>0.37216682464454914</v>
      </c>
    </row>
    <row r="117" spans="1:9" ht="15" customHeight="1" x14ac:dyDescent="0.35">
      <c r="A117" s="11" t="s">
        <v>111</v>
      </c>
      <c r="B117" s="14">
        <f>IFERROR(INDEX('Raw Data'!D:D,MATCH($A117,'Raw Data'!$C:$C,0)),0)</f>
        <v>719.99949999999899</v>
      </c>
      <c r="C117" s="13">
        <f>IFERROR(INDEX('Raw Data'!O:O,MATCH($A117,'Raw Data'!$C:$C,0)),0)</f>
        <v>0.5841695723</v>
      </c>
      <c r="D117" s="13">
        <f>IFERROR(INDEX('Raw Data'!P:P,MATCH($A117,'Raw Data'!$C:$C,0)),0)</f>
        <v>0.83310532670000004</v>
      </c>
      <c r="E117" s="12">
        <f>IFERROR(INDEX('Raw Data'!T:T,MATCH($A117,'Raw Data'!$C:$C,0)),0)</f>
        <v>608</v>
      </c>
      <c r="F117" s="12">
        <f>IFERROR(INDEX('Raw Data'!U:U,MATCH($A117,'Raw Data'!$C:$C,0)),0)</f>
        <v>15200</v>
      </c>
      <c r="G117" s="23">
        <f>IFERROR(INDEX('Raw Data'!V:V,MATCH($A117,'Raw Data'!$C:$C,0)),0)</f>
        <v>25</v>
      </c>
      <c r="H117" s="12">
        <f>IFERROR(INDEX('Raw Data'!W:W,MATCH($A117,'Raw Data'!$C:$C,0)),0)</f>
        <v>5500.76</v>
      </c>
      <c r="I117" s="24">
        <f t="shared" si="5"/>
        <v>0.3618921052631579</v>
      </c>
    </row>
    <row r="118" spans="1:9" ht="15" customHeight="1" x14ac:dyDescent="0.35">
      <c r="A118" s="7" t="s">
        <v>116</v>
      </c>
      <c r="B118" s="10">
        <f>IFERROR(INDEX('Raw Data'!D:D,MATCH($A118,'Raw Data'!$C:$C,0)),0)</f>
        <v>720.00030000000004</v>
      </c>
      <c r="C118" s="9">
        <f>IFERROR(INDEX('Raw Data'!O:O,MATCH($A118,'Raw Data'!$C:$C,0)),0)</f>
        <v>0.58089184130000004</v>
      </c>
      <c r="D118" s="9">
        <f>IFERROR(INDEX('Raw Data'!P:P,MATCH($A118,'Raw Data'!$C:$C,0)),0)</f>
        <v>0.82103890499999999</v>
      </c>
      <c r="E118" s="8">
        <f>IFERROR(INDEX('Raw Data'!T:T,MATCH($A118,'Raw Data'!$C:$C,0)),0)</f>
        <v>596</v>
      </c>
      <c r="F118" s="8">
        <f>IFERROR(INDEX('Raw Data'!U:U,MATCH($A118,'Raw Data'!$C:$C,0)),0)</f>
        <v>14900</v>
      </c>
      <c r="G118" s="21">
        <f>IFERROR(INDEX('Raw Data'!V:V,MATCH($A118,'Raw Data'!$C:$C,0)),0)</f>
        <v>25</v>
      </c>
      <c r="H118" s="8">
        <f>IFERROR(INDEX('Raw Data'!W:W,MATCH($A118,'Raw Data'!$C:$C,0)),0)</f>
        <v>5156.0299999999897</v>
      </c>
      <c r="I118" s="22">
        <f t="shared" si="5"/>
        <v>0.34604228187919395</v>
      </c>
    </row>
    <row r="119" spans="1:9" ht="15" customHeight="1" x14ac:dyDescent="0.35">
      <c r="A119" s="11" t="s">
        <v>141</v>
      </c>
      <c r="B119" s="14">
        <f>IFERROR(INDEX('Raw Data'!D:D,MATCH($A119,'Raw Data'!$C:$C,0)),0)</f>
        <v>719.99940000000004</v>
      </c>
      <c r="C119" s="13">
        <f>IFERROR(INDEX('Raw Data'!O:O,MATCH($A119,'Raw Data'!$C:$C,0)),0)</f>
        <v>0.58538048779999996</v>
      </c>
      <c r="D119" s="13">
        <f>IFERROR(INDEX('Raw Data'!P:P,MATCH($A119,'Raw Data'!$C:$C,0)),0)</f>
        <v>0.86517328719999997</v>
      </c>
      <c r="E119" s="12">
        <f>IFERROR(INDEX('Raw Data'!T:T,MATCH($A119,'Raw Data'!$C:$C,0)),0)</f>
        <v>591</v>
      </c>
      <c r="F119" s="12">
        <f>IFERROR(INDEX('Raw Data'!U:U,MATCH($A119,'Raw Data'!$C:$C,0)),0)</f>
        <v>14775</v>
      </c>
      <c r="G119" s="23">
        <f>IFERROR(INDEX('Raw Data'!V:V,MATCH($A119,'Raw Data'!$C:$C,0)),0)</f>
        <v>25</v>
      </c>
      <c r="H119" s="12">
        <f>IFERROR(INDEX('Raw Data'!W:W,MATCH($A119,'Raw Data'!$C:$C,0)),0)</f>
        <v>5780.27</v>
      </c>
      <c r="I119" s="24">
        <f t="shared" si="5"/>
        <v>0.39121962774957703</v>
      </c>
    </row>
    <row r="120" spans="1:9" ht="15" customHeight="1" x14ac:dyDescent="0.35">
      <c r="A120" s="7" t="s">
        <v>106</v>
      </c>
      <c r="B120" s="10">
        <f>IFERROR(INDEX('Raw Data'!D:D,MATCH($A120,'Raw Data'!$C:$C,0)),0)</f>
        <v>720.00009999999997</v>
      </c>
      <c r="C120" s="9">
        <f>IFERROR(INDEX('Raw Data'!O:O,MATCH($A120,'Raw Data'!$C:$C,0)),0)</f>
        <v>0.50200881919999996</v>
      </c>
      <c r="D120" s="9">
        <f>IFERROR(INDEX('Raw Data'!P:P,MATCH($A120,'Raw Data'!$C:$C,0)),0)</f>
        <v>0.85902086730000005</v>
      </c>
      <c r="E120" s="8">
        <f>IFERROR(INDEX('Raw Data'!T:T,MATCH($A120,'Raw Data'!$C:$C,0)),0)</f>
        <v>586</v>
      </c>
      <c r="F120" s="8">
        <f>IFERROR(INDEX('Raw Data'!U:U,MATCH($A120,'Raw Data'!$C:$C,0)),0)</f>
        <v>14650</v>
      </c>
      <c r="G120" s="21">
        <f>IFERROR(INDEX('Raw Data'!V:V,MATCH($A120,'Raw Data'!$C:$C,0)),0)</f>
        <v>25</v>
      </c>
      <c r="H120" s="8">
        <f>IFERROR(INDEX('Raw Data'!W:W,MATCH($A120,'Raw Data'!$C:$C,0)),0)</f>
        <v>4994.21</v>
      </c>
      <c r="I120" s="22">
        <f t="shared" si="5"/>
        <v>0.34090170648464163</v>
      </c>
    </row>
    <row r="121" spans="1:9" ht="15" customHeight="1" x14ac:dyDescent="0.35">
      <c r="A121" s="11" t="s">
        <v>104</v>
      </c>
      <c r="B121" s="14">
        <f>IFERROR(INDEX('Raw Data'!D:D,MATCH($A121,'Raw Data'!$C:$C,0)),0)</f>
        <v>720.00019999999995</v>
      </c>
      <c r="C121" s="13">
        <f>IFERROR(INDEX('Raw Data'!O:O,MATCH($A121,'Raw Data'!$C:$C,0)),0)</f>
        <v>0.56820192550000004</v>
      </c>
      <c r="D121" s="13">
        <f>IFERROR(INDEX('Raw Data'!P:P,MATCH($A121,'Raw Data'!$C:$C,0)),0)</f>
        <v>0.84905018389999998</v>
      </c>
      <c r="E121" s="12">
        <f>IFERROR(INDEX('Raw Data'!T:T,MATCH($A121,'Raw Data'!$C:$C,0)),0)</f>
        <v>566</v>
      </c>
      <c r="F121" s="12">
        <f>IFERROR(INDEX('Raw Data'!U:U,MATCH($A121,'Raw Data'!$C:$C,0)),0)</f>
        <v>14150</v>
      </c>
      <c r="G121" s="23">
        <f>IFERROR(INDEX('Raw Data'!V:V,MATCH($A121,'Raw Data'!$C:$C,0)),0)</f>
        <v>25</v>
      </c>
      <c r="H121" s="12">
        <f>IFERROR(INDEX('Raw Data'!W:W,MATCH($A121,'Raw Data'!$C:$C,0)),0)</f>
        <v>5375.5</v>
      </c>
      <c r="I121" s="24">
        <f t="shared" si="5"/>
        <v>0.37989399293286219</v>
      </c>
    </row>
    <row r="122" spans="1:9" ht="15" customHeight="1" x14ac:dyDescent="0.35">
      <c r="A122" s="7" t="s">
        <v>178</v>
      </c>
      <c r="B122" s="10">
        <f>IFERROR(INDEX('Raw Data'!D:D,MATCH($A122,'Raw Data'!$C:$C,0)),0)</f>
        <v>719.99959999999896</v>
      </c>
      <c r="C122" s="9">
        <f>IFERROR(INDEX('Raw Data'!O:O,MATCH($A122,'Raw Data'!$C:$C,0)),0)</f>
        <v>0.45560900310000002</v>
      </c>
      <c r="D122" s="9">
        <f>IFERROR(INDEX('Raw Data'!P:P,MATCH($A122,'Raw Data'!$C:$C,0)),0)</f>
        <v>0.84449376799999998</v>
      </c>
      <c r="E122" s="8">
        <f>IFERROR(INDEX('Raw Data'!T:T,MATCH($A122,'Raw Data'!$C:$C,0)),0)</f>
        <v>564</v>
      </c>
      <c r="F122" s="8">
        <f>IFERROR(INDEX('Raw Data'!U:U,MATCH($A122,'Raw Data'!$C:$C,0)),0)</f>
        <v>23688</v>
      </c>
      <c r="G122" s="21">
        <f>IFERROR(INDEX('Raw Data'!V:V,MATCH($A122,'Raw Data'!$C:$C,0)),0)</f>
        <v>42</v>
      </c>
      <c r="H122" s="8">
        <f>IFERROR(INDEX('Raw Data'!W:W,MATCH($A122,'Raw Data'!$C:$C,0)),0)</f>
        <v>13858.52</v>
      </c>
      <c r="I122" s="22">
        <f t="shared" si="5"/>
        <v>0.58504390408645734</v>
      </c>
    </row>
    <row r="123" spans="1:9" ht="15" customHeight="1" x14ac:dyDescent="0.35">
      <c r="A123" s="11" t="s">
        <v>134</v>
      </c>
      <c r="B123" s="14">
        <f>IFERROR(INDEX('Raw Data'!D:D,MATCH($A123,'Raw Data'!$C:$C,0)),0)</f>
        <v>720.00019999999995</v>
      </c>
      <c r="C123" s="13">
        <f>IFERROR(INDEX('Raw Data'!O:O,MATCH($A123,'Raw Data'!$C:$C,0)),0)</f>
        <v>0.52807721439999999</v>
      </c>
      <c r="D123" s="13">
        <f>IFERROR(INDEX('Raw Data'!P:P,MATCH($A123,'Raw Data'!$C:$C,0)),0)</f>
        <v>0.85438923219999996</v>
      </c>
      <c r="E123" s="12">
        <f>IFERROR(INDEX('Raw Data'!T:T,MATCH($A123,'Raw Data'!$C:$C,0)),0)</f>
        <v>556</v>
      </c>
      <c r="F123" s="12">
        <f>IFERROR(INDEX('Raw Data'!U:U,MATCH($A123,'Raw Data'!$C:$C,0)),0)</f>
        <v>13900</v>
      </c>
      <c r="G123" s="23">
        <f>IFERROR(INDEX('Raw Data'!V:V,MATCH($A123,'Raw Data'!$C:$C,0)),0)</f>
        <v>25</v>
      </c>
      <c r="H123" s="12">
        <f>IFERROR(INDEX('Raw Data'!W:W,MATCH($A123,'Raw Data'!$C:$C,0)),0)</f>
        <v>5374.34</v>
      </c>
      <c r="I123" s="24">
        <f t="shared" si="5"/>
        <v>0.38664316546762589</v>
      </c>
    </row>
    <row r="124" spans="1:9" ht="15" customHeight="1" x14ac:dyDescent="0.35">
      <c r="A124" s="7" t="s">
        <v>147</v>
      </c>
      <c r="B124" s="10">
        <f>IFERROR(INDEX('Raw Data'!D:D,MATCH($A124,'Raw Data'!$C:$C,0)),0)</f>
        <v>719.99959999999999</v>
      </c>
      <c r="C124" s="9">
        <f>IFERROR(INDEX('Raw Data'!O:O,MATCH($A124,'Raw Data'!$C:$C,0)),0)</f>
        <v>0.54696002610000005</v>
      </c>
      <c r="D124" s="9">
        <f>IFERROR(INDEX('Raw Data'!P:P,MATCH($A124,'Raw Data'!$C:$C,0)),0)</f>
        <v>0.87694807919999995</v>
      </c>
      <c r="E124" s="8">
        <f>IFERROR(INDEX('Raw Data'!T:T,MATCH($A124,'Raw Data'!$C:$C,0)),0)</f>
        <v>541</v>
      </c>
      <c r="F124" s="8">
        <f>IFERROR(INDEX('Raw Data'!U:U,MATCH($A124,'Raw Data'!$C:$C,0)),0)</f>
        <v>13525</v>
      </c>
      <c r="G124" s="21">
        <f>IFERROR(INDEX('Raw Data'!V:V,MATCH($A124,'Raw Data'!$C:$C,0)),0)</f>
        <v>25</v>
      </c>
      <c r="H124" s="8">
        <f>IFERROR(INDEX('Raw Data'!W:W,MATCH($A124,'Raw Data'!$C:$C,0)),0)</f>
        <v>4827.95</v>
      </c>
      <c r="I124" s="22">
        <f t="shared" si="5"/>
        <v>0.35696487985212566</v>
      </c>
    </row>
    <row r="125" spans="1:9" ht="15" customHeight="1" x14ac:dyDescent="0.35">
      <c r="A125" s="11" t="s">
        <v>122</v>
      </c>
      <c r="B125" s="14">
        <f>IFERROR(INDEX('Raw Data'!D:D,MATCH($A125,'Raw Data'!$C:$C,0)),0)</f>
        <v>720.0009</v>
      </c>
      <c r="C125" s="13">
        <f>IFERROR(INDEX('Raw Data'!O:O,MATCH($A125,'Raw Data'!$C:$C,0)),0)</f>
        <v>0.50507881310000002</v>
      </c>
      <c r="D125" s="13">
        <f>IFERROR(INDEX('Raw Data'!P:P,MATCH($A125,'Raw Data'!$C:$C,0)),0)</f>
        <v>0.83825426800000002</v>
      </c>
      <c r="E125" s="12">
        <f>IFERROR(INDEX('Raw Data'!T:T,MATCH($A125,'Raw Data'!$C:$C,0)),0)</f>
        <v>527</v>
      </c>
      <c r="F125" s="12">
        <f>IFERROR(INDEX('Raw Data'!U:U,MATCH($A125,'Raw Data'!$C:$C,0)),0)</f>
        <v>13175</v>
      </c>
      <c r="G125" s="23">
        <f>IFERROR(INDEX('Raw Data'!V:V,MATCH($A125,'Raw Data'!$C:$C,0)),0)</f>
        <v>25</v>
      </c>
      <c r="H125" s="12">
        <f>IFERROR(INDEX('Raw Data'!W:W,MATCH($A125,'Raw Data'!$C:$C,0)),0)</f>
        <v>5414.22</v>
      </c>
      <c r="I125" s="24">
        <f t="shared" si="5"/>
        <v>0.41094648956356739</v>
      </c>
    </row>
    <row r="126" spans="1:9" ht="15" customHeight="1" x14ac:dyDescent="0.35">
      <c r="A126" s="7" t="s">
        <v>132</v>
      </c>
      <c r="B126" s="10">
        <f>IFERROR(INDEX('Raw Data'!D:D,MATCH($A126,'Raw Data'!$C:$C,0)),0)</f>
        <v>720.00040000000001</v>
      </c>
      <c r="C126" s="9">
        <f>IFERROR(INDEX('Raw Data'!O:O,MATCH($A126,'Raw Data'!$C:$C,0)),0)</f>
        <v>0.42968642800000001</v>
      </c>
      <c r="D126" s="9">
        <f>IFERROR(INDEX('Raw Data'!P:P,MATCH($A126,'Raw Data'!$C:$C,0)),0)</f>
        <v>0.83820865590000004</v>
      </c>
      <c r="E126" s="8">
        <f>IFERROR(INDEX('Raw Data'!T:T,MATCH($A126,'Raw Data'!$C:$C,0)),0)</f>
        <v>513</v>
      </c>
      <c r="F126" s="8">
        <f>IFERROR(INDEX('Raw Data'!U:U,MATCH($A126,'Raw Data'!$C:$C,0)),0)</f>
        <v>12825</v>
      </c>
      <c r="G126" s="21">
        <f>IFERROR(INDEX('Raw Data'!V:V,MATCH($A126,'Raw Data'!$C:$C,0)),0)</f>
        <v>25</v>
      </c>
      <c r="H126" s="8">
        <f>IFERROR(INDEX('Raw Data'!W:W,MATCH($A126,'Raw Data'!$C:$C,0)),0)</f>
        <v>5378.03999999999</v>
      </c>
      <c r="I126" s="22">
        <f t="shared" si="5"/>
        <v>0.41934035087719218</v>
      </c>
    </row>
    <row r="127" spans="1:9" ht="15" customHeight="1" x14ac:dyDescent="0.35">
      <c r="A127" s="11" t="s">
        <v>139</v>
      </c>
      <c r="B127" s="14">
        <f>IFERROR(INDEX('Raw Data'!D:D,MATCH($A127,'Raw Data'!$C:$C,0)),0)</f>
        <v>719.99950000000001</v>
      </c>
      <c r="C127" s="13">
        <f>IFERROR(INDEX('Raw Data'!O:O,MATCH($A127,'Raw Data'!$C:$C,0)),0)</f>
        <v>0.55112496609999995</v>
      </c>
      <c r="D127" s="13">
        <f>IFERROR(INDEX('Raw Data'!P:P,MATCH($A127,'Raw Data'!$C:$C,0)),0)</f>
        <v>0.72708026039999996</v>
      </c>
      <c r="E127" s="12">
        <f>IFERROR(INDEX('Raw Data'!T:T,MATCH($A127,'Raw Data'!$C:$C,0)),0)</f>
        <v>507</v>
      </c>
      <c r="F127" s="12">
        <f>IFERROR(INDEX('Raw Data'!U:U,MATCH($A127,'Raw Data'!$C:$C,0)),0)</f>
        <v>12675</v>
      </c>
      <c r="G127" s="23">
        <f>IFERROR(INDEX('Raw Data'!V:V,MATCH($A127,'Raw Data'!$C:$C,0)),0)</f>
        <v>25</v>
      </c>
      <c r="H127" s="12">
        <f>IFERROR(INDEX('Raw Data'!W:W,MATCH($A127,'Raw Data'!$C:$C,0)),0)</f>
        <v>4600.49</v>
      </c>
      <c r="I127" s="24">
        <f t="shared" si="5"/>
        <v>0.36295779092702168</v>
      </c>
    </row>
    <row r="128" spans="1:9" ht="15" customHeight="1" x14ac:dyDescent="0.35">
      <c r="A128" s="7" t="s">
        <v>115</v>
      </c>
      <c r="B128" s="10">
        <f>IFERROR(INDEX('Raw Data'!D:D,MATCH($A128,'Raw Data'!$C:$C,0)),0)</f>
        <v>720.00069999999903</v>
      </c>
      <c r="C128" s="9">
        <f>IFERROR(INDEX('Raw Data'!O:O,MATCH($A128,'Raw Data'!$C:$C,0)),0)</f>
        <v>0.43407068910000002</v>
      </c>
      <c r="D128" s="9">
        <f>IFERROR(INDEX('Raw Data'!P:P,MATCH($A128,'Raw Data'!$C:$C,0)),0)</f>
        <v>0.76905185789999997</v>
      </c>
      <c r="E128" s="8">
        <f>IFERROR(INDEX('Raw Data'!T:T,MATCH($A128,'Raw Data'!$C:$C,0)),0)</f>
        <v>500</v>
      </c>
      <c r="F128" s="8">
        <f>IFERROR(INDEX('Raw Data'!U:U,MATCH($A128,'Raw Data'!$C:$C,0)),0)</f>
        <v>12500</v>
      </c>
      <c r="G128" s="21">
        <f>IFERROR(INDEX('Raw Data'!V:V,MATCH($A128,'Raw Data'!$C:$C,0)),0)</f>
        <v>25</v>
      </c>
      <c r="H128" s="8">
        <f>IFERROR(INDEX('Raw Data'!W:W,MATCH($A128,'Raw Data'!$C:$C,0)),0)</f>
        <v>5043.2699999999904</v>
      </c>
      <c r="I128" s="22">
        <f t="shared" si="5"/>
        <v>0.40346159999999925</v>
      </c>
    </row>
    <row r="129" spans="1:9" ht="15" customHeight="1" x14ac:dyDescent="0.35">
      <c r="A129" s="11" t="s">
        <v>137</v>
      </c>
      <c r="B129" s="14">
        <f>IFERROR(INDEX('Raw Data'!D:D,MATCH($A129,'Raw Data'!$C:$C,0)),0)</f>
        <v>719.99980000000005</v>
      </c>
      <c r="C129" s="13">
        <f>IFERROR(INDEX('Raw Data'!O:O,MATCH($A129,'Raw Data'!$C:$C,0)),0)</f>
        <v>0.44880068020000002</v>
      </c>
      <c r="D129" s="13">
        <f>IFERROR(INDEX('Raw Data'!P:P,MATCH($A129,'Raw Data'!$C:$C,0)),0)</f>
        <v>0.86176580540000003</v>
      </c>
      <c r="E129" s="12">
        <f>IFERROR(INDEX('Raw Data'!T:T,MATCH($A129,'Raw Data'!$C:$C,0)),0)</f>
        <v>485</v>
      </c>
      <c r="F129" s="12">
        <f>IFERROR(INDEX('Raw Data'!U:U,MATCH($A129,'Raw Data'!$C:$C,0)),0)</f>
        <v>12125</v>
      </c>
      <c r="G129" s="23">
        <f>IFERROR(INDEX('Raw Data'!V:V,MATCH($A129,'Raw Data'!$C:$C,0)),0)</f>
        <v>25</v>
      </c>
      <c r="H129" s="12">
        <f>IFERROR(INDEX('Raw Data'!W:W,MATCH($A129,'Raw Data'!$C:$C,0)),0)</f>
        <v>5633.55</v>
      </c>
      <c r="I129" s="24">
        <f t="shared" si="5"/>
        <v>0.46462268041237115</v>
      </c>
    </row>
    <row r="130" spans="1:9" ht="15" customHeight="1" x14ac:dyDescent="0.35">
      <c r="A130" s="7" t="s">
        <v>131</v>
      </c>
      <c r="B130" s="10">
        <f>IFERROR(INDEX('Raw Data'!D:D,MATCH($A130,'Raw Data'!$C:$C,0)),0)</f>
        <v>719.99969999999905</v>
      </c>
      <c r="C130" s="9">
        <f>IFERROR(INDEX('Raw Data'!O:O,MATCH($A130,'Raw Data'!$C:$C,0)),0)</f>
        <v>0.45762380180000001</v>
      </c>
      <c r="D130" s="9">
        <f>IFERROR(INDEX('Raw Data'!P:P,MATCH($A130,'Raw Data'!$C:$C,0)),0)</f>
        <v>0.82386695759999995</v>
      </c>
      <c r="E130" s="8">
        <f>IFERROR(INDEX('Raw Data'!T:T,MATCH($A130,'Raw Data'!$C:$C,0)),0)</f>
        <v>461</v>
      </c>
      <c r="F130" s="8">
        <f>IFERROR(INDEX('Raw Data'!U:U,MATCH($A130,'Raw Data'!$C:$C,0)),0)</f>
        <v>11525</v>
      </c>
      <c r="G130" s="21">
        <f>IFERROR(INDEX('Raw Data'!V:V,MATCH($A130,'Raw Data'!$C:$C,0)),0)</f>
        <v>25</v>
      </c>
      <c r="H130" s="8">
        <f>IFERROR(INDEX('Raw Data'!W:W,MATCH($A130,'Raw Data'!$C:$C,0)),0)</f>
        <v>4323.26</v>
      </c>
      <c r="I130" s="22">
        <f t="shared" si="5"/>
        <v>0.3751201735357918</v>
      </c>
    </row>
    <row r="131" spans="1:9" ht="15" customHeight="1" x14ac:dyDescent="0.35">
      <c r="A131" s="11" t="s">
        <v>128</v>
      </c>
      <c r="B131" s="14">
        <f>IFERROR(INDEX('Raw Data'!D:D,MATCH($A131,'Raw Data'!$C:$C,0)),0)</f>
        <v>719.99860000000001</v>
      </c>
      <c r="C131" s="13">
        <f>IFERROR(INDEX('Raw Data'!O:O,MATCH($A131,'Raw Data'!$C:$C,0)),0)</f>
        <v>0.46495701519999999</v>
      </c>
      <c r="D131" s="13">
        <f>IFERROR(INDEX('Raw Data'!P:P,MATCH($A131,'Raw Data'!$C:$C,0)),0)</f>
        <v>0.80891983830000003</v>
      </c>
      <c r="E131" s="12">
        <f>IFERROR(INDEX('Raw Data'!T:T,MATCH($A131,'Raw Data'!$C:$C,0)),0)</f>
        <v>450</v>
      </c>
      <c r="F131" s="12">
        <f>IFERROR(INDEX('Raw Data'!U:U,MATCH($A131,'Raw Data'!$C:$C,0)),0)</f>
        <v>11250</v>
      </c>
      <c r="G131" s="23">
        <f>IFERROR(INDEX('Raw Data'!V:V,MATCH($A131,'Raw Data'!$C:$C,0)),0)</f>
        <v>25</v>
      </c>
      <c r="H131" s="12">
        <f>IFERROR(INDEX('Raw Data'!W:W,MATCH($A131,'Raw Data'!$C:$C,0)),0)</f>
        <v>4844.6000000000004</v>
      </c>
      <c r="I131" s="24">
        <f t="shared" si="5"/>
        <v>0.43063111111111113</v>
      </c>
    </row>
    <row r="132" spans="1:9" ht="15" customHeight="1" x14ac:dyDescent="0.35">
      <c r="A132" s="7" t="s">
        <v>126</v>
      </c>
      <c r="B132" s="10">
        <f>IFERROR(INDEX('Raw Data'!D:D,MATCH($A132,'Raw Data'!$C:$C,0)),0)</f>
        <v>720.00009999999895</v>
      </c>
      <c r="C132" s="9">
        <f>IFERROR(INDEX('Raw Data'!O:O,MATCH($A132,'Raw Data'!$C:$C,0)),0)</f>
        <v>0.3620516164</v>
      </c>
      <c r="D132" s="9">
        <f>IFERROR(INDEX('Raw Data'!P:P,MATCH($A132,'Raw Data'!$C:$C,0)),0)</f>
        <v>0.83148852299999998</v>
      </c>
      <c r="E132" s="8">
        <f>IFERROR(INDEX('Raw Data'!T:T,MATCH($A132,'Raw Data'!$C:$C,0)),0)</f>
        <v>439</v>
      </c>
      <c r="F132" s="8">
        <f>IFERROR(INDEX('Raw Data'!U:U,MATCH($A132,'Raw Data'!$C:$C,0)),0)</f>
        <v>10975</v>
      </c>
      <c r="G132" s="21">
        <f>IFERROR(INDEX('Raw Data'!V:V,MATCH($A132,'Raw Data'!$C:$C,0)),0)</f>
        <v>25</v>
      </c>
      <c r="H132" s="8">
        <f>IFERROR(INDEX('Raw Data'!W:W,MATCH($A132,'Raw Data'!$C:$C,0)),0)</f>
        <v>4560.2599999999902</v>
      </c>
      <c r="I132" s="22">
        <f t="shared" si="5"/>
        <v>0.41551343963553444</v>
      </c>
    </row>
    <row r="133" spans="1:9" ht="15" customHeight="1" x14ac:dyDescent="0.35">
      <c r="A133" s="11" t="s">
        <v>121</v>
      </c>
      <c r="B133" s="14">
        <f>IFERROR(INDEX('Raw Data'!D:D,MATCH($A133,'Raw Data'!$C:$C,0)),0)</f>
        <v>720.00040000000001</v>
      </c>
      <c r="C133" s="13">
        <f>IFERROR(INDEX('Raw Data'!O:O,MATCH($A133,'Raw Data'!$C:$C,0)),0)</f>
        <v>0.40668588519999999</v>
      </c>
      <c r="D133" s="13">
        <f>IFERROR(INDEX('Raw Data'!P:P,MATCH($A133,'Raw Data'!$C:$C,0)),0)</f>
        <v>0.81969338899999999</v>
      </c>
      <c r="E133" s="12">
        <f>IFERROR(INDEX('Raw Data'!T:T,MATCH($A133,'Raw Data'!$C:$C,0)),0)</f>
        <v>427</v>
      </c>
      <c r="F133" s="12">
        <f>IFERROR(INDEX('Raw Data'!U:U,MATCH($A133,'Raw Data'!$C:$C,0)),0)</f>
        <v>10675</v>
      </c>
      <c r="G133" s="23">
        <f>IFERROR(INDEX('Raw Data'!V:V,MATCH($A133,'Raw Data'!$C:$C,0)),0)</f>
        <v>25</v>
      </c>
      <c r="H133" s="12">
        <f>IFERROR(INDEX('Raw Data'!W:W,MATCH($A133,'Raw Data'!$C:$C,0)),0)</f>
        <v>3965.78</v>
      </c>
      <c r="I133" s="24">
        <f t="shared" si="5"/>
        <v>0.37150163934426234</v>
      </c>
    </row>
    <row r="134" spans="1:9" ht="15" customHeight="1" x14ac:dyDescent="0.35">
      <c r="A134" s="7" t="s">
        <v>125</v>
      </c>
      <c r="B134" s="10">
        <f>IFERROR(INDEX('Raw Data'!D:D,MATCH($A134,'Raw Data'!$C:$C,0)),0)</f>
        <v>720.00009999999997</v>
      </c>
      <c r="C134" s="9">
        <f>IFERROR(INDEX('Raw Data'!O:O,MATCH($A134,'Raw Data'!$C:$C,0)),0)</f>
        <v>0.34930120149999999</v>
      </c>
      <c r="D134" s="9">
        <f>IFERROR(INDEX('Raw Data'!P:P,MATCH($A134,'Raw Data'!$C:$C,0)),0)</f>
        <v>0.87788318659999998</v>
      </c>
      <c r="E134" s="8">
        <f>IFERROR(INDEX('Raw Data'!T:T,MATCH($A134,'Raw Data'!$C:$C,0)),0)</f>
        <v>426</v>
      </c>
      <c r="F134" s="8">
        <f>IFERROR(INDEX('Raw Data'!U:U,MATCH($A134,'Raw Data'!$C:$C,0)),0)</f>
        <v>10650</v>
      </c>
      <c r="G134" s="21">
        <f>IFERROR(INDEX('Raw Data'!V:V,MATCH($A134,'Raw Data'!$C:$C,0)),0)</f>
        <v>25</v>
      </c>
      <c r="H134" s="8">
        <f>IFERROR(INDEX('Raw Data'!W:W,MATCH($A134,'Raw Data'!$C:$C,0)),0)</f>
        <v>4025.85</v>
      </c>
      <c r="I134" s="22">
        <f t="shared" si="5"/>
        <v>0.37801408450704227</v>
      </c>
    </row>
    <row r="135" spans="1:9" ht="15" customHeight="1" x14ac:dyDescent="0.35">
      <c r="A135" s="11" t="s">
        <v>102</v>
      </c>
      <c r="B135" s="14">
        <f>IFERROR(INDEX('Raw Data'!D:D,MATCH($A135,'Raw Data'!$C:$C,0)),0)</f>
        <v>719.99969999999905</v>
      </c>
      <c r="C135" s="13">
        <f>IFERROR(INDEX('Raw Data'!O:O,MATCH($A135,'Raw Data'!$C:$C,0)),0)</f>
        <v>0.31880332729999999</v>
      </c>
      <c r="D135" s="13">
        <f>IFERROR(INDEX('Raw Data'!P:P,MATCH($A135,'Raw Data'!$C:$C,0)),0)</f>
        <v>0.48601126700000002</v>
      </c>
      <c r="E135" s="12">
        <f>IFERROR(INDEX('Raw Data'!T:T,MATCH($A135,'Raw Data'!$C:$C,0)),0)</f>
        <v>406</v>
      </c>
      <c r="F135" s="12">
        <f>IFERROR(INDEX('Raw Data'!U:U,MATCH($A135,'Raw Data'!$C:$C,0)),0)</f>
        <v>10150</v>
      </c>
      <c r="G135" s="23">
        <f>IFERROR(INDEX('Raw Data'!V:V,MATCH($A135,'Raw Data'!$C:$C,0)),0)</f>
        <v>25</v>
      </c>
      <c r="H135" s="12">
        <f>IFERROR(INDEX('Raw Data'!W:W,MATCH($A135,'Raw Data'!$C:$C,0)),0)</f>
        <v>4198.17</v>
      </c>
      <c r="I135" s="24">
        <f t="shared" si="5"/>
        <v>0.4136128078817734</v>
      </c>
    </row>
    <row r="136" spans="1:9" ht="15" customHeight="1" x14ac:dyDescent="0.35">
      <c r="A136" s="7" t="s">
        <v>103</v>
      </c>
      <c r="B136" s="10">
        <f>IFERROR(INDEX('Raw Data'!D:D,MATCH($A136,'Raw Data'!$C:$C,0)),0)</f>
        <v>720.00070000000005</v>
      </c>
      <c r="C136" s="9">
        <f>IFERROR(INDEX('Raw Data'!O:O,MATCH($A136,'Raw Data'!$C:$C,0)),0)</f>
        <v>0.31280955700000002</v>
      </c>
      <c r="D136" s="9">
        <f>IFERROR(INDEX('Raw Data'!P:P,MATCH($A136,'Raw Data'!$C:$C,0)),0)</f>
        <v>0.83962257870000001</v>
      </c>
      <c r="E136" s="8">
        <f>IFERROR(INDEX('Raw Data'!T:T,MATCH($A136,'Raw Data'!$C:$C,0)),0)</f>
        <v>387</v>
      </c>
      <c r="F136" s="8">
        <f>IFERROR(INDEX('Raw Data'!U:U,MATCH($A136,'Raw Data'!$C:$C,0)),0)</f>
        <v>9675</v>
      </c>
      <c r="G136" s="21">
        <f>IFERROR(INDEX('Raw Data'!V:V,MATCH($A136,'Raw Data'!$C:$C,0)),0)</f>
        <v>25</v>
      </c>
      <c r="H136" s="8">
        <f>IFERROR(INDEX('Raw Data'!W:W,MATCH($A136,'Raw Data'!$C:$C,0)),0)</f>
        <v>2711.14</v>
      </c>
      <c r="I136" s="22">
        <f t="shared" ref="I136:I146" si="6">IFERROR(H136/F136,"-")</f>
        <v>0.28022118863049095</v>
      </c>
    </row>
    <row r="137" spans="1:9" ht="15" customHeight="1" x14ac:dyDescent="0.35">
      <c r="A137" s="11" t="s">
        <v>124</v>
      </c>
      <c r="B137" s="14">
        <f>IFERROR(INDEX('Raw Data'!D:D,MATCH($A137,'Raw Data'!$C:$C,0)),0)</f>
        <v>720.00059999999996</v>
      </c>
      <c r="C137" s="13">
        <f>IFERROR(INDEX('Raw Data'!O:O,MATCH($A137,'Raw Data'!$C:$C,0)),0)</f>
        <v>0.28116115460000002</v>
      </c>
      <c r="D137" s="13">
        <f>IFERROR(INDEX('Raw Data'!P:P,MATCH($A137,'Raw Data'!$C:$C,0)),0)</f>
        <v>0.82025299819999997</v>
      </c>
      <c r="E137" s="12">
        <f>IFERROR(INDEX('Raw Data'!T:T,MATCH($A137,'Raw Data'!$C:$C,0)),0)</f>
        <v>370</v>
      </c>
      <c r="F137" s="12">
        <f>IFERROR(INDEX('Raw Data'!U:U,MATCH($A137,'Raw Data'!$C:$C,0)),0)</f>
        <v>9250</v>
      </c>
      <c r="G137" s="23">
        <f>IFERROR(INDEX('Raw Data'!V:V,MATCH($A137,'Raw Data'!$C:$C,0)),0)</f>
        <v>25</v>
      </c>
      <c r="H137" s="12">
        <f>IFERROR(INDEX('Raw Data'!W:W,MATCH($A137,'Raw Data'!$C:$C,0)),0)</f>
        <v>3719.99</v>
      </c>
      <c r="I137" s="24">
        <f t="shared" si="6"/>
        <v>0.40216108108108106</v>
      </c>
    </row>
    <row r="138" spans="1:9" ht="15" customHeight="1" x14ac:dyDescent="0.35">
      <c r="A138" s="7" t="s">
        <v>173</v>
      </c>
      <c r="B138" s="10">
        <f>IFERROR(INDEX('Raw Data'!D:D,MATCH($A138,'Raw Data'!$C:$C,0)),0)</f>
        <v>720.00029999999902</v>
      </c>
      <c r="C138" s="9">
        <f>IFERROR(INDEX('Raw Data'!O:O,MATCH($A138,'Raw Data'!$C:$C,0)),0)</f>
        <v>0.90926239890000005</v>
      </c>
      <c r="D138" s="9">
        <f>IFERROR(INDEX('Raw Data'!P:P,MATCH($A138,'Raw Data'!$C:$C,0)),0)</f>
        <v>0.1242815456</v>
      </c>
      <c r="E138" s="8">
        <f>IFERROR(INDEX('Raw Data'!T:T,MATCH($A138,'Raw Data'!$C:$C,0)),0)</f>
        <v>260</v>
      </c>
      <c r="F138" s="8">
        <f>IFERROR(INDEX('Raw Data'!U:U,MATCH($A138,'Raw Data'!$C:$C,0)),0)</f>
        <v>10920</v>
      </c>
      <c r="G138" s="21">
        <f>IFERROR(INDEX('Raw Data'!V:V,MATCH($A138,'Raw Data'!$C:$C,0)),0)</f>
        <v>42</v>
      </c>
      <c r="H138" s="8">
        <f>IFERROR(INDEX('Raw Data'!W:W,MATCH($A138,'Raw Data'!$C:$C,0)),0)</f>
        <v>3225.92</v>
      </c>
      <c r="I138" s="22">
        <f t="shared" si="6"/>
        <v>0.29541391941391942</v>
      </c>
    </row>
    <row r="139" spans="1:9" ht="15" customHeight="1" x14ac:dyDescent="0.35">
      <c r="A139" s="11" t="s">
        <v>179</v>
      </c>
      <c r="B139" s="14">
        <f>IFERROR(INDEX('Raw Data'!D:D,MATCH($A139,'Raw Data'!$C:$C,0)),0)</f>
        <v>719.99990000000003</v>
      </c>
      <c r="C139" s="13">
        <f>IFERROR(INDEX('Raw Data'!O:O,MATCH($A139,'Raw Data'!$C:$C,0)),0)</f>
        <v>0.1791403027</v>
      </c>
      <c r="D139" s="13">
        <f>IFERROR(INDEX('Raw Data'!P:P,MATCH($A139,'Raw Data'!$C:$C,0)),0)</f>
        <v>0.87807118880000001</v>
      </c>
      <c r="E139" s="12">
        <f>IFERROR(INDEX('Raw Data'!T:T,MATCH($A139,'Raw Data'!$C:$C,0)),0)</f>
        <v>240</v>
      </c>
      <c r="F139" s="12">
        <f>IFERROR(INDEX('Raw Data'!U:U,MATCH($A139,'Raw Data'!$C:$C,0)),0)</f>
        <v>10080</v>
      </c>
      <c r="G139" s="23">
        <f>IFERROR(INDEX('Raw Data'!V:V,MATCH($A139,'Raw Data'!$C:$C,0)),0)</f>
        <v>42</v>
      </c>
      <c r="H139" s="12">
        <f>IFERROR(INDEX('Raw Data'!W:W,MATCH($A139,'Raw Data'!$C:$C,0)),0)</f>
        <v>7150.53999999999</v>
      </c>
      <c r="I139" s="24">
        <f t="shared" si="6"/>
        <v>0.70937896825396729</v>
      </c>
    </row>
    <row r="140" spans="1:9" ht="15" customHeight="1" x14ac:dyDescent="0.35">
      <c r="A140" s="7" t="s">
        <v>119</v>
      </c>
      <c r="B140" s="10">
        <f>IFERROR(INDEX('Raw Data'!D:D,MATCH($A140,'Raw Data'!$C:$C,0)),0)</f>
        <v>720.00030000000004</v>
      </c>
      <c r="C140" s="9">
        <f>IFERROR(INDEX('Raw Data'!O:O,MATCH($A140,'Raw Data'!$C:$C,0)),0)</f>
        <v>0.2016790826</v>
      </c>
      <c r="D140" s="9">
        <f>IFERROR(INDEX('Raw Data'!P:P,MATCH($A140,'Raw Data'!$C:$C,0)),0)</f>
        <v>0.82660992089999996</v>
      </c>
      <c r="E140" s="8">
        <f>IFERROR(INDEX('Raw Data'!T:T,MATCH($A140,'Raw Data'!$C:$C,0)),0)</f>
        <v>224</v>
      </c>
      <c r="F140" s="8">
        <f>IFERROR(INDEX('Raw Data'!U:U,MATCH($A140,'Raw Data'!$C:$C,0)),0)</f>
        <v>5600</v>
      </c>
      <c r="G140" s="21">
        <f>IFERROR(INDEX('Raw Data'!V:V,MATCH($A140,'Raw Data'!$C:$C,0)),0)</f>
        <v>25</v>
      </c>
      <c r="H140" s="8">
        <f>IFERROR(INDEX('Raw Data'!W:W,MATCH($A140,'Raw Data'!$C:$C,0)),0)</f>
        <v>2303.7599999999902</v>
      </c>
      <c r="I140" s="22">
        <f t="shared" si="6"/>
        <v>0.41138571428571252</v>
      </c>
    </row>
    <row r="141" spans="1:9" ht="15" customHeight="1" x14ac:dyDescent="0.35">
      <c r="A141" s="11" t="s">
        <v>117</v>
      </c>
      <c r="B141" s="14">
        <f>IFERROR(INDEX('Raw Data'!D:D,MATCH($A141,'Raw Data'!$C:$C,0)),0)</f>
        <v>716.45849999999996</v>
      </c>
      <c r="C141" s="13">
        <f>IFERROR(INDEX('Raw Data'!O:O,MATCH($A141,'Raw Data'!$C:$C,0)),0)</f>
        <v>0.18030046399999999</v>
      </c>
      <c r="D141" s="13">
        <f>IFERROR(INDEX('Raw Data'!P:P,MATCH($A141,'Raw Data'!$C:$C,0)),0)</f>
        <v>0.75922565639999995</v>
      </c>
      <c r="E141" s="12">
        <f>IFERROR(INDEX('Raw Data'!T:T,MATCH($A141,'Raw Data'!$C:$C,0)),0)</f>
        <v>156</v>
      </c>
      <c r="F141" s="12">
        <f>IFERROR(INDEX('Raw Data'!U:U,MATCH($A141,'Raw Data'!$C:$C,0)),0)</f>
        <v>3900</v>
      </c>
      <c r="G141" s="23">
        <f>IFERROR(INDEX('Raw Data'!V:V,MATCH($A141,'Raw Data'!$C:$C,0)),0)</f>
        <v>25</v>
      </c>
      <c r="H141" s="12">
        <f>IFERROR(INDEX('Raw Data'!W:W,MATCH($A141,'Raw Data'!$C:$C,0)),0)</f>
        <v>2439.16</v>
      </c>
      <c r="I141" s="24">
        <f t="shared" si="6"/>
        <v>0.62542564102564102</v>
      </c>
    </row>
    <row r="142" spans="1:9" ht="15" customHeight="1" x14ac:dyDescent="0.35">
      <c r="A142" s="7" t="s">
        <v>113</v>
      </c>
      <c r="B142" s="10">
        <f>IFERROR(INDEX('Raw Data'!D:D,MATCH($A142,'Raw Data'!$C:$C,0)),0)</f>
        <v>720.00019999999995</v>
      </c>
      <c r="C142" s="9">
        <f>IFERROR(INDEX('Raw Data'!O:O,MATCH($A142,'Raw Data'!$C:$C,0)),0)</f>
        <v>9.9307194599999996E-2</v>
      </c>
      <c r="D142" s="9">
        <f>IFERROR(INDEX('Raw Data'!P:P,MATCH($A142,'Raw Data'!$C:$C,0)),0)</f>
        <v>0.90437643000000001</v>
      </c>
      <c r="E142" s="8">
        <f>IFERROR(INDEX('Raw Data'!T:T,MATCH($A142,'Raw Data'!$C:$C,0)),0)</f>
        <v>105</v>
      </c>
      <c r="F142" s="8">
        <f>IFERROR(INDEX('Raw Data'!U:U,MATCH($A142,'Raw Data'!$C:$C,0)),0)</f>
        <v>2625</v>
      </c>
      <c r="G142" s="21">
        <f>IFERROR(INDEX('Raw Data'!V:V,MATCH($A142,'Raw Data'!$C:$C,0)),0)</f>
        <v>25</v>
      </c>
      <c r="H142" s="8">
        <f>IFERROR(INDEX('Raw Data'!W:W,MATCH($A142,'Raw Data'!$C:$C,0)),0)</f>
        <v>1332.3899999999901</v>
      </c>
      <c r="I142" s="22">
        <f t="shared" si="6"/>
        <v>0.50757714285713906</v>
      </c>
    </row>
    <row r="143" spans="1:9" ht="15" customHeight="1" x14ac:dyDescent="0.35">
      <c r="A143" s="11" t="s">
        <v>123</v>
      </c>
      <c r="B143" s="14">
        <f>IFERROR(INDEX('Raw Data'!D:D,MATCH($A143,'Raw Data'!$C:$C,0)),0)</f>
        <v>719.99959999999999</v>
      </c>
      <c r="C143" s="13">
        <f>IFERROR(INDEX('Raw Data'!O:O,MATCH($A143,'Raw Data'!$C:$C,0)),0)</f>
        <v>6.5138925099999995E-2</v>
      </c>
      <c r="D143" s="13">
        <f>IFERROR(INDEX('Raw Data'!P:P,MATCH($A143,'Raw Data'!$C:$C,0)),0)</f>
        <v>0.8187462687</v>
      </c>
      <c r="E143" s="12">
        <f>IFERROR(INDEX('Raw Data'!T:T,MATCH($A143,'Raw Data'!$C:$C,0)),0)</f>
        <v>72</v>
      </c>
      <c r="F143" s="12">
        <f>IFERROR(INDEX('Raw Data'!U:U,MATCH($A143,'Raw Data'!$C:$C,0)),0)</f>
        <v>1800</v>
      </c>
      <c r="G143" s="23">
        <f>IFERROR(INDEX('Raw Data'!V:V,MATCH($A143,'Raw Data'!$C:$C,0)),0)</f>
        <v>25</v>
      </c>
      <c r="H143" s="12">
        <f>IFERROR(INDEX('Raw Data'!W:W,MATCH($A143,'Raw Data'!$C:$C,0)),0)</f>
        <v>948.81</v>
      </c>
      <c r="I143" s="24">
        <f t="shared" si="6"/>
        <v>0.52711666666666668</v>
      </c>
    </row>
    <row r="144" spans="1:9" ht="15" customHeight="1" x14ac:dyDescent="0.35">
      <c r="A144" s="7" t="s">
        <v>112</v>
      </c>
      <c r="B144" s="10">
        <f>IFERROR(INDEX('Raw Data'!D:D,MATCH($A144,'Raw Data'!$C:$C,0)),0)</f>
        <v>719.999899999999</v>
      </c>
      <c r="C144" s="9">
        <f>IFERROR(INDEX('Raw Data'!O:O,MATCH($A144,'Raw Data'!$C:$C,0)),0)</f>
        <v>6.3058341999999998E-3</v>
      </c>
      <c r="D144" s="9">
        <f>IFERROR(INDEX('Raw Data'!P:P,MATCH($A144,'Raw Data'!$C:$C,0)),0)</f>
        <v>0.70946213820000004</v>
      </c>
      <c r="E144" s="8">
        <f>IFERROR(INDEX('Raw Data'!T:T,MATCH($A144,'Raw Data'!$C:$C,0)),0)</f>
        <v>14</v>
      </c>
      <c r="F144" s="8">
        <f>IFERROR(INDEX('Raw Data'!U:U,MATCH($A144,'Raw Data'!$C:$C,0)),0)</f>
        <v>350</v>
      </c>
      <c r="G144" s="21">
        <f>IFERROR(INDEX('Raw Data'!V:V,MATCH($A144,'Raw Data'!$C:$C,0)),0)</f>
        <v>25</v>
      </c>
      <c r="H144" s="8">
        <f>IFERROR(INDEX('Raw Data'!W:W,MATCH($A144,'Raw Data'!$C:$C,0)),0)</f>
        <v>223.66</v>
      </c>
      <c r="I144" s="22">
        <f t="shared" si="6"/>
        <v>0.63902857142857139</v>
      </c>
    </row>
    <row r="145" spans="1:9" ht="15" customHeight="1" x14ac:dyDescent="0.35">
      <c r="A145" s="11" t="s">
        <v>176</v>
      </c>
      <c r="B145" s="14">
        <f>IFERROR(INDEX('Raw Data'!D:D,MATCH($A145,'Raw Data'!$C:$C,0)),0)</f>
        <v>719.999899999999</v>
      </c>
      <c r="C145" s="13">
        <f>IFERROR(INDEX('Raw Data'!O:O,MATCH($A145,'Raw Data'!$C:$C,0)),0)</f>
        <v>1.1052779000000001E-3</v>
      </c>
      <c r="D145" s="13">
        <f>IFERROR(INDEX('Raw Data'!P:P,MATCH($A145,'Raw Data'!$C:$C,0)),0)</f>
        <v>0</v>
      </c>
      <c r="E145" s="12">
        <f>IFERROR(INDEX('Raw Data'!T:T,MATCH($A145,'Raw Data'!$C:$C,0)),0)</f>
        <v>0</v>
      </c>
      <c r="F145" s="12">
        <f>IFERROR(INDEX('Raw Data'!U:U,MATCH($A145,'Raw Data'!$C:$C,0)),0)</f>
        <v>0</v>
      </c>
      <c r="G145" s="23">
        <f>IFERROR(INDEX('Raw Data'!V:V,MATCH($A145,'Raw Data'!$C:$C,0)),0)</f>
        <v>42</v>
      </c>
      <c r="H145" s="12">
        <f>IFERROR(INDEX('Raw Data'!W:W,MATCH($A145,'Raw Data'!$C:$C,0)),0)</f>
        <v>0</v>
      </c>
      <c r="I145" s="24" t="str">
        <f t="shared" si="6"/>
        <v>-</v>
      </c>
    </row>
    <row r="146" spans="1:9" ht="15" customHeight="1" x14ac:dyDescent="0.35">
      <c r="A146" s="7" t="s">
        <v>168</v>
      </c>
      <c r="B146" s="10">
        <f>IFERROR(INDEX('Raw Data'!D:D,MATCH($A146,'Raw Data'!$C:$C,0)),0)</f>
        <v>720.00119999999902</v>
      </c>
      <c r="C146" s="9">
        <f>IFERROR(INDEX('Raw Data'!O:O,MATCH($A146,'Raw Data'!$C:$C,0)),0)</f>
        <v>0.90311502259999998</v>
      </c>
      <c r="D146" s="9">
        <f>IFERROR(INDEX('Raw Data'!P:P,MATCH($A146,'Raw Data'!$C:$C,0)),0)</f>
        <v>0.4441587226</v>
      </c>
      <c r="E146" s="8">
        <f>IFERROR(INDEX('Raw Data'!T:T,MATCH($A146,'Raw Data'!$C:$C,0)),0)</f>
        <v>0</v>
      </c>
      <c r="F146" s="8">
        <f>IFERROR(INDEX('Raw Data'!U:U,MATCH($A146,'Raw Data'!$C:$C,0)),0)</f>
        <v>0</v>
      </c>
      <c r="G146" s="21">
        <f>IFERROR(INDEX('Raw Data'!V:V,MATCH($A146,'Raw Data'!$C:$C,0)),0)</f>
        <v>28</v>
      </c>
      <c r="H146" s="8">
        <f>IFERROR(INDEX('Raw Data'!W:W,MATCH($A146,'Raw Data'!$C:$C,0)),0)</f>
        <v>6762.49999999999</v>
      </c>
      <c r="I146" s="22" t="str">
        <f t="shared" si="6"/>
        <v>-</v>
      </c>
    </row>
  </sheetData>
  <mergeCells count="3">
    <mergeCell ref="A1:I1"/>
    <mergeCell ref="A70:I70"/>
    <mergeCell ref="A3:I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2"/>
  <sheetViews>
    <sheetView showGridLines="0" workbookViewId="0">
      <pane ySplit="2" topLeftCell="A76" activePane="bottomLeft" state="frozen"/>
      <selection pane="bottomLeft" activeCell="A6" sqref="A6:A14"/>
    </sheetView>
  </sheetViews>
  <sheetFormatPr defaultRowHeight="14.5" x14ac:dyDescent="0.35"/>
  <cols>
    <col min="1" max="1" width="14" customWidth="1"/>
    <col min="2" max="2" width="18" customWidth="1"/>
    <col min="3" max="3" width="38" customWidth="1"/>
    <col min="4" max="4" width="35" customWidth="1"/>
    <col min="5" max="5" width="48" customWidth="1"/>
    <col min="6" max="6" width="35" customWidth="1"/>
  </cols>
  <sheetData>
    <row r="1" spans="1:6" ht="28" customHeight="1" x14ac:dyDescent="0.35">
      <c r="A1" s="63" t="s">
        <v>314</v>
      </c>
      <c r="B1" s="62"/>
      <c r="C1" s="62"/>
      <c r="D1" s="62"/>
      <c r="E1" s="62"/>
      <c r="F1" s="62"/>
    </row>
    <row r="3" spans="1:6" ht="18" customHeight="1" x14ac:dyDescent="0.35">
      <c r="A3" s="61" t="s">
        <v>315</v>
      </c>
      <c r="B3" s="62"/>
      <c r="C3" s="62"/>
      <c r="D3" s="62"/>
      <c r="E3" s="62"/>
      <c r="F3" s="62"/>
    </row>
    <row r="4" spans="1:6" ht="22" customHeight="1" x14ac:dyDescent="0.35">
      <c r="A4" s="65" t="s">
        <v>316</v>
      </c>
      <c r="B4" s="62"/>
      <c r="C4" s="62"/>
      <c r="D4" s="62"/>
      <c r="E4" s="62"/>
      <c r="F4" s="62"/>
    </row>
    <row r="5" spans="1:6" ht="26" customHeight="1" x14ac:dyDescent="0.35">
      <c r="A5" s="25" t="s">
        <v>3</v>
      </c>
      <c r="B5" s="25" t="s">
        <v>246</v>
      </c>
      <c r="C5" s="25" t="s">
        <v>274</v>
      </c>
      <c r="D5" s="25" t="s">
        <v>309</v>
      </c>
      <c r="E5" s="25" t="s">
        <v>317</v>
      </c>
      <c r="F5" s="25" t="s">
        <v>318</v>
      </c>
    </row>
    <row r="6" spans="1:6" ht="15" customHeight="1" x14ac:dyDescent="0.35">
      <c r="A6" s="26" t="s">
        <v>34</v>
      </c>
      <c r="B6" s="26" t="s">
        <v>32</v>
      </c>
      <c r="C6" s="26">
        <v>720</v>
      </c>
      <c r="D6" s="26" t="s">
        <v>319</v>
      </c>
      <c r="E6" s="26" t="s">
        <v>320</v>
      </c>
      <c r="F6" s="26" t="s">
        <v>321</v>
      </c>
    </row>
    <row r="7" spans="1:6" ht="15" customHeight="1" x14ac:dyDescent="0.35">
      <c r="A7" s="27" t="s">
        <v>36</v>
      </c>
      <c r="B7" s="27" t="s">
        <v>32</v>
      </c>
      <c r="C7" s="27">
        <v>720</v>
      </c>
      <c r="D7" s="27" t="s">
        <v>319</v>
      </c>
      <c r="E7" s="27" t="s">
        <v>320</v>
      </c>
      <c r="F7" s="27" t="s">
        <v>321</v>
      </c>
    </row>
    <row r="8" spans="1:6" ht="15" customHeight="1" x14ac:dyDescent="0.35">
      <c r="A8" s="26" t="s">
        <v>39</v>
      </c>
      <c r="B8" s="26" t="s">
        <v>32</v>
      </c>
      <c r="C8" s="26">
        <v>720</v>
      </c>
      <c r="D8" s="26" t="s">
        <v>319</v>
      </c>
      <c r="E8" s="26" t="s">
        <v>320</v>
      </c>
      <c r="F8" s="26" t="s">
        <v>321</v>
      </c>
    </row>
    <row r="9" spans="1:6" ht="15" customHeight="1" x14ac:dyDescent="0.35">
      <c r="A9" s="27" t="s">
        <v>50</v>
      </c>
      <c r="B9" s="27" t="s">
        <v>32</v>
      </c>
      <c r="C9" s="27">
        <v>720</v>
      </c>
      <c r="D9" s="27" t="s">
        <v>319</v>
      </c>
      <c r="E9" s="27" t="s">
        <v>320</v>
      </c>
      <c r="F9" s="27" t="s">
        <v>321</v>
      </c>
    </row>
    <row r="10" spans="1:6" ht="15" customHeight="1" x14ac:dyDescent="0.35">
      <c r="A10" s="26" t="s">
        <v>120</v>
      </c>
      <c r="B10" s="26" t="s">
        <v>101</v>
      </c>
      <c r="C10" s="26">
        <v>720</v>
      </c>
      <c r="D10" s="26" t="s">
        <v>319</v>
      </c>
      <c r="E10" s="26" t="s">
        <v>320</v>
      </c>
      <c r="F10" s="26" t="s">
        <v>321</v>
      </c>
    </row>
    <row r="11" spans="1:6" ht="15" customHeight="1" x14ac:dyDescent="0.35">
      <c r="A11" s="27" t="s">
        <v>161</v>
      </c>
      <c r="B11" s="27" t="s">
        <v>101</v>
      </c>
      <c r="C11" s="27">
        <v>720</v>
      </c>
      <c r="D11" s="27" t="s">
        <v>319</v>
      </c>
      <c r="E11" s="27" t="s">
        <v>320</v>
      </c>
      <c r="F11" s="27" t="s">
        <v>321</v>
      </c>
    </row>
    <row r="12" spans="1:6" ht="15" customHeight="1" x14ac:dyDescent="0.35">
      <c r="A12" s="26" t="s">
        <v>197</v>
      </c>
      <c r="B12" s="26" t="s">
        <v>181</v>
      </c>
      <c r="C12" s="26">
        <v>720</v>
      </c>
      <c r="D12" s="26" t="s">
        <v>319</v>
      </c>
      <c r="E12" s="26" t="s">
        <v>320</v>
      </c>
      <c r="F12" s="26" t="s">
        <v>321</v>
      </c>
    </row>
    <row r="13" spans="1:6" ht="15" customHeight="1" x14ac:dyDescent="0.35">
      <c r="A13" s="27" t="s">
        <v>224</v>
      </c>
      <c r="B13" s="27" t="s">
        <v>199</v>
      </c>
      <c r="C13" s="27">
        <v>720</v>
      </c>
      <c r="D13" s="27">
        <v>28997</v>
      </c>
      <c r="E13" s="27" t="s">
        <v>320</v>
      </c>
      <c r="F13" s="27" t="s">
        <v>321</v>
      </c>
    </row>
    <row r="14" spans="1:6" ht="15" customHeight="1" x14ac:dyDescent="0.35">
      <c r="A14" s="26" t="s">
        <v>229</v>
      </c>
      <c r="B14" s="26" t="s">
        <v>228</v>
      </c>
      <c r="C14" s="26">
        <v>720</v>
      </c>
      <c r="D14" s="26">
        <v>16798</v>
      </c>
      <c r="E14" s="26" t="s">
        <v>320</v>
      </c>
      <c r="F14" s="26" t="s">
        <v>321</v>
      </c>
    </row>
    <row r="16" spans="1:6" ht="18" customHeight="1" x14ac:dyDescent="0.35">
      <c r="A16" s="61" t="s">
        <v>322</v>
      </c>
      <c r="B16" s="62"/>
      <c r="C16" s="62"/>
      <c r="D16" s="62"/>
      <c r="E16" s="62"/>
      <c r="F16" s="62"/>
    </row>
    <row r="17" spans="1:6" ht="22" customHeight="1" x14ac:dyDescent="0.35">
      <c r="A17" s="65" t="s">
        <v>323</v>
      </c>
      <c r="B17" s="62"/>
      <c r="C17" s="62"/>
      <c r="D17" s="62"/>
      <c r="E17" s="62"/>
      <c r="F17" s="62"/>
    </row>
    <row r="18" spans="1:6" ht="26" customHeight="1" x14ac:dyDescent="0.35">
      <c r="A18" s="25" t="s">
        <v>3</v>
      </c>
      <c r="B18" s="25" t="s">
        <v>246</v>
      </c>
      <c r="C18" s="25" t="s">
        <v>276</v>
      </c>
      <c r="D18" s="25" t="s">
        <v>274</v>
      </c>
      <c r="E18" s="25" t="s">
        <v>275</v>
      </c>
      <c r="F18" s="25" t="s">
        <v>273</v>
      </c>
    </row>
    <row r="19" spans="1:6" ht="15" customHeight="1" x14ac:dyDescent="0.35">
      <c r="A19" s="28" t="s">
        <v>42</v>
      </c>
      <c r="B19" s="28" t="s">
        <v>32</v>
      </c>
      <c r="C19" s="29">
        <v>0</v>
      </c>
      <c r="D19" s="30">
        <v>720</v>
      </c>
      <c r="E19" s="30">
        <v>0</v>
      </c>
      <c r="F19" s="30">
        <v>0</v>
      </c>
    </row>
    <row r="20" spans="1:6" ht="15" customHeight="1" x14ac:dyDescent="0.35">
      <c r="A20" s="31" t="s">
        <v>44</v>
      </c>
      <c r="B20" s="31" t="s">
        <v>32</v>
      </c>
      <c r="C20" s="32">
        <v>0</v>
      </c>
      <c r="D20" s="33">
        <v>720</v>
      </c>
      <c r="E20" s="33">
        <v>0</v>
      </c>
      <c r="F20" s="33">
        <v>0</v>
      </c>
    </row>
    <row r="21" spans="1:6" ht="15" customHeight="1" x14ac:dyDescent="0.35">
      <c r="A21" s="28" t="s">
        <v>33</v>
      </c>
      <c r="B21" s="28" t="s">
        <v>32</v>
      </c>
      <c r="C21" s="29">
        <v>1E-4</v>
      </c>
      <c r="D21" s="30">
        <v>719.9</v>
      </c>
      <c r="E21" s="30">
        <v>0</v>
      </c>
      <c r="F21" s="30">
        <v>0.1</v>
      </c>
    </row>
    <row r="22" spans="1:6" ht="15" customHeight="1" x14ac:dyDescent="0.35">
      <c r="A22" s="31" t="s">
        <v>207</v>
      </c>
      <c r="B22" s="31" t="s">
        <v>199</v>
      </c>
      <c r="C22" s="32">
        <v>2.0000000000000001E-4</v>
      </c>
      <c r="D22" s="33">
        <v>719.9</v>
      </c>
      <c r="E22" s="33">
        <v>0</v>
      </c>
      <c r="F22" s="33">
        <v>0.1</v>
      </c>
    </row>
    <row r="23" spans="1:6" ht="15" customHeight="1" x14ac:dyDescent="0.35">
      <c r="A23" s="28" t="s">
        <v>43</v>
      </c>
      <c r="B23" s="28" t="s">
        <v>32</v>
      </c>
      <c r="C23" s="29">
        <v>2.0000000000000001E-4</v>
      </c>
      <c r="D23" s="30">
        <v>719.8</v>
      </c>
      <c r="E23" s="30">
        <v>0</v>
      </c>
      <c r="F23" s="30">
        <v>0.2</v>
      </c>
    </row>
    <row r="24" spans="1:6" ht="15" customHeight="1" x14ac:dyDescent="0.35">
      <c r="A24" s="31" t="s">
        <v>222</v>
      </c>
      <c r="B24" s="31" t="s">
        <v>199</v>
      </c>
      <c r="C24" s="32">
        <v>8.0000000000000004E-4</v>
      </c>
      <c r="D24" s="33">
        <v>719.4</v>
      </c>
      <c r="E24" s="33">
        <v>0</v>
      </c>
      <c r="F24" s="33">
        <v>0.6</v>
      </c>
    </row>
    <row r="25" spans="1:6" ht="15" customHeight="1" x14ac:dyDescent="0.35">
      <c r="A25" s="28" t="s">
        <v>204</v>
      </c>
      <c r="B25" s="28" t="s">
        <v>199</v>
      </c>
      <c r="C25" s="29">
        <v>1E-3</v>
      </c>
      <c r="D25" s="30">
        <v>719.2</v>
      </c>
      <c r="E25" s="30">
        <v>0.6</v>
      </c>
      <c r="F25" s="30">
        <v>0.7</v>
      </c>
    </row>
    <row r="26" spans="1:6" ht="15" customHeight="1" x14ac:dyDescent="0.35">
      <c r="A26" s="31" t="s">
        <v>176</v>
      </c>
      <c r="B26" s="31" t="s">
        <v>101</v>
      </c>
      <c r="C26" s="32">
        <v>1.1000000000000001E-3</v>
      </c>
      <c r="D26" s="33">
        <v>719.2</v>
      </c>
      <c r="E26" s="33">
        <v>0.7</v>
      </c>
      <c r="F26" s="33">
        <v>0.8</v>
      </c>
    </row>
    <row r="27" spans="1:6" ht="15" customHeight="1" x14ac:dyDescent="0.35">
      <c r="A27" s="28" t="s">
        <v>57</v>
      </c>
      <c r="B27" s="28" t="s">
        <v>32</v>
      </c>
      <c r="C27" s="29">
        <v>1.5E-3</v>
      </c>
      <c r="D27" s="30">
        <v>718.9</v>
      </c>
      <c r="E27" s="30">
        <v>0</v>
      </c>
      <c r="F27" s="30">
        <v>1.1000000000000001</v>
      </c>
    </row>
    <row r="28" spans="1:6" ht="15" customHeight="1" x14ac:dyDescent="0.35">
      <c r="A28" s="31" t="s">
        <v>112</v>
      </c>
      <c r="B28" s="31" t="s">
        <v>101</v>
      </c>
      <c r="C28" s="32">
        <v>6.3E-3</v>
      </c>
      <c r="D28" s="33">
        <v>715.5</v>
      </c>
      <c r="E28" s="33">
        <v>1.2</v>
      </c>
      <c r="F28" s="33">
        <v>4.5</v>
      </c>
    </row>
    <row r="29" spans="1:6" ht="15" customHeight="1" x14ac:dyDescent="0.35">
      <c r="A29" s="28" t="s">
        <v>182</v>
      </c>
      <c r="B29" s="28" t="s">
        <v>181</v>
      </c>
      <c r="C29" s="29">
        <v>1.9199999999999998E-2</v>
      </c>
      <c r="D29" s="30">
        <v>698.8</v>
      </c>
      <c r="E29" s="30">
        <v>4.5</v>
      </c>
      <c r="F29" s="30">
        <v>13.7</v>
      </c>
    </row>
    <row r="30" spans="1:6" ht="15" customHeight="1" x14ac:dyDescent="0.35">
      <c r="A30" s="31" t="s">
        <v>37</v>
      </c>
      <c r="B30" s="31" t="s">
        <v>32</v>
      </c>
      <c r="C30" s="32">
        <v>3.6799999999999999E-2</v>
      </c>
      <c r="D30" s="33">
        <v>693.5</v>
      </c>
      <c r="E30" s="33">
        <v>20.3</v>
      </c>
      <c r="F30" s="33">
        <v>26.5</v>
      </c>
    </row>
    <row r="31" spans="1:6" ht="15" customHeight="1" x14ac:dyDescent="0.35">
      <c r="A31" s="28" t="s">
        <v>123</v>
      </c>
      <c r="B31" s="28" t="s">
        <v>101</v>
      </c>
      <c r="C31" s="29">
        <v>6.5100000000000005E-2</v>
      </c>
      <c r="D31" s="30">
        <v>673.1</v>
      </c>
      <c r="E31" s="30">
        <v>7.8</v>
      </c>
      <c r="F31" s="30">
        <v>46.9</v>
      </c>
    </row>
    <row r="32" spans="1:6" ht="15" customHeight="1" x14ac:dyDescent="0.35">
      <c r="A32" s="31" t="s">
        <v>216</v>
      </c>
      <c r="B32" s="31" t="s">
        <v>199</v>
      </c>
      <c r="C32" s="32">
        <v>6.83E-2</v>
      </c>
      <c r="D32" s="33">
        <v>670.8</v>
      </c>
      <c r="E32" s="33">
        <v>7.5</v>
      </c>
      <c r="F32" s="33">
        <v>49.2</v>
      </c>
    </row>
    <row r="33" spans="1:6" ht="15" customHeight="1" x14ac:dyDescent="0.35">
      <c r="A33" s="28" t="s">
        <v>54</v>
      </c>
      <c r="B33" s="28" t="s">
        <v>32</v>
      </c>
      <c r="C33" s="29">
        <v>7.2999999999999995E-2</v>
      </c>
      <c r="D33" s="30">
        <v>667.5</v>
      </c>
      <c r="E33" s="30">
        <v>42</v>
      </c>
      <c r="F33" s="30">
        <v>52.5</v>
      </c>
    </row>
    <row r="34" spans="1:6" ht="15" customHeight="1" x14ac:dyDescent="0.35">
      <c r="A34" s="31" t="s">
        <v>113</v>
      </c>
      <c r="B34" s="31" t="s">
        <v>101</v>
      </c>
      <c r="C34" s="32">
        <v>9.9299999999999999E-2</v>
      </c>
      <c r="D34" s="33">
        <v>648.5</v>
      </c>
      <c r="E34" s="33">
        <v>6</v>
      </c>
      <c r="F34" s="33">
        <v>71.5</v>
      </c>
    </row>
    <row r="35" spans="1:6" ht="15" customHeight="1" x14ac:dyDescent="0.35">
      <c r="A35" s="28">
        <v>12</v>
      </c>
      <c r="B35" s="28" t="s">
        <v>32</v>
      </c>
      <c r="C35" s="29">
        <v>0.1114</v>
      </c>
      <c r="D35" s="30">
        <v>638.70000000000005</v>
      </c>
      <c r="E35" s="30">
        <v>46.5</v>
      </c>
      <c r="F35" s="30">
        <v>80.099999999999994</v>
      </c>
    </row>
    <row r="36" spans="1:6" ht="15" customHeight="1" x14ac:dyDescent="0.35">
      <c r="A36" s="31" t="s">
        <v>38</v>
      </c>
      <c r="B36" s="31" t="s">
        <v>32</v>
      </c>
      <c r="C36" s="32">
        <v>0.1605</v>
      </c>
      <c r="D36" s="33">
        <v>604.4</v>
      </c>
      <c r="E36" s="33">
        <v>92.9</v>
      </c>
      <c r="F36" s="33">
        <v>115.6</v>
      </c>
    </row>
    <row r="37" spans="1:6" ht="15" customHeight="1" x14ac:dyDescent="0.35">
      <c r="A37" s="28" t="s">
        <v>210</v>
      </c>
      <c r="B37" s="28" t="s">
        <v>199</v>
      </c>
      <c r="C37" s="29">
        <v>0.1615</v>
      </c>
      <c r="D37" s="30">
        <v>595.4</v>
      </c>
      <c r="E37" s="30">
        <v>29.3</v>
      </c>
      <c r="F37" s="30">
        <v>114.7</v>
      </c>
    </row>
    <row r="38" spans="1:6" ht="15" customHeight="1" x14ac:dyDescent="0.35">
      <c r="A38" s="31" t="s">
        <v>179</v>
      </c>
      <c r="B38" s="31" t="s">
        <v>101</v>
      </c>
      <c r="C38" s="32">
        <v>0.17910000000000001</v>
      </c>
      <c r="D38" s="33">
        <v>591</v>
      </c>
      <c r="E38" s="33">
        <v>12.9</v>
      </c>
      <c r="F38" s="33">
        <v>129</v>
      </c>
    </row>
    <row r="39" spans="1:6" ht="15" customHeight="1" x14ac:dyDescent="0.35">
      <c r="A39" s="28" t="s">
        <v>117</v>
      </c>
      <c r="B39" s="28" t="s">
        <v>101</v>
      </c>
      <c r="C39" s="29">
        <v>0.18029999999999999</v>
      </c>
      <c r="D39" s="30">
        <v>587.29999999999995</v>
      </c>
      <c r="E39" s="30">
        <v>20</v>
      </c>
      <c r="F39" s="30">
        <v>129.19999999999999</v>
      </c>
    </row>
    <row r="40" spans="1:6" ht="15" customHeight="1" x14ac:dyDescent="0.35">
      <c r="A40" s="31" t="s">
        <v>77</v>
      </c>
      <c r="B40" s="31" t="s">
        <v>32</v>
      </c>
      <c r="C40" s="32">
        <v>0.19350000000000001</v>
      </c>
      <c r="D40" s="33">
        <v>580.70000000000005</v>
      </c>
      <c r="E40" s="33">
        <v>62.8</v>
      </c>
      <c r="F40" s="33">
        <v>139.30000000000001</v>
      </c>
    </row>
    <row r="41" spans="1:6" ht="15" customHeight="1" x14ac:dyDescent="0.35">
      <c r="A41" s="28" t="s">
        <v>119</v>
      </c>
      <c r="B41" s="28" t="s">
        <v>101</v>
      </c>
      <c r="C41" s="29">
        <v>0.20169999999999999</v>
      </c>
      <c r="D41" s="30">
        <v>574.79999999999995</v>
      </c>
      <c r="E41" s="30">
        <v>22.3</v>
      </c>
      <c r="F41" s="30">
        <v>145.19999999999999</v>
      </c>
    </row>
    <row r="42" spans="1:6" ht="15" customHeight="1" x14ac:dyDescent="0.35">
      <c r="A42" s="31" t="s">
        <v>52</v>
      </c>
      <c r="B42" s="31" t="s">
        <v>32</v>
      </c>
      <c r="C42" s="32">
        <v>0.20960000000000001</v>
      </c>
      <c r="D42" s="33">
        <v>569.1</v>
      </c>
      <c r="E42" s="33">
        <v>67</v>
      </c>
      <c r="F42" s="33">
        <v>150.9</v>
      </c>
    </row>
    <row r="43" spans="1:6" ht="15" customHeight="1" x14ac:dyDescent="0.35">
      <c r="A43" s="28" t="s">
        <v>35</v>
      </c>
      <c r="B43" s="28" t="s">
        <v>32</v>
      </c>
      <c r="C43" s="29">
        <v>0.21260000000000001</v>
      </c>
      <c r="D43" s="30">
        <v>561.29999999999995</v>
      </c>
      <c r="E43" s="30">
        <v>79.5</v>
      </c>
      <c r="F43" s="30">
        <v>151.6</v>
      </c>
    </row>
    <row r="44" spans="1:6" ht="15" customHeight="1" x14ac:dyDescent="0.35">
      <c r="A44" s="31" t="s">
        <v>67</v>
      </c>
      <c r="B44" s="31" t="s">
        <v>32</v>
      </c>
      <c r="C44" s="32">
        <v>0.25690000000000002</v>
      </c>
      <c r="D44" s="33">
        <v>535</v>
      </c>
      <c r="E44" s="33">
        <v>85.5</v>
      </c>
      <c r="F44" s="33">
        <v>185</v>
      </c>
    </row>
    <row r="45" spans="1:6" ht="15" customHeight="1" x14ac:dyDescent="0.35">
      <c r="A45" s="28" t="s">
        <v>203</v>
      </c>
      <c r="B45" s="28" t="s">
        <v>199</v>
      </c>
      <c r="C45" s="29">
        <v>0.2591</v>
      </c>
      <c r="D45" s="30">
        <v>533.5</v>
      </c>
      <c r="E45" s="30">
        <v>14.2</v>
      </c>
      <c r="F45" s="30">
        <v>186.5</v>
      </c>
    </row>
    <row r="46" spans="1:6" ht="15" customHeight="1" x14ac:dyDescent="0.35">
      <c r="A46" s="31" t="s">
        <v>221</v>
      </c>
      <c r="B46" s="31" t="s">
        <v>199</v>
      </c>
      <c r="C46" s="32">
        <v>0.25940000000000002</v>
      </c>
      <c r="D46" s="33">
        <v>533.20000000000005</v>
      </c>
      <c r="E46" s="33">
        <v>18.3</v>
      </c>
      <c r="F46" s="33">
        <v>186.8</v>
      </c>
    </row>
    <row r="47" spans="1:6" ht="15" customHeight="1" x14ac:dyDescent="0.35">
      <c r="A47" s="28" t="s">
        <v>61</v>
      </c>
      <c r="B47" s="28" t="s">
        <v>32</v>
      </c>
      <c r="C47" s="29">
        <v>0.27710000000000001</v>
      </c>
      <c r="D47" s="30">
        <v>520.5</v>
      </c>
      <c r="E47" s="30">
        <v>102.6</v>
      </c>
      <c r="F47" s="30">
        <v>199.5</v>
      </c>
    </row>
    <row r="48" spans="1:6" ht="15" customHeight="1" x14ac:dyDescent="0.35">
      <c r="A48" s="31" t="s">
        <v>124</v>
      </c>
      <c r="B48" s="31" t="s">
        <v>101</v>
      </c>
      <c r="C48" s="32">
        <v>0.28120000000000001</v>
      </c>
      <c r="D48" s="33">
        <v>517.6</v>
      </c>
      <c r="E48" s="33">
        <v>33.299999999999997</v>
      </c>
      <c r="F48" s="33">
        <v>202.4</v>
      </c>
    </row>
    <row r="49" spans="1:8" ht="15" customHeight="1" x14ac:dyDescent="0.35">
      <c r="A49" s="28" t="s">
        <v>103</v>
      </c>
      <c r="B49" s="28" t="s">
        <v>101</v>
      </c>
      <c r="C49" s="29">
        <v>0.31280000000000002</v>
      </c>
      <c r="D49" s="30">
        <v>494.8</v>
      </c>
      <c r="E49" s="30">
        <v>32.4</v>
      </c>
      <c r="F49" s="30">
        <v>225.2</v>
      </c>
    </row>
    <row r="50" spans="1:8" ht="15" customHeight="1" x14ac:dyDescent="0.35">
      <c r="A50" s="31" t="s">
        <v>83</v>
      </c>
      <c r="B50" s="31" t="s">
        <v>32</v>
      </c>
      <c r="C50" s="32">
        <v>0.31390000000000001</v>
      </c>
      <c r="D50" s="33">
        <v>494</v>
      </c>
      <c r="E50" s="33">
        <v>117</v>
      </c>
      <c r="F50" s="33">
        <v>226</v>
      </c>
    </row>
    <row r="51" spans="1:8" ht="15" customHeight="1" x14ac:dyDescent="0.35">
      <c r="A51" s="28" t="s">
        <v>102</v>
      </c>
      <c r="B51" s="28" t="s">
        <v>101</v>
      </c>
      <c r="C51" s="29">
        <v>0.31879999999999997</v>
      </c>
      <c r="D51" s="30">
        <v>490.5</v>
      </c>
      <c r="E51" s="30">
        <v>112.5</v>
      </c>
      <c r="F51" s="30">
        <v>229.5</v>
      </c>
    </row>
    <row r="52" spans="1:8" ht="15" customHeight="1" x14ac:dyDescent="0.35">
      <c r="A52" s="31" t="s">
        <v>108</v>
      </c>
      <c r="B52" s="31" t="s">
        <v>101</v>
      </c>
      <c r="C52" s="32">
        <v>0.3448</v>
      </c>
      <c r="D52" s="33">
        <v>471.8</v>
      </c>
      <c r="E52" s="33">
        <v>33.4</v>
      </c>
      <c r="F52" s="33">
        <v>248.2</v>
      </c>
    </row>
    <row r="53" spans="1:8" ht="15" customHeight="1" x14ac:dyDescent="0.35">
      <c r="A53" s="28" t="s">
        <v>125</v>
      </c>
      <c r="B53" s="28" t="s">
        <v>101</v>
      </c>
      <c r="C53" s="29">
        <v>0.3493</v>
      </c>
      <c r="D53" s="30">
        <v>468.5</v>
      </c>
      <c r="E53" s="30">
        <v>28.5</v>
      </c>
      <c r="F53" s="30">
        <v>251.5</v>
      </c>
    </row>
    <row r="54" spans="1:8" ht="15" customHeight="1" x14ac:dyDescent="0.35">
      <c r="A54" s="31" t="s">
        <v>40</v>
      </c>
      <c r="B54" s="31" t="s">
        <v>32</v>
      </c>
      <c r="C54" s="32">
        <v>0.36180000000000001</v>
      </c>
      <c r="D54" s="33">
        <v>459.5</v>
      </c>
      <c r="E54" s="33">
        <v>248.5</v>
      </c>
      <c r="F54" s="33">
        <v>260.5</v>
      </c>
    </row>
    <row r="55" spans="1:8" ht="15" customHeight="1" x14ac:dyDescent="0.35">
      <c r="A55" s="28" t="s">
        <v>126</v>
      </c>
      <c r="B55" s="28" t="s">
        <v>101</v>
      </c>
      <c r="C55" s="29">
        <v>0.36209999999999998</v>
      </c>
      <c r="D55" s="30">
        <v>459.3</v>
      </c>
      <c r="E55" s="30">
        <v>41.5</v>
      </c>
      <c r="F55" s="30">
        <v>260.7</v>
      </c>
    </row>
    <row r="56" spans="1:8" ht="15" customHeight="1" x14ac:dyDescent="0.35">
      <c r="A56" s="31" t="s">
        <v>213</v>
      </c>
      <c r="B56" s="31" t="s">
        <v>199</v>
      </c>
      <c r="C56" s="32">
        <v>0.37590000000000001</v>
      </c>
      <c r="D56" s="33">
        <v>449.3</v>
      </c>
      <c r="E56" s="33">
        <v>14.3</v>
      </c>
      <c r="F56" s="33">
        <v>270.7</v>
      </c>
    </row>
    <row r="57" spans="1:8" ht="15" customHeight="1" x14ac:dyDescent="0.35">
      <c r="A57" s="28" t="s">
        <v>218</v>
      </c>
      <c r="B57" s="28" t="s">
        <v>199</v>
      </c>
      <c r="C57" s="29">
        <v>0.38169999999999998</v>
      </c>
      <c r="D57" s="30">
        <v>445.2</v>
      </c>
      <c r="E57" s="30">
        <v>8.8000000000000007</v>
      </c>
      <c r="F57" s="30">
        <v>274.8</v>
      </c>
    </row>
    <row r="58" spans="1:8" ht="15" customHeight="1" x14ac:dyDescent="0.35">
      <c r="A58" s="31" t="s">
        <v>65</v>
      </c>
      <c r="B58" s="31" t="s">
        <v>32</v>
      </c>
      <c r="C58" s="32">
        <v>0.38169999999999998</v>
      </c>
      <c r="D58" s="33">
        <v>445.2</v>
      </c>
      <c r="E58" s="33">
        <v>128.6</v>
      </c>
      <c r="F58" s="33">
        <v>274.8</v>
      </c>
    </row>
    <row r="60" spans="1:8" ht="18" customHeight="1" x14ac:dyDescent="0.35">
      <c r="A60" s="61" t="s">
        <v>324</v>
      </c>
      <c r="B60" s="62"/>
      <c r="C60" s="62"/>
      <c r="D60" s="62"/>
      <c r="E60" s="62"/>
      <c r="F60" s="62"/>
    </row>
    <row r="61" spans="1:8" ht="22" customHeight="1" x14ac:dyDescent="0.35">
      <c r="A61" s="65" t="s">
        <v>325</v>
      </c>
      <c r="B61" s="62"/>
      <c r="C61" s="62"/>
      <c r="D61" s="62"/>
      <c r="E61" s="62"/>
      <c r="F61" s="62"/>
    </row>
    <row r="62" spans="1:8" ht="26" customHeight="1" x14ac:dyDescent="0.35">
      <c r="A62" s="25" t="s">
        <v>3</v>
      </c>
      <c r="B62" s="25" t="s">
        <v>246</v>
      </c>
      <c r="C62" s="25" t="s">
        <v>326</v>
      </c>
      <c r="D62" s="25" t="s">
        <v>327</v>
      </c>
      <c r="E62" s="25" t="s">
        <v>297</v>
      </c>
      <c r="F62" s="25" t="s">
        <v>309</v>
      </c>
      <c r="G62" s="25" t="s">
        <v>328</v>
      </c>
      <c r="H62" s="25" t="s">
        <v>318</v>
      </c>
    </row>
    <row r="63" spans="1:8" ht="15" customHeight="1" x14ac:dyDescent="0.35">
      <c r="A63" s="28" t="s">
        <v>190</v>
      </c>
      <c r="B63" s="28" t="s">
        <v>181</v>
      </c>
      <c r="C63" s="30">
        <v>720</v>
      </c>
      <c r="D63" s="30">
        <v>720</v>
      </c>
      <c r="E63" s="29">
        <v>1</v>
      </c>
      <c r="F63" s="34" t="s">
        <v>319</v>
      </c>
      <c r="G63" s="34">
        <v>11430</v>
      </c>
      <c r="H63" s="28" t="s">
        <v>329</v>
      </c>
    </row>
    <row r="64" spans="1:8" ht="15" customHeight="1" x14ac:dyDescent="0.35">
      <c r="A64" s="31" t="s">
        <v>70</v>
      </c>
      <c r="B64" s="31" t="s">
        <v>32</v>
      </c>
      <c r="C64" s="33">
        <v>600.5</v>
      </c>
      <c r="D64" s="33">
        <v>657.2</v>
      </c>
      <c r="E64" s="32">
        <v>0.91369999999999996</v>
      </c>
      <c r="F64" s="35">
        <v>2683</v>
      </c>
      <c r="G64" s="35">
        <v>27783</v>
      </c>
      <c r="H64" s="31" t="s">
        <v>329</v>
      </c>
    </row>
    <row r="65" spans="1:8" ht="15" customHeight="1" x14ac:dyDescent="0.35">
      <c r="A65" s="28" t="s">
        <v>173</v>
      </c>
      <c r="B65" s="28" t="s">
        <v>101</v>
      </c>
      <c r="C65" s="30">
        <v>572.9</v>
      </c>
      <c r="D65" s="30">
        <v>654.70000000000005</v>
      </c>
      <c r="E65" s="29">
        <v>0.87509999999999999</v>
      </c>
      <c r="F65" s="34">
        <v>3226</v>
      </c>
      <c r="G65" s="34">
        <v>21567</v>
      </c>
      <c r="H65" s="28" t="s">
        <v>329</v>
      </c>
    </row>
    <row r="66" spans="1:8" ht="15" customHeight="1" x14ac:dyDescent="0.35">
      <c r="A66" s="31" t="s">
        <v>220</v>
      </c>
      <c r="B66" s="31" t="s">
        <v>199</v>
      </c>
      <c r="C66" s="33">
        <v>489.7</v>
      </c>
      <c r="D66" s="33">
        <v>684.3</v>
      </c>
      <c r="E66" s="32">
        <v>0.7157</v>
      </c>
      <c r="F66" s="35">
        <v>23309</v>
      </c>
      <c r="G66" s="35">
        <v>60932</v>
      </c>
      <c r="H66" s="31" t="s">
        <v>329</v>
      </c>
    </row>
    <row r="67" spans="1:8" ht="15" customHeight="1" x14ac:dyDescent="0.35">
      <c r="A67" s="28" t="s">
        <v>241</v>
      </c>
      <c r="B67" s="28" t="s">
        <v>236</v>
      </c>
      <c r="C67" s="30">
        <v>476.1</v>
      </c>
      <c r="D67" s="30">
        <v>556</v>
      </c>
      <c r="E67" s="29">
        <v>0.85619999999999996</v>
      </c>
      <c r="F67" s="34">
        <v>1047</v>
      </c>
      <c r="G67" s="34">
        <v>3801</v>
      </c>
      <c r="H67" s="28" t="s">
        <v>329</v>
      </c>
    </row>
    <row r="68" spans="1:8" ht="15" customHeight="1" x14ac:dyDescent="0.35">
      <c r="A68" s="31" t="s">
        <v>80</v>
      </c>
      <c r="B68" s="31" t="s">
        <v>32</v>
      </c>
      <c r="C68" s="33">
        <v>450.2</v>
      </c>
      <c r="D68" s="33">
        <v>626.20000000000005</v>
      </c>
      <c r="E68" s="32">
        <v>0.71899999999999997</v>
      </c>
      <c r="F68" s="35">
        <v>4786</v>
      </c>
      <c r="G68" s="35">
        <v>11221</v>
      </c>
      <c r="H68" s="31" t="s">
        <v>329</v>
      </c>
    </row>
    <row r="69" spans="1:8" ht="15" customHeight="1" x14ac:dyDescent="0.35">
      <c r="A69" s="28" t="s">
        <v>46</v>
      </c>
      <c r="B69" s="28" t="s">
        <v>32</v>
      </c>
      <c r="C69" s="30">
        <v>449.6</v>
      </c>
      <c r="D69" s="30">
        <v>654.5</v>
      </c>
      <c r="E69" s="29">
        <v>0.68689999999999996</v>
      </c>
      <c r="F69" s="34">
        <v>4668</v>
      </c>
      <c r="G69" s="34">
        <v>9487</v>
      </c>
      <c r="H69" s="28" t="s">
        <v>329</v>
      </c>
    </row>
    <row r="70" spans="1:8" ht="15" customHeight="1" x14ac:dyDescent="0.35">
      <c r="A70" s="31" t="s">
        <v>237</v>
      </c>
      <c r="B70" s="31" t="s">
        <v>236</v>
      </c>
      <c r="C70" s="33">
        <v>437.5</v>
      </c>
      <c r="D70" s="33">
        <v>448.9</v>
      </c>
      <c r="E70" s="32">
        <v>0.97460000000000002</v>
      </c>
      <c r="F70" s="35">
        <v>899</v>
      </c>
      <c r="G70" s="35">
        <v>23011</v>
      </c>
      <c r="H70" s="31" t="s">
        <v>329</v>
      </c>
    </row>
    <row r="71" spans="1:8" ht="15" customHeight="1" x14ac:dyDescent="0.35">
      <c r="A71" s="28" t="s">
        <v>69</v>
      </c>
      <c r="B71" s="28" t="s">
        <v>32</v>
      </c>
      <c r="C71" s="30">
        <v>390.1</v>
      </c>
      <c r="D71" s="30">
        <v>598.9</v>
      </c>
      <c r="E71" s="29">
        <v>0.65139999999999998</v>
      </c>
      <c r="F71" s="34">
        <v>3416</v>
      </c>
      <c r="G71" s="34">
        <v>6135</v>
      </c>
      <c r="H71" s="28" t="s">
        <v>329</v>
      </c>
    </row>
    <row r="72" spans="1:8" ht="15" customHeight="1" x14ac:dyDescent="0.35">
      <c r="A72" s="31" t="s">
        <v>66</v>
      </c>
      <c r="B72" s="31" t="s">
        <v>32</v>
      </c>
      <c r="C72" s="33">
        <v>386.5</v>
      </c>
      <c r="D72" s="33">
        <v>600.4</v>
      </c>
      <c r="E72" s="32">
        <v>0.64380000000000004</v>
      </c>
      <c r="F72" s="35">
        <v>4066</v>
      </c>
      <c r="G72" s="35">
        <v>7058</v>
      </c>
      <c r="H72" s="31" t="s">
        <v>329</v>
      </c>
    </row>
    <row r="75" spans="1:8" ht="28" customHeight="1" x14ac:dyDescent="0.35">
      <c r="A75" s="64" t="s">
        <v>330</v>
      </c>
      <c r="B75" s="62"/>
      <c r="C75" s="62"/>
      <c r="D75" s="62"/>
      <c r="E75" s="62"/>
      <c r="F75" s="62"/>
    </row>
    <row r="76" spans="1:8" ht="26" customHeight="1" x14ac:dyDescent="0.35">
      <c r="A76" s="36" t="s">
        <v>331</v>
      </c>
      <c r="B76" s="36" t="s">
        <v>332</v>
      </c>
      <c r="C76" s="36" t="s">
        <v>333</v>
      </c>
      <c r="D76" s="36" t="s">
        <v>334</v>
      </c>
      <c r="E76" s="36" t="s">
        <v>335</v>
      </c>
      <c r="F76" s="36" t="s">
        <v>336</v>
      </c>
    </row>
    <row r="77" spans="1:8" ht="48" customHeight="1" x14ac:dyDescent="0.35">
      <c r="A77" s="37" t="s">
        <v>337</v>
      </c>
      <c r="B77" s="38" t="s">
        <v>338</v>
      </c>
      <c r="C77" s="39" t="s">
        <v>339</v>
      </c>
      <c r="D77" s="39" t="s">
        <v>340</v>
      </c>
      <c r="E77" s="39" t="s">
        <v>341</v>
      </c>
      <c r="F77" s="39" t="s">
        <v>342</v>
      </c>
    </row>
    <row r="78" spans="1:8" ht="48" customHeight="1" x14ac:dyDescent="0.35">
      <c r="A78" s="37" t="s">
        <v>337</v>
      </c>
      <c r="B78" s="38" t="s">
        <v>343</v>
      </c>
      <c r="C78" s="39" t="s">
        <v>344</v>
      </c>
      <c r="D78" s="39" t="s">
        <v>345</v>
      </c>
      <c r="E78" s="39" t="s">
        <v>346</v>
      </c>
      <c r="F78" s="39" t="s">
        <v>347</v>
      </c>
    </row>
    <row r="79" spans="1:8" ht="48" customHeight="1" x14ac:dyDescent="0.35">
      <c r="A79" s="40" t="s">
        <v>348</v>
      </c>
      <c r="B79" s="41" t="s">
        <v>349</v>
      </c>
      <c r="C79" s="42" t="s">
        <v>350</v>
      </c>
      <c r="D79" s="42" t="s">
        <v>351</v>
      </c>
      <c r="E79" s="42" t="s">
        <v>352</v>
      </c>
      <c r="F79" s="42" t="s">
        <v>353</v>
      </c>
    </row>
    <row r="80" spans="1:8" ht="48" customHeight="1" x14ac:dyDescent="0.35">
      <c r="A80" s="40" t="s">
        <v>348</v>
      </c>
      <c r="B80" s="41" t="s">
        <v>354</v>
      </c>
      <c r="C80" s="42" t="s">
        <v>355</v>
      </c>
      <c r="D80" s="42" t="s">
        <v>356</v>
      </c>
      <c r="E80" s="42" t="s">
        <v>357</v>
      </c>
      <c r="F80" s="42" t="s">
        <v>358</v>
      </c>
    </row>
    <row r="81" spans="1:6" ht="48" customHeight="1" x14ac:dyDescent="0.35">
      <c r="A81" s="43" t="s">
        <v>359</v>
      </c>
      <c r="B81" s="44" t="s">
        <v>360</v>
      </c>
      <c r="C81" s="45" t="s">
        <v>361</v>
      </c>
      <c r="D81" s="45" t="s">
        <v>362</v>
      </c>
      <c r="E81" s="45" t="s">
        <v>363</v>
      </c>
      <c r="F81" s="45" t="s">
        <v>364</v>
      </c>
    </row>
    <row r="82" spans="1:6" ht="48" customHeight="1" x14ac:dyDescent="0.35">
      <c r="A82" s="43" t="s">
        <v>359</v>
      </c>
      <c r="B82" s="44" t="s">
        <v>365</v>
      </c>
      <c r="C82" s="45" t="s">
        <v>366</v>
      </c>
      <c r="D82" s="45" t="s">
        <v>367</v>
      </c>
      <c r="E82" s="45" t="s">
        <v>368</v>
      </c>
      <c r="F82" s="45" t="s">
        <v>369</v>
      </c>
    </row>
  </sheetData>
  <mergeCells count="8">
    <mergeCell ref="A16:F16"/>
    <mergeCell ref="A60:F60"/>
    <mergeCell ref="A1:F1"/>
    <mergeCell ref="A75:F75"/>
    <mergeCell ref="A61:F61"/>
    <mergeCell ref="A17:F17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Executive Summary</vt:lpstr>
      <vt:lpstr>Avail &amp; Utilization</vt:lpstr>
      <vt:lpstr>Fuel Analysis</vt:lpstr>
      <vt:lpstr>Idle Time Analysis</vt:lpstr>
      <vt:lpstr>Production KPIs</vt:lpstr>
      <vt:lpstr>Improvement Opportunities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Sushant Rathore</cp:lastModifiedBy>
  <dcterms:created xsi:type="dcterms:W3CDTF">2026-06-08T14:35:59Z</dcterms:created>
  <dcterms:modified xsi:type="dcterms:W3CDTF">2026-07-17T05:34:45Z</dcterms:modified>
</cp:coreProperties>
</file>